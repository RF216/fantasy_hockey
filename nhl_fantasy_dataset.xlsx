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r.fu/Downloads/"/>
    </mc:Choice>
  </mc:AlternateContent>
  <xr:revisionPtr revIDLastSave="0" documentId="13_ncr:1_{0A57F685-EDAA-D748-AF4D-C257789FB0C5}" xr6:coauthVersionLast="47" xr6:coauthVersionMax="47" xr10:uidLastSave="{00000000-0000-0000-0000-000000000000}"/>
  <bookViews>
    <workbookView xWindow="0" yWindow="0" windowWidth="28800" windowHeight="18000" tabRatio="500" activeTab="4" xr2:uid="{00000000-000D-0000-FFFF-FFFF00000000}"/>
  </bookViews>
  <sheets>
    <sheet name="Read Me" sheetId="1" r:id="rId1"/>
    <sheet name="2021-22" sheetId="2" r:id="rId2"/>
    <sheet name="2022-23" sheetId="3" r:id="rId3"/>
    <sheet name="2023-24" sheetId="4" r:id="rId4"/>
    <sheet name="2024-25" sheetId="5" r:id="rId5"/>
    <sheet name="2025-26"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9" i="6" l="1"/>
  <c r="G10" i="6"/>
  <c r="AB173" i="6"/>
  <c r="AA173" i="6"/>
  <c r="W173" i="6"/>
  <c r="V173" i="6"/>
  <c r="U173" i="6"/>
  <c r="T173" i="6"/>
  <c r="S173" i="6"/>
  <c r="R173" i="6"/>
  <c r="Q173" i="6"/>
  <c r="P173" i="6"/>
  <c r="M173" i="6"/>
  <c r="L173" i="6"/>
  <c r="J173" i="6"/>
  <c r="I173" i="6"/>
  <c r="H173" i="6"/>
  <c r="G173" i="6"/>
  <c r="F173" i="6"/>
  <c r="AB172" i="6"/>
  <c r="AA172" i="6"/>
  <c r="W172" i="6"/>
  <c r="V172" i="6"/>
  <c r="U172" i="6"/>
  <c r="T172" i="6"/>
  <c r="S172" i="6"/>
  <c r="R172" i="6"/>
  <c r="Q172" i="6"/>
  <c r="P172" i="6"/>
  <c r="M172" i="6"/>
  <c r="L172" i="6"/>
  <c r="J172" i="6"/>
  <c r="I172" i="6"/>
  <c r="H172" i="6"/>
  <c r="G172" i="6"/>
  <c r="F172" i="6"/>
  <c r="K172" i="6" s="1"/>
  <c r="AB171" i="6"/>
  <c r="AA171" i="6"/>
  <c r="W171" i="6"/>
  <c r="V171" i="6"/>
  <c r="U171" i="6"/>
  <c r="T171" i="6"/>
  <c r="S171" i="6"/>
  <c r="R171" i="6"/>
  <c r="Q171" i="6"/>
  <c r="P171" i="6"/>
  <c r="M171" i="6"/>
  <c r="L171" i="6"/>
  <c r="J171" i="6"/>
  <c r="I171" i="6"/>
  <c r="H171" i="6"/>
  <c r="G171" i="6"/>
  <c r="F171" i="6"/>
  <c r="AB170" i="6"/>
  <c r="AA170" i="6"/>
  <c r="W170" i="6"/>
  <c r="V170" i="6"/>
  <c r="U170" i="6"/>
  <c r="T170" i="6"/>
  <c r="S170" i="6"/>
  <c r="R170" i="6"/>
  <c r="Q170" i="6"/>
  <c r="P170" i="6"/>
  <c r="M170" i="6"/>
  <c r="L170" i="6"/>
  <c r="J170" i="6"/>
  <c r="I170" i="6"/>
  <c r="H170" i="6"/>
  <c r="G170" i="6"/>
  <c r="F170" i="6"/>
  <c r="AB169" i="6"/>
  <c r="AA169" i="6"/>
  <c r="W169" i="6"/>
  <c r="V169" i="6"/>
  <c r="U169" i="6"/>
  <c r="T169" i="6"/>
  <c r="S169" i="6"/>
  <c r="R169" i="6"/>
  <c r="Q169" i="6"/>
  <c r="P169" i="6"/>
  <c r="M169" i="6"/>
  <c r="L169" i="6"/>
  <c r="J169" i="6"/>
  <c r="I169" i="6"/>
  <c r="H169" i="6"/>
  <c r="G169" i="6"/>
  <c r="F169" i="6"/>
  <c r="AB168" i="6"/>
  <c r="AA168" i="6"/>
  <c r="W168" i="6"/>
  <c r="V168" i="6"/>
  <c r="U168" i="6"/>
  <c r="T168" i="6"/>
  <c r="S168" i="6"/>
  <c r="R168" i="6"/>
  <c r="Q168" i="6"/>
  <c r="P168" i="6"/>
  <c r="M168" i="6"/>
  <c r="L168" i="6"/>
  <c r="J168" i="6"/>
  <c r="I168" i="6"/>
  <c r="H168" i="6"/>
  <c r="G168" i="6"/>
  <c r="F168" i="6"/>
  <c r="AB167" i="6"/>
  <c r="AA167" i="6"/>
  <c r="W167" i="6"/>
  <c r="V167" i="6"/>
  <c r="U167" i="6"/>
  <c r="T167" i="6"/>
  <c r="S167" i="6"/>
  <c r="R167" i="6"/>
  <c r="Q167" i="6"/>
  <c r="P167" i="6"/>
  <c r="M167" i="6"/>
  <c r="L167" i="6"/>
  <c r="J167" i="6"/>
  <c r="I167" i="6"/>
  <c r="H167" i="6"/>
  <c r="G167" i="6"/>
  <c r="F167" i="6"/>
  <c r="AB166" i="6"/>
  <c r="AA166" i="6"/>
  <c r="W166" i="6"/>
  <c r="V166" i="6"/>
  <c r="U166" i="6"/>
  <c r="T166" i="6"/>
  <c r="S166" i="6"/>
  <c r="R166" i="6"/>
  <c r="Q166" i="6"/>
  <c r="P166" i="6"/>
  <c r="M166" i="6"/>
  <c r="L166" i="6"/>
  <c r="J166" i="6"/>
  <c r="I166" i="6"/>
  <c r="H166" i="6"/>
  <c r="G166" i="6"/>
  <c r="F166" i="6"/>
  <c r="AB165" i="6"/>
  <c r="AA165" i="6"/>
  <c r="W165" i="6"/>
  <c r="V165" i="6"/>
  <c r="U165" i="6"/>
  <c r="T165" i="6"/>
  <c r="S165" i="6"/>
  <c r="R165" i="6"/>
  <c r="Q165" i="6"/>
  <c r="P165" i="6"/>
  <c r="M165" i="6"/>
  <c r="L165" i="6"/>
  <c r="J165" i="6"/>
  <c r="I165" i="6"/>
  <c r="H165" i="6"/>
  <c r="G165" i="6"/>
  <c r="F165" i="6"/>
  <c r="AB164" i="6"/>
  <c r="AA164" i="6"/>
  <c r="W164" i="6"/>
  <c r="V164" i="6"/>
  <c r="U164" i="6"/>
  <c r="T164" i="6"/>
  <c r="S164" i="6"/>
  <c r="R164" i="6"/>
  <c r="Q164" i="6"/>
  <c r="P164" i="6"/>
  <c r="M164" i="6"/>
  <c r="L164" i="6"/>
  <c r="J164" i="6"/>
  <c r="I164" i="6"/>
  <c r="H164" i="6"/>
  <c r="G164" i="6"/>
  <c r="F164" i="6"/>
  <c r="AB163" i="6"/>
  <c r="AA163" i="6"/>
  <c r="W163" i="6"/>
  <c r="V163" i="6"/>
  <c r="U163" i="6"/>
  <c r="T163" i="6"/>
  <c r="S163" i="6"/>
  <c r="R163" i="6"/>
  <c r="Q163" i="6"/>
  <c r="P163" i="6"/>
  <c r="M163" i="6"/>
  <c r="L163" i="6"/>
  <c r="J163" i="6"/>
  <c r="I163" i="6"/>
  <c r="H163" i="6"/>
  <c r="G163" i="6"/>
  <c r="F163" i="6"/>
  <c r="AB162" i="6"/>
  <c r="AA162" i="6"/>
  <c r="W162" i="6"/>
  <c r="V162" i="6"/>
  <c r="U162" i="6"/>
  <c r="T162" i="6"/>
  <c r="S162" i="6"/>
  <c r="R162" i="6"/>
  <c r="Q162" i="6"/>
  <c r="P162" i="6"/>
  <c r="M162" i="6"/>
  <c r="L162" i="6"/>
  <c r="J162" i="6"/>
  <c r="I162" i="6"/>
  <c r="H162" i="6"/>
  <c r="G162" i="6"/>
  <c r="F162" i="6"/>
  <c r="AB161" i="6"/>
  <c r="AA161" i="6"/>
  <c r="W161" i="6"/>
  <c r="V161" i="6"/>
  <c r="U161" i="6"/>
  <c r="T161" i="6"/>
  <c r="S161" i="6"/>
  <c r="R161" i="6"/>
  <c r="Q161" i="6"/>
  <c r="P161" i="6"/>
  <c r="M161" i="6"/>
  <c r="L161" i="6"/>
  <c r="J161" i="6"/>
  <c r="I161" i="6"/>
  <c r="H161" i="6"/>
  <c r="G161" i="6"/>
  <c r="F161" i="6"/>
  <c r="AB160" i="6"/>
  <c r="AA160" i="6"/>
  <c r="W160" i="6"/>
  <c r="V160" i="6"/>
  <c r="U160" i="6"/>
  <c r="T160" i="6"/>
  <c r="S160" i="6"/>
  <c r="R160" i="6"/>
  <c r="Q160" i="6"/>
  <c r="P160" i="6"/>
  <c r="M160" i="6"/>
  <c r="L160" i="6"/>
  <c r="J160" i="6"/>
  <c r="I160" i="6"/>
  <c r="H160" i="6"/>
  <c r="G160" i="6"/>
  <c r="F160" i="6"/>
  <c r="AB159" i="6"/>
  <c r="AA159" i="6"/>
  <c r="W159" i="6"/>
  <c r="V159" i="6"/>
  <c r="U159" i="6"/>
  <c r="T159" i="6"/>
  <c r="S159" i="6"/>
  <c r="R159" i="6"/>
  <c r="Q159" i="6"/>
  <c r="P159" i="6"/>
  <c r="M159" i="6"/>
  <c r="L159" i="6"/>
  <c r="J159" i="6"/>
  <c r="I159" i="6"/>
  <c r="H159" i="6"/>
  <c r="G159" i="6"/>
  <c r="F159" i="6"/>
  <c r="AB158" i="6"/>
  <c r="AA158" i="6"/>
  <c r="W158" i="6"/>
  <c r="V158" i="6"/>
  <c r="U158" i="6"/>
  <c r="T158" i="6"/>
  <c r="S158" i="6"/>
  <c r="R158" i="6"/>
  <c r="Q158" i="6"/>
  <c r="P158" i="6"/>
  <c r="M158" i="6"/>
  <c r="L158" i="6"/>
  <c r="J158" i="6"/>
  <c r="K158" i="6" s="1"/>
  <c r="I158" i="6"/>
  <c r="H158" i="6"/>
  <c r="G158" i="6"/>
  <c r="F158" i="6"/>
  <c r="AB157" i="6"/>
  <c r="AA157" i="6"/>
  <c r="W157" i="6"/>
  <c r="V157" i="6"/>
  <c r="U157" i="6"/>
  <c r="T157" i="6"/>
  <c r="S157" i="6"/>
  <c r="R157" i="6"/>
  <c r="Q157" i="6"/>
  <c r="P157" i="6"/>
  <c r="M157" i="6"/>
  <c r="L157" i="6"/>
  <c r="J157" i="6"/>
  <c r="I157" i="6"/>
  <c r="H157" i="6"/>
  <c r="G157" i="6"/>
  <c r="F157" i="6"/>
  <c r="K157" i="6" s="1"/>
  <c r="AB156" i="6"/>
  <c r="AA156" i="6"/>
  <c r="W156" i="6"/>
  <c r="V156" i="6"/>
  <c r="U156" i="6"/>
  <c r="T156" i="6"/>
  <c r="S156" i="6"/>
  <c r="R156" i="6"/>
  <c r="Q156" i="6"/>
  <c r="P156" i="6"/>
  <c r="M156" i="6"/>
  <c r="L156" i="6"/>
  <c r="J156" i="6"/>
  <c r="I156" i="6"/>
  <c r="H156" i="6"/>
  <c r="G156" i="6"/>
  <c r="F156" i="6"/>
  <c r="AB155" i="6"/>
  <c r="AA155" i="6"/>
  <c r="W155" i="6"/>
  <c r="V155" i="6"/>
  <c r="U155" i="6"/>
  <c r="T155" i="6"/>
  <c r="S155" i="6"/>
  <c r="R155" i="6"/>
  <c r="Q155" i="6"/>
  <c r="P155" i="6"/>
  <c r="M155" i="6"/>
  <c r="L155" i="6"/>
  <c r="J155" i="6"/>
  <c r="I155" i="6"/>
  <c r="H155" i="6"/>
  <c r="G155" i="6"/>
  <c r="F155" i="6"/>
  <c r="AB154" i="6"/>
  <c r="AA154" i="6"/>
  <c r="W154" i="6"/>
  <c r="V154" i="6"/>
  <c r="U154" i="6"/>
  <c r="T154" i="6"/>
  <c r="S154" i="6"/>
  <c r="R154" i="6"/>
  <c r="Q154" i="6"/>
  <c r="P154" i="6"/>
  <c r="M154" i="6"/>
  <c r="L154" i="6"/>
  <c r="J154" i="6"/>
  <c r="I154" i="6"/>
  <c r="H154" i="6"/>
  <c r="G154" i="6"/>
  <c r="F154" i="6"/>
  <c r="AB153" i="6"/>
  <c r="AA153" i="6"/>
  <c r="W153" i="6"/>
  <c r="V153" i="6"/>
  <c r="U153" i="6"/>
  <c r="T153" i="6"/>
  <c r="S153" i="6"/>
  <c r="R153" i="6"/>
  <c r="Q153" i="6"/>
  <c r="P153" i="6"/>
  <c r="M153" i="6"/>
  <c r="L153" i="6"/>
  <c r="J153" i="6"/>
  <c r="I153" i="6"/>
  <c r="H153" i="6"/>
  <c r="G153" i="6"/>
  <c r="F153" i="6"/>
  <c r="AB152" i="6"/>
  <c r="AA152" i="6"/>
  <c r="W152" i="6"/>
  <c r="V152" i="6"/>
  <c r="U152" i="6"/>
  <c r="T152" i="6"/>
  <c r="S152" i="6"/>
  <c r="R152" i="6"/>
  <c r="Q152" i="6"/>
  <c r="P152" i="6"/>
  <c r="M152" i="6"/>
  <c r="L152" i="6"/>
  <c r="J152" i="6"/>
  <c r="I152" i="6"/>
  <c r="H152" i="6"/>
  <c r="G152" i="6"/>
  <c r="F152" i="6"/>
  <c r="AB151" i="6"/>
  <c r="AA151" i="6"/>
  <c r="W151" i="6"/>
  <c r="V151" i="6"/>
  <c r="U151" i="6"/>
  <c r="T151" i="6"/>
  <c r="S151" i="6"/>
  <c r="R151" i="6"/>
  <c r="Q151" i="6"/>
  <c r="P151" i="6"/>
  <c r="M151" i="6"/>
  <c r="L151" i="6"/>
  <c r="J151" i="6"/>
  <c r="I151" i="6"/>
  <c r="H151" i="6"/>
  <c r="G151" i="6"/>
  <c r="F151" i="6"/>
  <c r="AB150" i="6"/>
  <c r="AA150" i="6"/>
  <c r="W150" i="6"/>
  <c r="V150" i="6"/>
  <c r="U150" i="6"/>
  <c r="T150" i="6"/>
  <c r="S150" i="6"/>
  <c r="R150" i="6"/>
  <c r="Q150" i="6"/>
  <c r="P150" i="6"/>
  <c r="M150" i="6"/>
  <c r="L150" i="6"/>
  <c r="J150" i="6"/>
  <c r="I150" i="6"/>
  <c r="H150" i="6"/>
  <c r="G150" i="6"/>
  <c r="F150" i="6"/>
  <c r="AB149" i="6"/>
  <c r="AA149" i="6"/>
  <c r="W149" i="6"/>
  <c r="V149" i="6"/>
  <c r="U149" i="6"/>
  <c r="T149" i="6"/>
  <c r="S149" i="6"/>
  <c r="R149" i="6"/>
  <c r="Q149" i="6"/>
  <c r="P149" i="6"/>
  <c r="M149" i="6"/>
  <c r="L149" i="6"/>
  <c r="J149" i="6"/>
  <c r="I149" i="6"/>
  <c r="H149" i="6"/>
  <c r="G149" i="6"/>
  <c r="F149" i="6"/>
  <c r="K149" i="6" s="1"/>
  <c r="AB148" i="6"/>
  <c r="AA148" i="6"/>
  <c r="W148" i="6"/>
  <c r="V148" i="6"/>
  <c r="U148" i="6"/>
  <c r="T148" i="6"/>
  <c r="S148" i="6"/>
  <c r="R148" i="6"/>
  <c r="Q148" i="6"/>
  <c r="P148" i="6"/>
  <c r="M148" i="6"/>
  <c r="L148" i="6"/>
  <c r="J148" i="6"/>
  <c r="I148" i="6"/>
  <c r="H148" i="6"/>
  <c r="G148" i="6"/>
  <c r="F148" i="6"/>
  <c r="AB147" i="6"/>
  <c r="AA147" i="6"/>
  <c r="W147" i="6"/>
  <c r="V147" i="6"/>
  <c r="U147" i="6"/>
  <c r="T147" i="6"/>
  <c r="S147" i="6"/>
  <c r="R147" i="6"/>
  <c r="Q147" i="6"/>
  <c r="P147" i="6"/>
  <c r="M147" i="6"/>
  <c r="L147" i="6"/>
  <c r="J147" i="6"/>
  <c r="I147" i="6"/>
  <c r="H147" i="6"/>
  <c r="G147" i="6"/>
  <c r="F147" i="6"/>
  <c r="AB146" i="6"/>
  <c r="AA146" i="6"/>
  <c r="W146" i="6"/>
  <c r="V146" i="6"/>
  <c r="U146" i="6"/>
  <c r="T146" i="6"/>
  <c r="S146" i="6"/>
  <c r="R146" i="6"/>
  <c r="Q146" i="6"/>
  <c r="P146" i="6"/>
  <c r="M146" i="6"/>
  <c r="L146" i="6"/>
  <c r="J146" i="6"/>
  <c r="I146" i="6"/>
  <c r="H146" i="6"/>
  <c r="G146" i="6"/>
  <c r="F146" i="6"/>
  <c r="K146" i="6" s="1"/>
  <c r="AB145" i="6"/>
  <c r="AA145" i="6"/>
  <c r="W145" i="6"/>
  <c r="V145" i="6"/>
  <c r="U145" i="6"/>
  <c r="T145" i="6"/>
  <c r="S145" i="6"/>
  <c r="R145" i="6"/>
  <c r="Q145" i="6"/>
  <c r="P145" i="6"/>
  <c r="M145" i="6"/>
  <c r="L145" i="6"/>
  <c r="J145" i="6"/>
  <c r="I145" i="6"/>
  <c r="H145" i="6"/>
  <c r="G145" i="6"/>
  <c r="F145" i="6"/>
  <c r="AB144" i="6"/>
  <c r="AA144" i="6"/>
  <c r="W144" i="6"/>
  <c r="V144" i="6"/>
  <c r="U144" i="6"/>
  <c r="T144" i="6"/>
  <c r="S144" i="6"/>
  <c r="R144" i="6"/>
  <c r="Q144" i="6"/>
  <c r="P144" i="6"/>
  <c r="M144" i="6"/>
  <c r="L144" i="6"/>
  <c r="J144" i="6"/>
  <c r="I144" i="6"/>
  <c r="H144" i="6"/>
  <c r="G144" i="6"/>
  <c r="F144" i="6"/>
  <c r="AB143" i="6"/>
  <c r="AA143" i="6"/>
  <c r="W143" i="6"/>
  <c r="V143" i="6"/>
  <c r="U143" i="6"/>
  <c r="T143" i="6"/>
  <c r="S143" i="6"/>
  <c r="R143" i="6"/>
  <c r="Q143" i="6"/>
  <c r="P143" i="6"/>
  <c r="M143" i="6"/>
  <c r="L143" i="6"/>
  <c r="J143" i="6"/>
  <c r="I143" i="6"/>
  <c r="H143" i="6"/>
  <c r="G143" i="6"/>
  <c r="F143" i="6"/>
  <c r="AB142" i="6"/>
  <c r="AA142" i="6"/>
  <c r="W142" i="6"/>
  <c r="V142" i="6"/>
  <c r="U142" i="6"/>
  <c r="T142" i="6"/>
  <c r="S142" i="6"/>
  <c r="R142" i="6"/>
  <c r="Q142" i="6"/>
  <c r="P142" i="6"/>
  <c r="M142" i="6"/>
  <c r="L142" i="6"/>
  <c r="J142" i="6"/>
  <c r="I142" i="6"/>
  <c r="H142" i="6"/>
  <c r="G142" i="6"/>
  <c r="F142" i="6"/>
  <c r="AB141" i="6"/>
  <c r="AA141" i="6"/>
  <c r="W141" i="6"/>
  <c r="V141" i="6"/>
  <c r="U141" i="6"/>
  <c r="T141" i="6"/>
  <c r="S141" i="6"/>
  <c r="R141" i="6"/>
  <c r="Q141" i="6"/>
  <c r="P141" i="6"/>
  <c r="M141" i="6"/>
  <c r="L141" i="6"/>
  <c r="J141" i="6"/>
  <c r="I141" i="6"/>
  <c r="H141" i="6"/>
  <c r="G141" i="6"/>
  <c r="F141" i="6"/>
  <c r="AB140" i="6"/>
  <c r="AA140" i="6"/>
  <c r="W140" i="6"/>
  <c r="V140" i="6"/>
  <c r="U140" i="6"/>
  <c r="T140" i="6"/>
  <c r="S140" i="6"/>
  <c r="R140" i="6"/>
  <c r="Q140" i="6"/>
  <c r="P140" i="6"/>
  <c r="M140" i="6"/>
  <c r="L140" i="6"/>
  <c r="J140" i="6"/>
  <c r="I140" i="6"/>
  <c r="H140" i="6"/>
  <c r="G140" i="6"/>
  <c r="F140" i="6"/>
  <c r="AB139" i="6"/>
  <c r="AA139" i="6"/>
  <c r="W139" i="6"/>
  <c r="V139" i="6"/>
  <c r="U139" i="6"/>
  <c r="T139" i="6"/>
  <c r="S139" i="6"/>
  <c r="R139" i="6"/>
  <c r="Q139" i="6"/>
  <c r="P139" i="6"/>
  <c r="M139" i="6"/>
  <c r="L139" i="6"/>
  <c r="J139" i="6"/>
  <c r="I139" i="6"/>
  <c r="H139" i="6"/>
  <c r="G139" i="6"/>
  <c r="F139" i="6"/>
  <c r="AB138" i="6"/>
  <c r="AA138" i="6"/>
  <c r="W138" i="6"/>
  <c r="V138" i="6"/>
  <c r="U138" i="6"/>
  <c r="T138" i="6"/>
  <c r="S138" i="6"/>
  <c r="R138" i="6"/>
  <c r="Q138" i="6"/>
  <c r="P138" i="6"/>
  <c r="M138" i="6"/>
  <c r="L138" i="6"/>
  <c r="J138" i="6"/>
  <c r="I138" i="6"/>
  <c r="H138" i="6"/>
  <c r="G138" i="6"/>
  <c r="F138" i="6"/>
  <c r="K138" i="6" s="1"/>
  <c r="AB137" i="6"/>
  <c r="AA137" i="6"/>
  <c r="W137" i="6"/>
  <c r="V137" i="6"/>
  <c r="U137" i="6"/>
  <c r="T137" i="6"/>
  <c r="S137" i="6"/>
  <c r="R137" i="6"/>
  <c r="Q137" i="6"/>
  <c r="P137" i="6"/>
  <c r="M137" i="6"/>
  <c r="L137" i="6"/>
  <c r="J137" i="6"/>
  <c r="I137" i="6"/>
  <c r="H137" i="6"/>
  <c r="G137" i="6"/>
  <c r="F137" i="6"/>
  <c r="AB136" i="6"/>
  <c r="AA136" i="6"/>
  <c r="W136" i="6"/>
  <c r="V136" i="6"/>
  <c r="U136" i="6"/>
  <c r="T136" i="6"/>
  <c r="S136" i="6"/>
  <c r="R136" i="6"/>
  <c r="Q136" i="6"/>
  <c r="P136" i="6"/>
  <c r="M136" i="6"/>
  <c r="L136" i="6"/>
  <c r="J136" i="6"/>
  <c r="I136" i="6"/>
  <c r="H136" i="6"/>
  <c r="G136" i="6"/>
  <c r="F136" i="6"/>
  <c r="AB135" i="6"/>
  <c r="AA135" i="6"/>
  <c r="W135" i="6"/>
  <c r="V135" i="6"/>
  <c r="U135" i="6"/>
  <c r="T135" i="6"/>
  <c r="S135" i="6"/>
  <c r="R135" i="6"/>
  <c r="Q135" i="6"/>
  <c r="P135" i="6"/>
  <c r="M135" i="6"/>
  <c r="L135" i="6"/>
  <c r="J135" i="6"/>
  <c r="I135" i="6"/>
  <c r="H135" i="6"/>
  <c r="G135" i="6"/>
  <c r="F135" i="6"/>
  <c r="AB134" i="6"/>
  <c r="AA134" i="6"/>
  <c r="W134" i="6"/>
  <c r="V134" i="6"/>
  <c r="U134" i="6"/>
  <c r="T134" i="6"/>
  <c r="S134" i="6"/>
  <c r="R134" i="6"/>
  <c r="Q134" i="6"/>
  <c r="P134" i="6"/>
  <c r="M134" i="6"/>
  <c r="L134" i="6"/>
  <c r="J134" i="6"/>
  <c r="I134" i="6"/>
  <c r="H134" i="6"/>
  <c r="G134" i="6"/>
  <c r="F134" i="6"/>
  <c r="AB133" i="6"/>
  <c r="AA133" i="6"/>
  <c r="W133" i="6"/>
  <c r="V133" i="6"/>
  <c r="U133" i="6"/>
  <c r="T133" i="6"/>
  <c r="S133" i="6"/>
  <c r="R133" i="6"/>
  <c r="Q133" i="6"/>
  <c r="P133" i="6"/>
  <c r="M133" i="6"/>
  <c r="L133" i="6"/>
  <c r="J133" i="6"/>
  <c r="I133" i="6"/>
  <c r="H133" i="6"/>
  <c r="G133" i="6"/>
  <c r="F133" i="6"/>
  <c r="AB132" i="6"/>
  <c r="AA132" i="6"/>
  <c r="W132" i="6"/>
  <c r="V132" i="6"/>
  <c r="U132" i="6"/>
  <c r="T132" i="6"/>
  <c r="S132" i="6"/>
  <c r="R132" i="6"/>
  <c r="Q132" i="6"/>
  <c r="P132" i="6"/>
  <c r="M132" i="6"/>
  <c r="L132" i="6"/>
  <c r="J132" i="6"/>
  <c r="I132" i="6"/>
  <c r="H132" i="6"/>
  <c r="G132" i="6"/>
  <c r="F132" i="6"/>
  <c r="AB131" i="6"/>
  <c r="AA131" i="6"/>
  <c r="W131" i="6"/>
  <c r="V131" i="6"/>
  <c r="U131" i="6"/>
  <c r="T131" i="6"/>
  <c r="S131" i="6"/>
  <c r="R131" i="6"/>
  <c r="Q131" i="6"/>
  <c r="P131" i="6"/>
  <c r="M131" i="6"/>
  <c r="L131" i="6"/>
  <c r="J131" i="6"/>
  <c r="I131" i="6"/>
  <c r="H131" i="6"/>
  <c r="G131" i="6"/>
  <c r="F131" i="6"/>
  <c r="AB130" i="6"/>
  <c r="AA130" i="6"/>
  <c r="W130" i="6"/>
  <c r="V130" i="6"/>
  <c r="U130" i="6"/>
  <c r="T130" i="6"/>
  <c r="S130" i="6"/>
  <c r="R130" i="6"/>
  <c r="Q130" i="6"/>
  <c r="P130" i="6"/>
  <c r="M130" i="6"/>
  <c r="L130" i="6"/>
  <c r="J130" i="6"/>
  <c r="I130" i="6"/>
  <c r="H130" i="6"/>
  <c r="G130" i="6"/>
  <c r="F130" i="6"/>
  <c r="K130" i="6" s="1"/>
  <c r="AB129" i="6"/>
  <c r="AA129" i="6"/>
  <c r="W129" i="6"/>
  <c r="V129" i="6"/>
  <c r="U129" i="6"/>
  <c r="T129" i="6"/>
  <c r="S129" i="6"/>
  <c r="R129" i="6"/>
  <c r="Q129" i="6"/>
  <c r="P129" i="6"/>
  <c r="M129" i="6"/>
  <c r="L129" i="6"/>
  <c r="J129" i="6"/>
  <c r="I129" i="6"/>
  <c r="H129" i="6"/>
  <c r="G129" i="6"/>
  <c r="F129" i="6"/>
  <c r="AB128" i="6"/>
  <c r="AA128" i="6"/>
  <c r="W128" i="6"/>
  <c r="V128" i="6"/>
  <c r="U128" i="6"/>
  <c r="T128" i="6"/>
  <c r="S128" i="6"/>
  <c r="R128" i="6"/>
  <c r="Q128" i="6"/>
  <c r="P128" i="6"/>
  <c r="M128" i="6"/>
  <c r="L128" i="6"/>
  <c r="J128" i="6"/>
  <c r="I128" i="6"/>
  <c r="H128" i="6"/>
  <c r="G128" i="6"/>
  <c r="F128" i="6"/>
  <c r="AB127" i="6"/>
  <c r="AA127" i="6"/>
  <c r="W127" i="6"/>
  <c r="V127" i="6"/>
  <c r="U127" i="6"/>
  <c r="T127" i="6"/>
  <c r="S127" i="6"/>
  <c r="R127" i="6"/>
  <c r="Q127" i="6"/>
  <c r="P127" i="6"/>
  <c r="M127" i="6"/>
  <c r="L127" i="6"/>
  <c r="J127" i="6"/>
  <c r="I127" i="6"/>
  <c r="H127" i="6"/>
  <c r="G127" i="6"/>
  <c r="F127" i="6"/>
  <c r="AB126" i="6"/>
  <c r="AA126" i="6"/>
  <c r="W126" i="6"/>
  <c r="V126" i="6"/>
  <c r="U126" i="6"/>
  <c r="T126" i="6"/>
  <c r="S126" i="6"/>
  <c r="R126" i="6"/>
  <c r="Q126" i="6"/>
  <c r="P126" i="6"/>
  <c r="M126" i="6"/>
  <c r="L126" i="6"/>
  <c r="J126" i="6"/>
  <c r="I126" i="6"/>
  <c r="H126" i="6"/>
  <c r="G126" i="6"/>
  <c r="F126" i="6"/>
  <c r="AB125" i="6"/>
  <c r="AA125" i="6"/>
  <c r="W125" i="6"/>
  <c r="V125" i="6"/>
  <c r="U125" i="6"/>
  <c r="T125" i="6"/>
  <c r="S125" i="6"/>
  <c r="R125" i="6"/>
  <c r="Q125" i="6"/>
  <c r="P125" i="6"/>
  <c r="M125" i="6"/>
  <c r="L125" i="6"/>
  <c r="J125" i="6"/>
  <c r="I125" i="6"/>
  <c r="H125" i="6"/>
  <c r="G125" i="6"/>
  <c r="F125" i="6"/>
  <c r="AB124" i="6"/>
  <c r="AA124" i="6"/>
  <c r="W124" i="6"/>
  <c r="V124" i="6"/>
  <c r="U124" i="6"/>
  <c r="T124" i="6"/>
  <c r="S124" i="6"/>
  <c r="R124" i="6"/>
  <c r="Q124" i="6"/>
  <c r="P124" i="6"/>
  <c r="M124" i="6"/>
  <c r="L124" i="6"/>
  <c r="J124" i="6"/>
  <c r="I124" i="6"/>
  <c r="H124" i="6"/>
  <c r="G124" i="6"/>
  <c r="F124" i="6"/>
  <c r="AB123" i="6"/>
  <c r="AA123" i="6"/>
  <c r="W123" i="6"/>
  <c r="V123" i="6"/>
  <c r="U123" i="6"/>
  <c r="T123" i="6"/>
  <c r="S123" i="6"/>
  <c r="R123" i="6"/>
  <c r="Q123" i="6"/>
  <c r="P123" i="6"/>
  <c r="M123" i="6"/>
  <c r="L123" i="6"/>
  <c r="J123" i="6"/>
  <c r="I123" i="6"/>
  <c r="H123" i="6"/>
  <c r="G123" i="6"/>
  <c r="F123" i="6"/>
  <c r="AB122" i="6"/>
  <c r="AA122" i="6"/>
  <c r="W122" i="6"/>
  <c r="V122" i="6"/>
  <c r="U122" i="6"/>
  <c r="T122" i="6"/>
  <c r="S122" i="6"/>
  <c r="R122" i="6"/>
  <c r="Q122" i="6"/>
  <c r="P122" i="6"/>
  <c r="M122" i="6"/>
  <c r="L122" i="6"/>
  <c r="J122" i="6"/>
  <c r="I122" i="6"/>
  <c r="H122" i="6"/>
  <c r="G122" i="6"/>
  <c r="F122" i="6"/>
  <c r="AB121" i="6"/>
  <c r="AA121" i="6"/>
  <c r="W121" i="6"/>
  <c r="V121" i="6"/>
  <c r="U121" i="6"/>
  <c r="T121" i="6"/>
  <c r="S121" i="6"/>
  <c r="R121" i="6"/>
  <c r="Q121" i="6"/>
  <c r="P121" i="6"/>
  <c r="M121" i="6"/>
  <c r="L121" i="6"/>
  <c r="J121" i="6"/>
  <c r="I121" i="6"/>
  <c r="H121" i="6"/>
  <c r="G121" i="6"/>
  <c r="F121" i="6"/>
  <c r="AB120" i="6"/>
  <c r="AA120" i="6"/>
  <c r="W120" i="6"/>
  <c r="V120" i="6"/>
  <c r="U120" i="6"/>
  <c r="T120" i="6"/>
  <c r="S120" i="6"/>
  <c r="R120" i="6"/>
  <c r="Q120" i="6"/>
  <c r="P120" i="6"/>
  <c r="M120" i="6"/>
  <c r="L120" i="6"/>
  <c r="J120" i="6"/>
  <c r="I120" i="6"/>
  <c r="H120" i="6"/>
  <c r="G120" i="6"/>
  <c r="F120" i="6"/>
  <c r="AB119" i="6"/>
  <c r="AA119" i="6"/>
  <c r="W119" i="6"/>
  <c r="V119" i="6"/>
  <c r="U119" i="6"/>
  <c r="T119" i="6"/>
  <c r="S119" i="6"/>
  <c r="R119" i="6"/>
  <c r="Q119" i="6"/>
  <c r="P119" i="6"/>
  <c r="M119" i="6"/>
  <c r="L119" i="6"/>
  <c r="J119" i="6"/>
  <c r="I119" i="6"/>
  <c r="H119" i="6"/>
  <c r="G119" i="6"/>
  <c r="F119" i="6"/>
  <c r="AB118" i="6"/>
  <c r="AA118" i="6"/>
  <c r="W118" i="6"/>
  <c r="V118" i="6"/>
  <c r="U118" i="6"/>
  <c r="T118" i="6"/>
  <c r="S118" i="6"/>
  <c r="R118" i="6"/>
  <c r="Q118" i="6"/>
  <c r="P118" i="6"/>
  <c r="M118" i="6"/>
  <c r="L118" i="6"/>
  <c r="J118" i="6"/>
  <c r="I118" i="6"/>
  <c r="H118" i="6"/>
  <c r="G118" i="6"/>
  <c r="F118" i="6"/>
  <c r="AB117" i="6"/>
  <c r="AA117" i="6"/>
  <c r="W117" i="6"/>
  <c r="V117" i="6"/>
  <c r="U117" i="6"/>
  <c r="T117" i="6"/>
  <c r="S117" i="6"/>
  <c r="R117" i="6"/>
  <c r="Q117" i="6"/>
  <c r="P117" i="6"/>
  <c r="M117" i="6"/>
  <c r="L117" i="6"/>
  <c r="J117" i="6"/>
  <c r="I117" i="6"/>
  <c r="H117" i="6"/>
  <c r="G117" i="6"/>
  <c r="F117" i="6"/>
  <c r="AB116" i="6"/>
  <c r="AA116" i="6"/>
  <c r="W116" i="6"/>
  <c r="V116" i="6"/>
  <c r="U116" i="6"/>
  <c r="T116" i="6"/>
  <c r="S116" i="6"/>
  <c r="R116" i="6"/>
  <c r="Q116" i="6"/>
  <c r="P116" i="6"/>
  <c r="M116" i="6"/>
  <c r="L116" i="6"/>
  <c r="J116" i="6"/>
  <c r="I116" i="6"/>
  <c r="H116" i="6"/>
  <c r="G116" i="6"/>
  <c r="F116" i="6"/>
  <c r="AB115" i="6"/>
  <c r="AA115" i="6"/>
  <c r="W115" i="6"/>
  <c r="V115" i="6"/>
  <c r="U115" i="6"/>
  <c r="T115" i="6"/>
  <c r="S115" i="6"/>
  <c r="R115" i="6"/>
  <c r="Q115" i="6"/>
  <c r="P115" i="6"/>
  <c r="M115" i="6"/>
  <c r="L115" i="6"/>
  <c r="J115" i="6"/>
  <c r="I115" i="6"/>
  <c r="H115" i="6"/>
  <c r="G115" i="6"/>
  <c r="F115" i="6"/>
  <c r="AB114" i="6"/>
  <c r="AA114" i="6"/>
  <c r="W114" i="6"/>
  <c r="V114" i="6"/>
  <c r="U114" i="6"/>
  <c r="T114" i="6"/>
  <c r="S114" i="6"/>
  <c r="R114" i="6"/>
  <c r="Q114" i="6"/>
  <c r="P114" i="6"/>
  <c r="M114" i="6"/>
  <c r="L114" i="6"/>
  <c r="J114" i="6"/>
  <c r="I114" i="6"/>
  <c r="H114" i="6"/>
  <c r="G114" i="6"/>
  <c r="F114" i="6"/>
  <c r="AB109" i="6"/>
  <c r="AA109" i="6"/>
  <c r="W109" i="6"/>
  <c r="V109" i="6"/>
  <c r="U109" i="6"/>
  <c r="T109" i="6"/>
  <c r="S109" i="6"/>
  <c r="R109" i="6"/>
  <c r="Q109" i="6"/>
  <c r="P109" i="6"/>
  <c r="M109" i="6"/>
  <c r="L109" i="6"/>
  <c r="J109" i="6"/>
  <c r="I109" i="6"/>
  <c r="H109" i="6"/>
  <c r="G109" i="6"/>
  <c r="F109" i="6"/>
  <c r="AB108" i="6"/>
  <c r="AA108" i="6"/>
  <c r="W108" i="6"/>
  <c r="V108" i="6"/>
  <c r="U108" i="6"/>
  <c r="T108" i="6"/>
  <c r="S108" i="6"/>
  <c r="R108" i="6"/>
  <c r="Q108" i="6"/>
  <c r="P108" i="6"/>
  <c r="M108" i="6"/>
  <c r="L108" i="6"/>
  <c r="J108" i="6"/>
  <c r="I108" i="6"/>
  <c r="H108" i="6"/>
  <c r="G108" i="6"/>
  <c r="F108" i="6"/>
  <c r="AB107" i="6"/>
  <c r="AA107" i="6"/>
  <c r="W107" i="6"/>
  <c r="V107" i="6"/>
  <c r="U107" i="6"/>
  <c r="T107" i="6"/>
  <c r="S107" i="6"/>
  <c r="R107" i="6"/>
  <c r="Q107" i="6"/>
  <c r="P107" i="6"/>
  <c r="M107" i="6"/>
  <c r="L107" i="6"/>
  <c r="J107" i="6"/>
  <c r="I107" i="6"/>
  <c r="H107" i="6"/>
  <c r="G107" i="6"/>
  <c r="F107" i="6"/>
  <c r="AB106" i="6"/>
  <c r="AA106" i="6"/>
  <c r="W106" i="6"/>
  <c r="V106" i="6"/>
  <c r="U106" i="6"/>
  <c r="T106" i="6"/>
  <c r="S106" i="6"/>
  <c r="R106" i="6"/>
  <c r="Q106" i="6"/>
  <c r="P106" i="6"/>
  <c r="M106" i="6"/>
  <c r="L106" i="6"/>
  <c r="J106" i="6"/>
  <c r="I106" i="6"/>
  <c r="H106" i="6"/>
  <c r="G106" i="6"/>
  <c r="F106" i="6"/>
  <c r="AB105" i="6"/>
  <c r="AA105" i="6"/>
  <c r="W105" i="6"/>
  <c r="V105" i="6"/>
  <c r="U105" i="6"/>
  <c r="T105" i="6"/>
  <c r="S105" i="6"/>
  <c r="R105" i="6"/>
  <c r="Q105" i="6"/>
  <c r="P105" i="6"/>
  <c r="M105" i="6"/>
  <c r="L105" i="6"/>
  <c r="J105" i="6"/>
  <c r="I105" i="6"/>
  <c r="H105" i="6"/>
  <c r="G105" i="6"/>
  <c r="F105" i="6"/>
  <c r="AB104" i="6"/>
  <c r="AA104" i="6"/>
  <c r="W104" i="6"/>
  <c r="V104" i="6"/>
  <c r="U104" i="6"/>
  <c r="T104" i="6"/>
  <c r="S104" i="6"/>
  <c r="R104" i="6"/>
  <c r="Q104" i="6"/>
  <c r="P104" i="6"/>
  <c r="M104" i="6"/>
  <c r="L104" i="6"/>
  <c r="J104" i="6"/>
  <c r="I104" i="6"/>
  <c r="H104" i="6"/>
  <c r="G104" i="6"/>
  <c r="F104" i="6"/>
  <c r="AB103" i="6"/>
  <c r="AA103" i="6"/>
  <c r="W103" i="6"/>
  <c r="V103" i="6"/>
  <c r="U103" i="6"/>
  <c r="T103" i="6"/>
  <c r="S103" i="6"/>
  <c r="R103" i="6"/>
  <c r="Q103" i="6"/>
  <c r="P103" i="6"/>
  <c r="M103" i="6"/>
  <c r="L103" i="6"/>
  <c r="J103" i="6"/>
  <c r="I103" i="6"/>
  <c r="H103" i="6"/>
  <c r="G103" i="6"/>
  <c r="F103" i="6"/>
  <c r="AB102" i="6"/>
  <c r="AA102" i="6"/>
  <c r="W102" i="6"/>
  <c r="V102" i="6"/>
  <c r="U102" i="6"/>
  <c r="T102" i="6"/>
  <c r="S102" i="6"/>
  <c r="R102" i="6"/>
  <c r="Q102" i="6"/>
  <c r="P102" i="6"/>
  <c r="M102" i="6"/>
  <c r="L102" i="6"/>
  <c r="J102" i="6"/>
  <c r="I102" i="6"/>
  <c r="H102" i="6"/>
  <c r="G102" i="6"/>
  <c r="F102" i="6"/>
  <c r="AB101" i="6"/>
  <c r="AA101" i="6"/>
  <c r="W101" i="6"/>
  <c r="V101" i="6"/>
  <c r="U101" i="6"/>
  <c r="T101" i="6"/>
  <c r="S101" i="6"/>
  <c r="R101" i="6"/>
  <c r="Q101" i="6"/>
  <c r="P101" i="6"/>
  <c r="M101" i="6"/>
  <c r="L101" i="6"/>
  <c r="J101" i="6"/>
  <c r="I101" i="6"/>
  <c r="H101" i="6"/>
  <c r="G101" i="6"/>
  <c r="F101" i="6"/>
  <c r="AB100" i="6"/>
  <c r="AA100" i="6"/>
  <c r="W100" i="6"/>
  <c r="V100" i="6"/>
  <c r="U100" i="6"/>
  <c r="T100" i="6"/>
  <c r="S100" i="6"/>
  <c r="R100" i="6"/>
  <c r="Q100" i="6"/>
  <c r="P100" i="6"/>
  <c r="M100" i="6"/>
  <c r="L100" i="6"/>
  <c r="J100" i="6"/>
  <c r="I100" i="6"/>
  <c r="H100" i="6"/>
  <c r="G100" i="6"/>
  <c r="F100" i="6"/>
  <c r="AB99" i="6"/>
  <c r="AA99" i="6"/>
  <c r="W99" i="6"/>
  <c r="V99" i="6"/>
  <c r="U99" i="6"/>
  <c r="T99" i="6"/>
  <c r="S99" i="6"/>
  <c r="R99" i="6"/>
  <c r="Q99" i="6"/>
  <c r="P99" i="6"/>
  <c r="M99" i="6"/>
  <c r="L99" i="6"/>
  <c r="J99" i="6"/>
  <c r="I99" i="6"/>
  <c r="H99" i="6"/>
  <c r="G99" i="6"/>
  <c r="F99" i="6"/>
  <c r="AB98" i="6"/>
  <c r="AA98" i="6"/>
  <c r="W98" i="6"/>
  <c r="V98" i="6"/>
  <c r="U98" i="6"/>
  <c r="T98" i="6"/>
  <c r="S98" i="6"/>
  <c r="R98" i="6"/>
  <c r="Q98" i="6"/>
  <c r="P98" i="6"/>
  <c r="M98" i="6"/>
  <c r="L98" i="6"/>
  <c r="J98" i="6"/>
  <c r="I98" i="6"/>
  <c r="H98" i="6"/>
  <c r="G98" i="6"/>
  <c r="F98" i="6"/>
  <c r="AB97" i="6"/>
  <c r="AA97" i="6"/>
  <c r="W97" i="6"/>
  <c r="V97" i="6"/>
  <c r="U97" i="6"/>
  <c r="T97" i="6"/>
  <c r="S97" i="6"/>
  <c r="R97" i="6"/>
  <c r="Q97" i="6"/>
  <c r="P97" i="6"/>
  <c r="M97" i="6"/>
  <c r="L97" i="6"/>
  <c r="J97" i="6"/>
  <c r="I97" i="6"/>
  <c r="H97" i="6"/>
  <c r="G97" i="6"/>
  <c r="F97" i="6"/>
  <c r="AB96" i="6"/>
  <c r="AA96" i="6"/>
  <c r="W96" i="6"/>
  <c r="V96" i="6"/>
  <c r="U96" i="6"/>
  <c r="T96" i="6"/>
  <c r="S96" i="6"/>
  <c r="R96" i="6"/>
  <c r="Q96" i="6"/>
  <c r="P96" i="6"/>
  <c r="M96" i="6"/>
  <c r="L96" i="6"/>
  <c r="J96" i="6"/>
  <c r="I96" i="6"/>
  <c r="H96" i="6"/>
  <c r="G96" i="6"/>
  <c r="F96" i="6"/>
  <c r="AB95" i="6"/>
  <c r="AA95" i="6"/>
  <c r="W95" i="6"/>
  <c r="V95" i="6"/>
  <c r="U95" i="6"/>
  <c r="T95" i="6"/>
  <c r="S95" i="6"/>
  <c r="R95" i="6"/>
  <c r="Q95" i="6"/>
  <c r="P95" i="6"/>
  <c r="M95" i="6"/>
  <c r="L95" i="6"/>
  <c r="J95" i="6"/>
  <c r="I95" i="6"/>
  <c r="H95" i="6"/>
  <c r="G95" i="6"/>
  <c r="F95" i="6"/>
  <c r="AB94" i="6"/>
  <c r="AA94" i="6"/>
  <c r="W94" i="6"/>
  <c r="V94" i="6"/>
  <c r="U94" i="6"/>
  <c r="T94" i="6"/>
  <c r="S94" i="6"/>
  <c r="R94" i="6"/>
  <c r="Q94" i="6"/>
  <c r="P94" i="6"/>
  <c r="M94" i="6"/>
  <c r="L94" i="6"/>
  <c r="J94" i="6"/>
  <c r="I94" i="6"/>
  <c r="H94" i="6"/>
  <c r="G94" i="6"/>
  <c r="F94" i="6"/>
  <c r="K94" i="6" s="1"/>
  <c r="AB93" i="6"/>
  <c r="AA93" i="6"/>
  <c r="W93" i="6"/>
  <c r="V93" i="6"/>
  <c r="U93" i="6"/>
  <c r="T93" i="6"/>
  <c r="S93" i="6"/>
  <c r="R93" i="6"/>
  <c r="Q93" i="6"/>
  <c r="P93" i="6"/>
  <c r="M93" i="6"/>
  <c r="L93" i="6"/>
  <c r="J93" i="6"/>
  <c r="I93" i="6"/>
  <c r="H93" i="6"/>
  <c r="G93" i="6"/>
  <c r="F93" i="6"/>
  <c r="AB92" i="6"/>
  <c r="AA92" i="6"/>
  <c r="W92" i="6"/>
  <c r="V92" i="6"/>
  <c r="U92" i="6"/>
  <c r="T92" i="6"/>
  <c r="S92" i="6"/>
  <c r="R92" i="6"/>
  <c r="Q92" i="6"/>
  <c r="P92" i="6"/>
  <c r="M92" i="6"/>
  <c r="L92" i="6"/>
  <c r="J92" i="6"/>
  <c r="I92" i="6"/>
  <c r="H92" i="6"/>
  <c r="G92" i="6"/>
  <c r="F92" i="6"/>
  <c r="AB91" i="6"/>
  <c r="AA91" i="6"/>
  <c r="W91" i="6"/>
  <c r="V91" i="6"/>
  <c r="U91" i="6"/>
  <c r="T91" i="6"/>
  <c r="S91" i="6"/>
  <c r="R91" i="6"/>
  <c r="Q91" i="6"/>
  <c r="P91" i="6"/>
  <c r="M91" i="6"/>
  <c r="L91" i="6"/>
  <c r="J91" i="6"/>
  <c r="I91" i="6"/>
  <c r="H91" i="6"/>
  <c r="G91" i="6"/>
  <c r="F91" i="6"/>
  <c r="AB90" i="6"/>
  <c r="AA90" i="6"/>
  <c r="W90" i="6"/>
  <c r="V90" i="6"/>
  <c r="U90" i="6"/>
  <c r="T90" i="6"/>
  <c r="S90" i="6"/>
  <c r="R90" i="6"/>
  <c r="Q90" i="6"/>
  <c r="P90" i="6"/>
  <c r="M90" i="6"/>
  <c r="L90" i="6"/>
  <c r="J90" i="6"/>
  <c r="K90" i="6" s="1"/>
  <c r="I90" i="6"/>
  <c r="H90" i="6"/>
  <c r="G90" i="6"/>
  <c r="F90" i="6"/>
  <c r="AB89" i="6"/>
  <c r="AA89" i="6"/>
  <c r="W89" i="6"/>
  <c r="V89" i="6"/>
  <c r="U89" i="6"/>
  <c r="T89" i="6"/>
  <c r="S89" i="6"/>
  <c r="R89" i="6"/>
  <c r="Q89" i="6"/>
  <c r="P89" i="6"/>
  <c r="M89" i="6"/>
  <c r="L89" i="6"/>
  <c r="J89" i="6"/>
  <c r="I89" i="6"/>
  <c r="H89" i="6"/>
  <c r="G89" i="6"/>
  <c r="F89" i="6"/>
  <c r="K89" i="6" s="1"/>
  <c r="AB88" i="6"/>
  <c r="AA88" i="6"/>
  <c r="W88" i="6"/>
  <c r="V88" i="6"/>
  <c r="U88" i="6"/>
  <c r="T88" i="6"/>
  <c r="S88" i="6"/>
  <c r="R88" i="6"/>
  <c r="Q88" i="6"/>
  <c r="P88" i="6"/>
  <c r="M88" i="6"/>
  <c r="L88" i="6"/>
  <c r="J88" i="6"/>
  <c r="I88" i="6"/>
  <c r="H88" i="6"/>
  <c r="G88" i="6"/>
  <c r="F88" i="6"/>
  <c r="AB87" i="6"/>
  <c r="AA87" i="6"/>
  <c r="W87" i="6"/>
  <c r="V87" i="6"/>
  <c r="U87" i="6"/>
  <c r="T87" i="6"/>
  <c r="S87" i="6"/>
  <c r="R87" i="6"/>
  <c r="Q87" i="6"/>
  <c r="P87" i="6"/>
  <c r="M87" i="6"/>
  <c r="L87" i="6"/>
  <c r="J87" i="6"/>
  <c r="I87" i="6"/>
  <c r="H87" i="6"/>
  <c r="G87" i="6"/>
  <c r="F87" i="6"/>
  <c r="AB86" i="6"/>
  <c r="AA86" i="6"/>
  <c r="W86" i="6"/>
  <c r="V86" i="6"/>
  <c r="U86" i="6"/>
  <c r="T86" i="6"/>
  <c r="S86" i="6"/>
  <c r="R86" i="6"/>
  <c r="Q86" i="6"/>
  <c r="P86" i="6"/>
  <c r="M86" i="6"/>
  <c r="L86" i="6"/>
  <c r="J86" i="6"/>
  <c r="I86" i="6"/>
  <c r="H86" i="6"/>
  <c r="G86" i="6"/>
  <c r="F86" i="6"/>
  <c r="AB85" i="6"/>
  <c r="AA85" i="6"/>
  <c r="W85" i="6"/>
  <c r="V85" i="6"/>
  <c r="U85" i="6"/>
  <c r="T85" i="6"/>
  <c r="S85" i="6"/>
  <c r="R85" i="6"/>
  <c r="Q85" i="6"/>
  <c r="P85" i="6"/>
  <c r="M85" i="6"/>
  <c r="L85" i="6"/>
  <c r="J85" i="6"/>
  <c r="I85" i="6"/>
  <c r="H85" i="6"/>
  <c r="G85" i="6"/>
  <c r="F85" i="6"/>
  <c r="AB84" i="6"/>
  <c r="AA84" i="6"/>
  <c r="W84" i="6"/>
  <c r="V84" i="6"/>
  <c r="U84" i="6"/>
  <c r="T84" i="6"/>
  <c r="S84" i="6"/>
  <c r="R84" i="6"/>
  <c r="Q84" i="6"/>
  <c r="P84" i="6"/>
  <c r="M84" i="6"/>
  <c r="L84" i="6"/>
  <c r="J84" i="6"/>
  <c r="I84" i="6"/>
  <c r="H84" i="6"/>
  <c r="G84" i="6"/>
  <c r="F84" i="6"/>
  <c r="AB83" i="6"/>
  <c r="AA83" i="6"/>
  <c r="W83" i="6"/>
  <c r="V83" i="6"/>
  <c r="U83" i="6"/>
  <c r="T83" i="6"/>
  <c r="S83" i="6"/>
  <c r="R83" i="6"/>
  <c r="Q83" i="6"/>
  <c r="P83" i="6"/>
  <c r="M83" i="6"/>
  <c r="L83" i="6"/>
  <c r="J83" i="6"/>
  <c r="I83" i="6"/>
  <c r="H83" i="6"/>
  <c r="G83" i="6"/>
  <c r="F83" i="6"/>
  <c r="AB82" i="6"/>
  <c r="AA82" i="6"/>
  <c r="W82" i="6"/>
  <c r="V82" i="6"/>
  <c r="U82" i="6"/>
  <c r="T82" i="6"/>
  <c r="S82" i="6"/>
  <c r="R82" i="6"/>
  <c r="Q82" i="6"/>
  <c r="P82" i="6"/>
  <c r="M82" i="6"/>
  <c r="L82" i="6"/>
  <c r="J82" i="6"/>
  <c r="I82" i="6"/>
  <c r="H82" i="6"/>
  <c r="G82" i="6"/>
  <c r="F82" i="6"/>
  <c r="AB81" i="6"/>
  <c r="AA81" i="6"/>
  <c r="W81" i="6"/>
  <c r="V81" i="6"/>
  <c r="U81" i="6"/>
  <c r="T81" i="6"/>
  <c r="S81" i="6"/>
  <c r="R81" i="6"/>
  <c r="Q81" i="6"/>
  <c r="P81" i="6"/>
  <c r="M81" i="6"/>
  <c r="L81" i="6"/>
  <c r="J81" i="6"/>
  <c r="I81" i="6"/>
  <c r="H81" i="6"/>
  <c r="G81" i="6"/>
  <c r="F81" i="6"/>
  <c r="K81" i="6" s="1"/>
  <c r="AB80" i="6"/>
  <c r="AA80" i="6"/>
  <c r="W80" i="6"/>
  <c r="V80" i="6"/>
  <c r="U80" i="6"/>
  <c r="T80" i="6"/>
  <c r="S80" i="6"/>
  <c r="R80" i="6"/>
  <c r="Q80" i="6"/>
  <c r="P80" i="6"/>
  <c r="M80" i="6"/>
  <c r="L80" i="6"/>
  <c r="J80" i="6"/>
  <c r="I80" i="6"/>
  <c r="H80" i="6"/>
  <c r="G80" i="6"/>
  <c r="F80" i="6"/>
  <c r="AB79" i="6"/>
  <c r="AA79" i="6"/>
  <c r="W79" i="6"/>
  <c r="V79" i="6"/>
  <c r="U79" i="6"/>
  <c r="T79" i="6"/>
  <c r="S79" i="6"/>
  <c r="R79" i="6"/>
  <c r="Q79" i="6"/>
  <c r="P79" i="6"/>
  <c r="M79" i="6"/>
  <c r="L79" i="6"/>
  <c r="J79" i="6"/>
  <c r="I79" i="6"/>
  <c r="H79" i="6"/>
  <c r="G79" i="6"/>
  <c r="F79" i="6"/>
  <c r="AB78" i="6"/>
  <c r="AA78" i="6"/>
  <c r="W78" i="6"/>
  <c r="V78" i="6"/>
  <c r="U78" i="6"/>
  <c r="T78" i="6"/>
  <c r="S78" i="6"/>
  <c r="R78" i="6"/>
  <c r="Q78" i="6"/>
  <c r="P78" i="6"/>
  <c r="M78" i="6"/>
  <c r="L78" i="6"/>
  <c r="J78" i="6"/>
  <c r="I78" i="6"/>
  <c r="H78" i="6"/>
  <c r="G78" i="6"/>
  <c r="F78" i="6"/>
  <c r="K78" i="6" s="1"/>
  <c r="AB77" i="6"/>
  <c r="AA77" i="6"/>
  <c r="W77" i="6"/>
  <c r="V77" i="6"/>
  <c r="U77" i="6"/>
  <c r="T77" i="6"/>
  <c r="S77" i="6"/>
  <c r="R77" i="6"/>
  <c r="Q77" i="6"/>
  <c r="P77" i="6"/>
  <c r="M77" i="6"/>
  <c r="L77" i="6"/>
  <c r="J77" i="6"/>
  <c r="I77" i="6"/>
  <c r="H77" i="6"/>
  <c r="G77" i="6"/>
  <c r="F77" i="6"/>
  <c r="AB76" i="6"/>
  <c r="AA76" i="6"/>
  <c r="W76" i="6"/>
  <c r="V76" i="6"/>
  <c r="U76" i="6"/>
  <c r="T76" i="6"/>
  <c r="S76" i="6"/>
  <c r="R76" i="6"/>
  <c r="Q76" i="6"/>
  <c r="P76" i="6"/>
  <c r="M76" i="6"/>
  <c r="L76" i="6"/>
  <c r="J76" i="6"/>
  <c r="I76" i="6"/>
  <c r="H76" i="6"/>
  <c r="G76" i="6"/>
  <c r="F76" i="6"/>
  <c r="AB75" i="6"/>
  <c r="AA75" i="6"/>
  <c r="W75" i="6"/>
  <c r="V75" i="6"/>
  <c r="U75" i="6"/>
  <c r="T75" i="6"/>
  <c r="S75" i="6"/>
  <c r="R75" i="6"/>
  <c r="Q75" i="6"/>
  <c r="P75" i="6"/>
  <c r="M75" i="6"/>
  <c r="L75" i="6"/>
  <c r="J75" i="6"/>
  <c r="I75" i="6"/>
  <c r="H75" i="6"/>
  <c r="G75" i="6"/>
  <c r="F75" i="6"/>
  <c r="AB74" i="6"/>
  <c r="AA74" i="6"/>
  <c r="W74" i="6"/>
  <c r="V74" i="6"/>
  <c r="U74" i="6"/>
  <c r="T74" i="6"/>
  <c r="S74" i="6"/>
  <c r="R74" i="6"/>
  <c r="Q74" i="6"/>
  <c r="P74" i="6"/>
  <c r="M74" i="6"/>
  <c r="L74" i="6"/>
  <c r="J74" i="6"/>
  <c r="I74" i="6"/>
  <c r="H74" i="6"/>
  <c r="G74" i="6"/>
  <c r="F74" i="6"/>
  <c r="AB73" i="6"/>
  <c r="AA73" i="6"/>
  <c r="W73" i="6"/>
  <c r="V73" i="6"/>
  <c r="U73" i="6"/>
  <c r="T73" i="6"/>
  <c r="S73" i="6"/>
  <c r="R73" i="6"/>
  <c r="Q73" i="6"/>
  <c r="P73" i="6"/>
  <c r="M73" i="6"/>
  <c r="L73" i="6"/>
  <c r="J73" i="6"/>
  <c r="I73" i="6"/>
  <c r="H73" i="6"/>
  <c r="G73" i="6"/>
  <c r="F73" i="6"/>
  <c r="AB72" i="6"/>
  <c r="AA72" i="6"/>
  <c r="W72" i="6"/>
  <c r="V72" i="6"/>
  <c r="U72" i="6"/>
  <c r="T72" i="6"/>
  <c r="S72" i="6"/>
  <c r="R72" i="6"/>
  <c r="Q72" i="6"/>
  <c r="P72" i="6"/>
  <c r="M72" i="6"/>
  <c r="L72" i="6"/>
  <c r="J72" i="6"/>
  <c r="I72" i="6"/>
  <c r="H72" i="6"/>
  <c r="G72" i="6"/>
  <c r="F72" i="6"/>
  <c r="AB71" i="6"/>
  <c r="AA71" i="6"/>
  <c r="W71" i="6"/>
  <c r="V71" i="6"/>
  <c r="U71" i="6"/>
  <c r="T71" i="6"/>
  <c r="S71" i="6"/>
  <c r="R71" i="6"/>
  <c r="Q71" i="6"/>
  <c r="P71" i="6"/>
  <c r="M71" i="6"/>
  <c r="L71" i="6"/>
  <c r="J71" i="6"/>
  <c r="I71" i="6"/>
  <c r="H71" i="6"/>
  <c r="G71" i="6"/>
  <c r="F71" i="6"/>
  <c r="AB70" i="6"/>
  <c r="AA70" i="6"/>
  <c r="W70" i="6"/>
  <c r="V70" i="6"/>
  <c r="U70" i="6"/>
  <c r="T70" i="6"/>
  <c r="S70" i="6"/>
  <c r="R70" i="6"/>
  <c r="Q70" i="6"/>
  <c r="P70" i="6"/>
  <c r="M70" i="6"/>
  <c r="L70" i="6"/>
  <c r="J70" i="6"/>
  <c r="I70" i="6"/>
  <c r="H70" i="6"/>
  <c r="G70" i="6"/>
  <c r="F70" i="6"/>
  <c r="K70" i="6" s="1"/>
  <c r="AB69" i="6"/>
  <c r="AA69" i="6"/>
  <c r="W69" i="6"/>
  <c r="V69" i="6"/>
  <c r="U69" i="6"/>
  <c r="T69" i="6"/>
  <c r="S69" i="6"/>
  <c r="R69" i="6"/>
  <c r="Q69" i="6"/>
  <c r="P69" i="6"/>
  <c r="M69" i="6"/>
  <c r="L69" i="6"/>
  <c r="J69" i="6"/>
  <c r="I69" i="6"/>
  <c r="H69" i="6"/>
  <c r="G69" i="6"/>
  <c r="F69" i="6"/>
  <c r="AB68" i="6"/>
  <c r="AA68" i="6"/>
  <c r="W68" i="6"/>
  <c r="V68" i="6"/>
  <c r="U68" i="6"/>
  <c r="T68" i="6"/>
  <c r="S68" i="6"/>
  <c r="R68" i="6"/>
  <c r="Q68" i="6"/>
  <c r="P68" i="6"/>
  <c r="M68" i="6"/>
  <c r="L68" i="6"/>
  <c r="J68" i="6"/>
  <c r="I68" i="6"/>
  <c r="H68" i="6"/>
  <c r="G68" i="6"/>
  <c r="F68" i="6"/>
  <c r="AB67" i="6"/>
  <c r="AA67" i="6"/>
  <c r="W67" i="6"/>
  <c r="V67" i="6"/>
  <c r="U67" i="6"/>
  <c r="T67" i="6"/>
  <c r="S67" i="6"/>
  <c r="R67" i="6"/>
  <c r="Q67" i="6"/>
  <c r="P67" i="6"/>
  <c r="M67" i="6"/>
  <c r="L67" i="6"/>
  <c r="J67" i="6"/>
  <c r="I67" i="6"/>
  <c r="H67" i="6"/>
  <c r="G67" i="6"/>
  <c r="F67" i="6"/>
  <c r="AB66" i="6"/>
  <c r="AA66" i="6"/>
  <c r="W66" i="6"/>
  <c r="V66" i="6"/>
  <c r="U66" i="6"/>
  <c r="T66" i="6"/>
  <c r="S66" i="6"/>
  <c r="R66" i="6"/>
  <c r="Q66" i="6"/>
  <c r="P66" i="6"/>
  <c r="M66" i="6"/>
  <c r="L66" i="6"/>
  <c r="J66" i="6"/>
  <c r="I66" i="6"/>
  <c r="H66" i="6"/>
  <c r="G66" i="6"/>
  <c r="F66" i="6"/>
  <c r="AB65" i="6"/>
  <c r="AA65" i="6"/>
  <c r="W65" i="6"/>
  <c r="V65" i="6"/>
  <c r="U65" i="6"/>
  <c r="T65" i="6"/>
  <c r="S65" i="6"/>
  <c r="R65" i="6"/>
  <c r="Q65" i="6"/>
  <c r="P65" i="6"/>
  <c r="M65" i="6"/>
  <c r="L65" i="6"/>
  <c r="J65" i="6"/>
  <c r="I65" i="6"/>
  <c r="H65" i="6"/>
  <c r="G65" i="6"/>
  <c r="F65" i="6"/>
  <c r="AB64" i="6"/>
  <c r="AA64" i="6"/>
  <c r="W64" i="6"/>
  <c r="V64" i="6"/>
  <c r="U64" i="6"/>
  <c r="T64" i="6"/>
  <c r="S64" i="6"/>
  <c r="R64" i="6"/>
  <c r="Q64" i="6"/>
  <c r="P64" i="6"/>
  <c r="M64" i="6"/>
  <c r="L64" i="6"/>
  <c r="J64" i="6"/>
  <c r="I64" i="6"/>
  <c r="H64" i="6"/>
  <c r="G64" i="6"/>
  <c r="F64" i="6"/>
  <c r="AB63" i="6"/>
  <c r="AA63" i="6"/>
  <c r="W63" i="6"/>
  <c r="V63" i="6"/>
  <c r="U63" i="6"/>
  <c r="T63" i="6"/>
  <c r="S63" i="6"/>
  <c r="R63" i="6"/>
  <c r="Q63" i="6"/>
  <c r="P63" i="6"/>
  <c r="M63" i="6"/>
  <c r="L63" i="6"/>
  <c r="J63" i="6"/>
  <c r="I63" i="6"/>
  <c r="H63" i="6"/>
  <c r="G63" i="6"/>
  <c r="F63" i="6"/>
  <c r="AB62" i="6"/>
  <c r="AA62" i="6"/>
  <c r="W62" i="6"/>
  <c r="V62" i="6"/>
  <c r="U62" i="6"/>
  <c r="T62" i="6"/>
  <c r="S62" i="6"/>
  <c r="R62" i="6"/>
  <c r="Q62" i="6"/>
  <c r="P62" i="6"/>
  <c r="M62" i="6"/>
  <c r="L62" i="6"/>
  <c r="J62" i="6"/>
  <c r="I62" i="6"/>
  <c r="H62" i="6"/>
  <c r="G62" i="6"/>
  <c r="F62" i="6"/>
  <c r="K62" i="6" s="1"/>
  <c r="AB61" i="6"/>
  <c r="AA61" i="6"/>
  <c r="W61" i="6"/>
  <c r="V61" i="6"/>
  <c r="U61" i="6"/>
  <c r="T61" i="6"/>
  <c r="S61" i="6"/>
  <c r="R61" i="6"/>
  <c r="Q61" i="6"/>
  <c r="P61" i="6"/>
  <c r="M61" i="6"/>
  <c r="L61" i="6"/>
  <c r="J61" i="6"/>
  <c r="I61" i="6"/>
  <c r="H61" i="6"/>
  <c r="G61" i="6"/>
  <c r="F61" i="6"/>
  <c r="AB60" i="6"/>
  <c r="AA60" i="6"/>
  <c r="W60" i="6"/>
  <c r="V60" i="6"/>
  <c r="U60" i="6"/>
  <c r="T60" i="6"/>
  <c r="S60" i="6"/>
  <c r="R60" i="6"/>
  <c r="Q60" i="6"/>
  <c r="P60" i="6"/>
  <c r="M60" i="6"/>
  <c r="L60" i="6"/>
  <c r="J60" i="6"/>
  <c r="I60" i="6"/>
  <c r="H60" i="6"/>
  <c r="G60" i="6"/>
  <c r="F60" i="6"/>
  <c r="AB59" i="6"/>
  <c r="AA59" i="6"/>
  <c r="W59" i="6"/>
  <c r="V59" i="6"/>
  <c r="U59" i="6"/>
  <c r="T59" i="6"/>
  <c r="S59" i="6"/>
  <c r="R59" i="6"/>
  <c r="Q59" i="6"/>
  <c r="P59" i="6"/>
  <c r="M59" i="6"/>
  <c r="L59" i="6"/>
  <c r="J59" i="6"/>
  <c r="I59" i="6"/>
  <c r="H59" i="6"/>
  <c r="G59" i="6"/>
  <c r="F59" i="6"/>
  <c r="AB58" i="6"/>
  <c r="AA58" i="6"/>
  <c r="W58" i="6"/>
  <c r="V58" i="6"/>
  <c r="U58" i="6"/>
  <c r="T58" i="6"/>
  <c r="S58" i="6"/>
  <c r="R58" i="6"/>
  <c r="Q58" i="6"/>
  <c r="P58" i="6"/>
  <c r="M58" i="6"/>
  <c r="L58" i="6"/>
  <c r="J58" i="6"/>
  <c r="I58" i="6"/>
  <c r="H58" i="6"/>
  <c r="G58" i="6"/>
  <c r="F58" i="6"/>
  <c r="AB57" i="6"/>
  <c r="AA57" i="6"/>
  <c r="W57" i="6"/>
  <c r="V57" i="6"/>
  <c r="U57" i="6"/>
  <c r="T57" i="6"/>
  <c r="S57" i="6"/>
  <c r="R57" i="6"/>
  <c r="Q57" i="6"/>
  <c r="P57" i="6"/>
  <c r="M57" i="6"/>
  <c r="L57" i="6"/>
  <c r="J57" i="6"/>
  <c r="I57" i="6"/>
  <c r="H57" i="6"/>
  <c r="G57" i="6"/>
  <c r="F57" i="6"/>
  <c r="AB56" i="6"/>
  <c r="AA56" i="6"/>
  <c r="W56" i="6"/>
  <c r="V56" i="6"/>
  <c r="U56" i="6"/>
  <c r="T56" i="6"/>
  <c r="S56" i="6"/>
  <c r="R56" i="6"/>
  <c r="Q56" i="6"/>
  <c r="P56" i="6"/>
  <c r="M56" i="6"/>
  <c r="L56" i="6"/>
  <c r="J56" i="6"/>
  <c r="I56" i="6"/>
  <c r="H56" i="6"/>
  <c r="G56" i="6"/>
  <c r="F56" i="6"/>
  <c r="AB55" i="6"/>
  <c r="AA55" i="6"/>
  <c r="W55" i="6"/>
  <c r="V55" i="6"/>
  <c r="U55" i="6"/>
  <c r="T55" i="6"/>
  <c r="S55" i="6"/>
  <c r="R55" i="6"/>
  <c r="Q55" i="6"/>
  <c r="P55" i="6"/>
  <c r="M55" i="6"/>
  <c r="L55" i="6"/>
  <c r="J55" i="6"/>
  <c r="I55" i="6"/>
  <c r="H55" i="6"/>
  <c r="G55" i="6"/>
  <c r="F55" i="6"/>
  <c r="AB54" i="6"/>
  <c r="AA54" i="6"/>
  <c r="W54" i="6"/>
  <c r="V54" i="6"/>
  <c r="U54" i="6"/>
  <c r="T54" i="6"/>
  <c r="S54" i="6"/>
  <c r="R54" i="6"/>
  <c r="Q54" i="6"/>
  <c r="P54" i="6"/>
  <c r="M54" i="6"/>
  <c r="L54" i="6"/>
  <c r="J54" i="6"/>
  <c r="I54" i="6"/>
  <c r="H54" i="6"/>
  <c r="G54" i="6"/>
  <c r="F54" i="6"/>
  <c r="AB53" i="6"/>
  <c r="AA53" i="6"/>
  <c r="W53" i="6"/>
  <c r="V53" i="6"/>
  <c r="U53" i="6"/>
  <c r="T53" i="6"/>
  <c r="S53" i="6"/>
  <c r="R53" i="6"/>
  <c r="Q53" i="6"/>
  <c r="P53" i="6"/>
  <c r="M53" i="6"/>
  <c r="L53" i="6"/>
  <c r="J53" i="6"/>
  <c r="I53" i="6"/>
  <c r="H53" i="6"/>
  <c r="G53" i="6"/>
  <c r="F53" i="6"/>
  <c r="AB52" i="6"/>
  <c r="AA52" i="6"/>
  <c r="W52" i="6"/>
  <c r="V52" i="6"/>
  <c r="U52" i="6"/>
  <c r="T52" i="6"/>
  <c r="S52" i="6"/>
  <c r="R52" i="6"/>
  <c r="Q52" i="6"/>
  <c r="P52" i="6"/>
  <c r="M52" i="6"/>
  <c r="L52" i="6"/>
  <c r="J52" i="6"/>
  <c r="I52" i="6"/>
  <c r="H52" i="6"/>
  <c r="G52" i="6"/>
  <c r="F52" i="6"/>
  <c r="AB51" i="6"/>
  <c r="AA51" i="6"/>
  <c r="W51" i="6"/>
  <c r="V51" i="6"/>
  <c r="U51" i="6"/>
  <c r="T51" i="6"/>
  <c r="S51" i="6"/>
  <c r="R51" i="6"/>
  <c r="Q51" i="6"/>
  <c r="P51" i="6"/>
  <c r="M51" i="6"/>
  <c r="L51" i="6"/>
  <c r="J51" i="6"/>
  <c r="I51" i="6"/>
  <c r="H51" i="6"/>
  <c r="G51" i="6"/>
  <c r="F51" i="6"/>
  <c r="AB50" i="6"/>
  <c r="AA50" i="6"/>
  <c r="W50" i="6"/>
  <c r="V50" i="6"/>
  <c r="U50" i="6"/>
  <c r="T50" i="6"/>
  <c r="S50" i="6"/>
  <c r="R50" i="6"/>
  <c r="Q50" i="6"/>
  <c r="P50" i="6"/>
  <c r="M50" i="6"/>
  <c r="L50" i="6"/>
  <c r="J50" i="6"/>
  <c r="I50" i="6"/>
  <c r="H50" i="6"/>
  <c r="G50" i="6"/>
  <c r="F50" i="6"/>
  <c r="AB49" i="6"/>
  <c r="AA49" i="6"/>
  <c r="W49" i="6"/>
  <c r="V49" i="6"/>
  <c r="U49" i="6"/>
  <c r="T49" i="6"/>
  <c r="S49" i="6"/>
  <c r="R49" i="6"/>
  <c r="Q49" i="6"/>
  <c r="P49" i="6"/>
  <c r="M49" i="6"/>
  <c r="L49" i="6"/>
  <c r="J49" i="6"/>
  <c r="I49" i="6"/>
  <c r="H49" i="6"/>
  <c r="G49" i="6"/>
  <c r="F49" i="6"/>
  <c r="AB48" i="6"/>
  <c r="AA48" i="6"/>
  <c r="W48" i="6"/>
  <c r="V48" i="6"/>
  <c r="U48" i="6"/>
  <c r="T48" i="6"/>
  <c r="S48" i="6"/>
  <c r="R48" i="6"/>
  <c r="Q48" i="6"/>
  <c r="P48" i="6"/>
  <c r="M48" i="6"/>
  <c r="L48" i="6"/>
  <c r="J48" i="6"/>
  <c r="I48" i="6"/>
  <c r="H48" i="6"/>
  <c r="G48" i="6"/>
  <c r="F48" i="6"/>
  <c r="AB47" i="6"/>
  <c r="AA47" i="6"/>
  <c r="W47" i="6"/>
  <c r="V47" i="6"/>
  <c r="U47" i="6"/>
  <c r="T47" i="6"/>
  <c r="S47" i="6"/>
  <c r="R47" i="6"/>
  <c r="Q47" i="6"/>
  <c r="P47" i="6"/>
  <c r="M47" i="6"/>
  <c r="L47" i="6"/>
  <c r="J47" i="6"/>
  <c r="I47" i="6"/>
  <c r="H47" i="6"/>
  <c r="G47" i="6"/>
  <c r="F47" i="6"/>
  <c r="AB46" i="6"/>
  <c r="AA46" i="6"/>
  <c r="W46" i="6"/>
  <c r="V46" i="6"/>
  <c r="U46" i="6"/>
  <c r="T46" i="6"/>
  <c r="S46" i="6"/>
  <c r="R46" i="6"/>
  <c r="Q46" i="6"/>
  <c r="P46" i="6"/>
  <c r="M46" i="6"/>
  <c r="L46" i="6"/>
  <c r="J46" i="6"/>
  <c r="I46" i="6"/>
  <c r="H46" i="6"/>
  <c r="G46" i="6"/>
  <c r="F46" i="6"/>
  <c r="AB45" i="6"/>
  <c r="AA45" i="6"/>
  <c r="W45" i="6"/>
  <c r="V45" i="6"/>
  <c r="U45" i="6"/>
  <c r="T45" i="6"/>
  <c r="S45" i="6"/>
  <c r="R45" i="6"/>
  <c r="Q45" i="6"/>
  <c r="P45" i="6"/>
  <c r="M45" i="6"/>
  <c r="L45" i="6"/>
  <c r="J45" i="6"/>
  <c r="I45" i="6"/>
  <c r="H45" i="6"/>
  <c r="G45" i="6"/>
  <c r="F45" i="6"/>
  <c r="AB44" i="6"/>
  <c r="AA44" i="6"/>
  <c r="W44" i="6"/>
  <c r="V44" i="6"/>
  <c r="U44" i="6"/>
  <c r="T44" i="6"/>
  <c r="S44" i="6"/>
  <c r="R44" i="6"/>
  <c r="Q44" i="6"/>
  <c r="P44" i="6"/>
  <c r="M44" i="6"/>
  <c r="L44" i="6"/>
  <c r="J44" i="6"/>
  <c r="I44" i="6"/>
  <c r="H44" i="6"/>
  <c r="G44" i="6"/>
  <c r="F44" i="6"/>
  <c r="AB43" i="6"/>
  <c r="AA43" i="6"/>
  <c r="W43" i="6"/>
  <c r="V43" i="6"/>
  <c r="U43" i="6"/>
  <c r="T43" i="6"/>
  <c r="S43" i="6"/>
  <c r="R43" i="6"/>
  <c r="Q43" i="6"/>
  <c r="P43" i="6"/>
  <c r="M43" i="6"/>
  <c r="L43" i="6"/>
  <c r="J43" i="6"/>
  <c r="I43" i="6"/>
  <c r="H43" i="6"/>
  <c r="G43" i="6"/>
  <c r="F43" i="6"/>
  <c r="AB42" i="6"/>
  <c r="AA42" i="6"/>
  <c r="W42" i="6"/>
  <c r="V42" i="6"/>
  <c r="U42" i="6"/>
  <c r="T42" i="6"/>
  <c r="S42" i="6"/>
  <c r="R42" i="6"/>
  <c r="Q42" i="6"/>
  <c r="P42" i="6"/>
  <c r="M42" i="6"/>
  <c r="L42" i="6"/>
  <c r="J42" i="6"/>
  <c r="I42" i="6"/>
  <c r="H42" i="6"/>
  <c r="G42" i="6"/>
  <c r="F42" i="6"/>
  <c r="AB41" i="6"/>
  <c r="AA41" i="6"/>
  <c r="W41" i="6"/>
  <c r="V41" i="6"/>
  <c r="U41" i="6"/>
  <c r="T41" i="6"/>
  <c r="S41" i="6"/>
  <c r="R41" i="6"/>
  <c r="Q41" i="6"/>
  <c r="P41" i="6"/>
  <c r="M41" i="6"/>
  <c r="L41" i="6"/>
  <c r="J41" i="6"/>
  <c r="I41" i="6"/>
  <c r="H41" i="6"/>
  <c r="G41" i="6"/>
  <c r="F41" i="6"/>
  <c r="AB40" i="6"/>
  <c r="AA40" i="6"/>
  <c r="W40" i="6"/>
  <c r="V40" i="6"/>
  <c r="U40" i="6"/>
  <c r="T40" i="6"/>
  <c r="S40" i="6"/>
  <c r="R40" i="6"/>
  <c r="Q40" i="6"/>
  <c r="P40" i="6"/>
  <c r="M40" i="6"/>
  <c r="L40" i="6"/>
  <c r="J40" i="6"/>
  <c r="I40" i="6"/>
  <c r="H40" i="6"/>
  <c r="G40" i="6"/>
  <c r="F40" i="6"/>
  <c r="AB39" i="6"/>
  <c r="AA39" i="6"/>
  <c r="W39" i="6"/>
  <c r="V39" i="6"/>
  <c r="U39" i="6"/>
  <c r="T39" i="6"/>
  <c r="S39" i="6"/>
  <c r="R39" i="6"/>
  <c r="Q39" i="6"/>
  <c r="P39" i="6"/>
  <c r="M39" i="6"/>
  <c r="L39" i="6"/>
  <c r="J39" i="6"/>
  <c r="I39" i="6"/>
  <c r="H39" i="6"/>
  <c r="G39" i="6"/>
  <c r="F39" i="6"/>
  <c r="AB38" i="6"/>
  <c r="AA38" i="6"/>
  <c r="W38" i="6"/>
  <c r="V38" i="6"/>
  <c r="U38" i="6"/>
  <c r="T38" i="6"/>
  <c r="S38" i="6"/>
  <c r="R38" i="6"/>
  <c r="Q38" i="6"/>
  <c r="P38" i="6"/>
  <c r="M38" i="6"/>
  <c r="L38" i="6"/>
  <c r="J38" i="6"/>
  <c r="I38" i="6"/>
  <c r="H38" i="6"/>
  <c r="G38" i="6"/>
  <c r="F38" i="6"/>
  <c r="AB37" i="6"/>
  <c r="AA37" i="6"/>
  <c r="W37" i="6"/>
  <c r="V37" i="6"/>
  <c r="U37" i="6"/>
  <c r="T37" i="6"/>
  <c r="S37" i="6"/>
  <c r="R37" i="6"/>
  <c r="Q37" i="6"/>
  <c r="P37" i="6"/>
  <c r="M37" i="6"/>
  <c r="L37" i="6"/>
  <c r="J37" i="6"/>
  <c r="I37" i="6"/>
  <c r="H37" i="6"/>
  <c r="G37" i="6"/>
  <c r="F37" i="6"/>
  <c r="AB36" i="6"/>
  <c r="AA36" i="6"/>
  <c r="W36" i="6"/>
  <c r="V36" i="6"/>
  <c r="U36" i="6"/>
  <c r="T36" i="6"/>
  <c r="S36" i="6"/>
  <c r="R36" i="6"/>
  <c r="Q36" i="6"/>
  <c r="P36" i="6"/>
  <c r="M36" i="6"/>
  <c r="L36" i="6"/>
  <c r="J36" i="6"/>
  <c r="I36" i="6"/>
  <c r="H36" i="6"/>
  <c r="G36" i="6"/>
  <c r="F36" i="6"/>
  <c r="AB35" i="6"/>
  <c r="AA35" i="6"/>
  <c r="W35" i="6"/>
  <c r="V35" i="6"/>
  <c r="U35" i="6"/>
  <c r="T35" i="6"/>
  <c r="S35" i="6"/>
  <c r="R35" i="6"/>
  <c r="Q35" i="6"/>
  <c r="P35" i="6"/>
  <c r="M35" i="6"/>
  <c r="L35" i="6"/>
  <c r="J35" i="6"/>
  <c r="I35" i="6"/>
  <c r="H35" i="6"/>
  <c r="G35" i="6"/>
  <c r="F35" i="6"/>
  <c r="AB34" i="6"/>
  <c r="AA34" i="6"/>
  <c r="W34" i="6"/>
  <c r="V34" i="6"/>
  <c r="U34" i="6"/>
  <c r="T34" i="6"/>
  <c r="S34" i="6"/>
  <c r="R34" i="6"/>
  <c r="Q34" i="6"/>
  <c r="P34" i="6"/>
  <c r="M34" i="6"/>
  <c r="L34" i="6"/>
  <c r="J34" i="6"/>
  <c r="I34" i="6"/>
  <c r="H34" i="6"/>
  <c r="G34" i="6"/>
  <c r="F34" i="6"/>
  <c r="AB33" i="6"/>
  <c r="AA33" i="6"/>
  <c r="W33" i="6"/>
  <c r="V33" i="6"/>
  <c r="U33" i="6"/>
  <c r="T33" i="6"/>
  <c r="S33" i="6"/>
  <c r="R33" i="6"/>
  <c r="Q33" i="6"/>
  <c r="P33" i="6"/>
  <c r="M33" i="6"/>
  <c r="L33" i="6"/>
  <c r="J33" i="6"/>
  <c r="I33" i="6"/>
  <c r="H33" i="6"/>
  <c r="G33" i="6"/>
  <c r="F33" i="6"/>
  <c r="AB32" i="6"/>
  <c r="AA32" i="6"/>
  <c r="W32" i="6"/>
  <c r="V32" i="6"/>
  <c r="U32" i="6"/>
  <c r="T32" i="6"/>
  <c r="S32" i="6"/>
  <c r="R32" i="6"/>
  <c r="Q32" i="6"/>
  <c r="P32" i="6"/>
  <c r="M32" i="6"/>
  <c r="L32" i="6"/>
  <c r="J32" i="6"/>
  <c r="I32" i="6"/>
  <c r="H32" i="6"/>
  <c r="G32" i="6"/>
  <c r="F32" i="6"/>
  <c r="AB31" i="6"/>
  <c r="AA31" i="6"/>
  <c r="W31" i="6"/>
  <c r="V31" i="6"/>
  <c r="U31" i="6"/>
  <c r="T31" i="6"/>
  <c r="S31" i="6"/>
  <c r="R31" i="6"/>
  <c r="Q31" i="6"/>
  <c r="P31" i="6"/>
  <c r="M31" i="6"/>
  <c r="L31" i="6"/>
  <c r="J31" i="6"/>
  <c r="I31" i="6"/>
  <c r="H31" i="6"/>
  <c r="G31" i="6"/>
  <c r="F31" i="6"/>
  <c r="AB30" i="6"/>
  <c r="AA30" i="6"/>
  <c r="W30" i="6"/>
  <c r="V30" i="6"/>
  <c r="U30" i="6"/>
  <c r="T30" i="6"/>
  <c r="S30" i="6"/>
  <c r="R30" i="6"/>
  <c r="Q30" i="6"/>
  <c r="P30" i="6"/>
  <c r="M30" i="6"/>
  <c r="L30" i="6"/>
  <c r="J30" i="6"/>
  <c r="I30" i="6"/>
  <c r="H30" i="6"/>
  <c r="G30" i="6"/>
  <c r="F30" i="6"/>
  <c r="K30" i="6" s="1"/>
  <c r="AB29" i="6"/>
  <c r="AA29" i="6"/>
  <c r="W29" i="6"/>
  <c r="V29" i="6"/>
  <c r="U29" i="6"/>
  <c r="T29" i="6"/>
  <c r="S29" i="6"/>
  <c r="R29" i="6"/>
  <c r="Q29" i="6"/>
  <c r="P29" i="6"/>
  <c r="M29" i="6"/>
  <c r="L29" i="6"/>
  <c r="J29" i="6"/>
  <c r="I29" i="6"/>
  <c r="H29" i="6"/>
  <c r="G29" i="6"/>
  <c r="F29" i="6"/>
  <c r="AB28" i="6"/>
  <c r="AA28" i="6"/>
  <c r="W28" i="6"/>
  <c r="V28" i="6"/>
  <c r="U28" i="6"/>
  <c r="T28" i="6"/>
  <c r="S28" i="6"/>
  <c r="R28" i="6"/>
  <c r="Q28" i="6"/>
  <c r="P28" i="6"/>
  <c r="M28" i="6"/>
  <c r="L28" i="6"/>
  <c r="J28" i="6"/>
  <c r="I28" i="6"/>
  <c r="H28" i="6"/>
  <c r="G28" i="6"/>
  <c r="F28" i="6"/>
  <c r="AB27" i="6"/>
  <c r="AA27" i="6"/>
  <c r="W27" i="6"/>
  <c r="V27" i="6"/>
  <c r="U27" i="6"/>
  <c r="T27" i="6"/>
  <c r="S27" i="6"/>
  <c r="R27" i="6"/>
  <c r="Q27" i="6"/>
  <c r="P27" i="6"/>
  <c r="M27" i="6"/>
  <c r="L27" i="6"/>
  <c r="J27" i="6"/>
  <c r="I27" i="6"/>
  <c r="H27" i="6"/>
  <c r="G27" i="6"/>
  <c r="F27" i="6"/>
  <c r="AB26" i="6"/>
  <c r="AA26" i="6"/>
  <c r="W26" i="6"/>
  <c r="V26" i="6"/>
  <c r="U26" i="6"/>
  <c r="T26" i="6"/>
  <c r="S26" i="6"/>
  <c r="R26" i="6"/>
  <c r="Q26" i="6"/>
  <c r="P26" i="6"/>
  <c r="M26" i="6"/>
  <c r="L26" i="6"/>
  <c r="J26" i="6"/>
  <c r="K26" i="6" s="1"/>
  <c r="I26" i="6"/>
  <c r="H26" i="6"/>
  <c r="G26" i="6"/>
  <c r="F26" i="6"/>
  <c r="AB25" i="6"/>
  <c r="AA25" i="6"/>
  <c r="W25" i="6"/>
  <c r="V25" i="6"/>
  <c r="U25" i="6"/>
  <c r="T25" i="6"/>
  <c r="S25" i="6"/>
  <c r="R25" i="6"/>
  <c r="Q25" i="6"/>
  <c r="P25" i="6"/>
  <c r="M25" i="6"/>
  <c r="L25" i="6"/>
  <c r="J25" i="6"/>
  <c r="I25" i="6"/>
  <c r="H25" i="6"/>
  <c r="G25" i="6"/>
  <c r="F25" i="6"/>
  <c r="K25" i="6" s="1"/>
  <c r="AB24" i="6"/>
  <c r="AA24" i="6"/>
  <c r="W24" i="6"/>
  <c r="V24" i="6"/>
  <c r="U24" i="6"/>
  <c r="T24" i="6"/>
  <c r="S24" i="6"/>
  <c r="R24" i="6"/>
  <c r="Q24" i="6"/>
  <c r="P24" i="6"/>
  <c r="M24" i="6"/>
  <c r="L24" i="6"/>
  <c r="J24" i="6"/>
  <c r="I24" i="6"/>
  <c r="H24" i="6"/>
  <c r="G24" i="6"/>
  <c r="F24" i="6"/>
  <c r="AB23" i="6"/>
  <c r="AA23" i="6"/>
  <c r="W23" i="6"/>
  <c r="V23" i="6"/>
  <c r="U23" i="6"/>
  <c r="T23" i="6"/>
  <c r="S23" i="6"/>
  <c r="R23" i="6"/>
  <c r="Q23" i="6"/>
  <c r="P23" i="6"/>
  <c r="M23" i="6"/>
  <c r="L23" i="6"/>
  <c r="J23" i="6"/>
  <c r="I23" i="6"/>
  <c r="H23" i="6"/>
  <c r="G23" i="6"/>
  <c r="F23" i="6"/>
  <c r="AB22" i="6"/>
  <c r="AA22" i="6"/>
  <c r="W22" i="6"/>
  <c r="V22" i="6"/>
  <c r="U22" i="6"/>
  <c r="T22" i="6"/>
  <c r="S22" i="6"/>
  <c r="R22" i="6"/>
  <c r="Q22" i="6"/>
  <c r="P22" i="6"/>
  <c r="M22" i="6"/>
  <c r="L22" i="6"/>
  <c r="J22" i="6"/>
  <c r="I22" i="6"/>
  <c r="H22" i="6"/>
  <c r="G22" i="6"/>
  <c r="F22" i="6"/>
  <c r="K22" i="6" s="1"/>
  <c r="AB21" i="6"/>
  <c r="AA21" i="6"/>
  <c r="W21" i="6"/>
  <c r="V21" i="6"/>
  <c r="U21" i="6"/>
  <c r="T21" i="6"/>
  <c r="S21" i="6"/>
  <c r="R21" i="6"/>
  <c r="Q21" i="6"/>
  <c r="P21" i="6"/>
  <c r="M21" i="6"/>
  <c r="L21" i="6"/>
  <c r="J21" i="6"/>
  <c r="I21" i="6"/>
  <c r="H21" i="6"/>
  <c r="G21" i="6"/>
  <c r="F21" i="6"/>
  <c r="AB20" i="6"/>
  <c r="AA20" i="6"/>
  <c r="W20" i="6"/>
  <c r="V20" i="6"/>
  <c r="U20" i="6"/>
  <c r="T20" i="6"/>
  <c r="S20" i="6"/>
  <c r="R20" i="6"/>
  <c r="Q20" i="6"/>
  <c r="P20" i="6"/>
  <c r="M20" i="6"/>
  <c r="L20" i="6"/>
  <c r="J20" i="6"/>
  <c r="I20" i="6"/>
  <c r="H20" i="6"/>
  <c r="G20" i="6"/>
  <c r="F20" i="6"/>
  <c r="AB19" i="6"/>
  <c r="AA19" i="6"/>
  <c r="W19" i="6"/>
  <c r="V19" i="6"/>
  <c r="U19" i="6"/>
  <c r="T19" i="6"/>
  <c r="S19" i="6"/>
  <c r="R19" i="6"/>
  <c r="Q19" i="6"/>
  <c r="P19" i="6"/>
  <c r="M19" i="6"/>
  <c r="L19" i="6"/>
  <c r="J19" i="6"/>
  <c r="I19" i="6"/>
  <c r="H19" i="6"/>
  <c r="G19" i="6"/>
  <c r="F19" i="6"/>
  <c r="AB18" i="6"/>
  <c r="AA18" i="6"/>
  <c r="W18" i="6"/>
  <c r="V18" i="6"/>
  <c r="U18" i="6"/>
  <c r="T18" i="6"/>
  <c r="S18" i="6"/>
  <c r="R18" i="6"/>
  <c r="Q18" i="6"/>
  <c r="P18" i="6"/>
  <c r="M18" i="6"/>
  <c r="L18" i="6"/>
  <c r="J18" i="6"/>
  <c r="I18" i="6"/>
  <c r="H18" i="6"/>
  <c r="G18" i="6"/>
  <c r="F18" i="6"/>
  <c r="AB17" i="6"/>
  <c r="AA17" i="6"/>
  <c r="W17" i="6"/>
  <c r="V17" i="6"/>
  <c r="U17" i="6"/>
  <c r="T17" i="6"/>
  <c r="S17" i="6"/>
  <c r="R17" i="6"/>
  <c r="Q17" i="6"/>
  <c r="P17" i="6"/>
  <c r="M17" i="6"/>
  <c r="L17" i="6"/>
  <c r="J17" i="6"/>
  <c r="I17" i="6"/>
  <c r="H17" i="6"/>
  <c r="G17" i="6"/>
  <c r="F17" i="6"/>
  <c r="K17" i="6" s="1"/>
  <c r="AB16" i="6"/>
  <c r="AA16" i="6"/>
  <c r="W16" i="6"/>
  <c r="V16" i="6"/>
  <c r="U16" i="6"/>
  <c r="T16" i="6"/>
  <c r="S16" i="6"/>
  <c r="R16" i="6"/>
  <c r="Q16" i="6"/>
  <c r="P16" i="6"/>
  <c r="M16" i="6"/>
  <c r="L16" i="6"/>
  <c r="J16" i="6"/>
  <c r="I16" i="6"/>
  <c r="H16" i="6"/>
  <c r="G16" i="6"/>
  <c r="F16" i="6"/>
  <c r="AB15" i="6"/>
  <c r="AA15" i="6"/>
  <c r="W15" i="6"/>
  <c r="V15" i="6"/>
  <c r="U15" i="6"/>
  <c r="T15" i="6"/>
  <c r="S15" i="6"/>
  <c r="R15" i="6"/>
  <c r="Q15" i="6"/>
  <c r="P15" i="6"/>
  <c r="M15" i="6"/>
  <c r="L15" i="6"/>
  <c r="J15" i="6"/>
  <c r="I15" i="6"/>
  <c r="H15" i="6"/>
  <c r="G15" i="6"/>
  <c r="F15" i="6"/>
  <c r="AB14" i="6"/>
  <c r="AA14" i="6"/>
  <c r="W14" i="6"/>
  <c r="V14" i="6"/>
  <c r="U14" i="6"/>
  <c r="T14" i="6"/>
  <c r="S14" i="6"/>
  <c r="R14" i="6"/>
  <c r="Q14" i="6"/>
  <c r="P14" i="6"/>
  <c r="M14" i="6"/>
  <c r="L14" i="6"/>
  <c r="J14" i="6"/>
  <c r="I14" i="6"/>
  <c r="H14" i="6"/>
  <c r="G14" i="6"/>
  <c r="F14" i="6"/>
  <c r="K14" i="6" s="1"/>
  <c r="AB13" i="6"/>
  <c r="AA13" i="6"/>
  <c r="W13" i="6"/>
  <c r="V13" i="6"/>
  <c r="U13" i="6"/>
  <c r="T13" i="6"/>
  <c r="S13" i="6"/>
  <c r="R13" i="6"/>
  <c r="Q13" i="6"/>
  <c r="P13" i="6"/>
  <c r="M13" i="6"/>
  <c r="L13" i="6"/>
  <c r="J13" i="6"/>
  <c r="I13" i="6"/>
  <c r="H13" i="6"/>
  <c r="G13" i="6"/>
  <c r="F13" i="6"/>
  <c r="AB12" i="6"/>
  <c r="AA12" i="6"/>
  <c r="W12" i="6"/>
  <c r="V12" i="6"/>
  <c r="U12" i="6"/>
  <c r="T12" i="6"/>
  <c r="S12" i="6"/>
  <c r="R12" i="6"/>
  <c r="Q12" i="6"/>
  <c r="P12" i="6"/>
  <c r="M12" i="6"/>
  <c r="L12" i="6"/>
  <c r="J12" i="6"/>
  <c r="I12" i="6"/>
  <c r="H12" i="6"/>
  <c r="G12" i="6"/>
  <c r="F12" i="6"/>
  <c r="AB11" i="6"/>
  <c r="AA11" i="6"/>
  <c r="W11" i="6"/>
  <c r="V11" i="6"/>
  <c r="U11" i="6"/>
  <c r="T11" i="6"/>
  <c r="S11" i="6"/>
  <c r="R11" i="6"/>
  <c r="Q11" i="6"/>
  <c r="P11" i="6"/>
  <c r="M11" i="6"/>
  <c r="L11" i="6"/>
  <c r="J11" i="6"/>
  <c r="I11" i="6"/>
  <c r="H11" i="6"/>
  <c r="G11" i="6"/>
  <c r="F11" i="6"/>
  <c r="AB10" i="6"/>
  <c r="AA10" i="6"/>
  <c r="W10" i="6"/>
  <c r="V10" i="6"/>
  <c r="U10" i="6"/>
  <c r="T10" i="6"/>
  <c r="S10" i="6"/>
  <c r="R10" i="6"/>
  <c r="Q10" i="6"/>
  <c r="P10" i="6"/>
  <c r="M10" i="6"/>
  <c r="L10" i="6"/>
  <c r="J10" i="6"/>
  <c r="I10" i="6"/>
  <c r="H10" i="6"/>
  <c r="F10" i="6"/>
  <c r="AB9" i="6"/>
  <c r="AA9" i="6"/>
  <c r="W9" i="6"/>
  <c r="V9" i="6"/>
  <c r="U9" i="6"/>
  <c r="T9" i="6"/>
  <c r="S9" i="6"/>
  <c r="R9" i="6"/>
  <c r="Q9" i="6"/>
  <c r="P9" i="6"/>
  <c r="M9" i="6"/>
  <c r="L9" i="6"/>
  <c r="J9" i="6"/>
  <c r="I9" i="6"/>
  <c r="H9" i="6"/>
  <c r="G9" i="6"/>
  <c r="AB8" i="6"/>
  <c r="AA8" i="6"/>
  <c r="W8" i="6"/>
  <c r="V8" i="6"/>
  <c r="U8" i="6"/>
  <c r="T8" i="6"/>
  <c r="S8" i="6"/>
  <c r="R8" i="6"/>
  <c r="Q8" i="6"/>
  <c r="P8" i="6"/>
  <c r="M8" i="6"/>
  <c r="L8" i="6"/>
  <c r="J8" i="6"/>
  <c r="I8" i="6"/>
  <c r="H8" i="6"/>
  <c r="G8" i="6"/>
  <c r="F8" i="6"/>
  <c r="AB7" i="6"/>
  <c r="AA7" i="6"/>
  <c r="W7" i="6"/>
  <c r="V7" i="6"/>
  <c r="U7" i="6"/>
  <c r="T7" i="6"/>
  <c r="S7" i="6"/>
  <c r="R7" i="6"/>
  <c r="Q7" i="6"/>
  <c r="P7" i="6"/>
  <c r="M7" i="6"/>
  <c r="L7" i="6"/>
  <c r="J7" i="6"/>
  <c r="I7" i="6"/>
  <c r="H7" i="6"/>
  <c r="G7" i="6"/>
  <c r="F7" i="6"/>
  <c r="AB6" i="6"/>
  <c r="AA6" i="6"/>
  <c r="W6" i="6"/>
  <c r="V6" i="6"/>
  <c r="U6" i="6"/>
  <c r="T6" i="6"/>
  <c r="S6" i="6"/>
  <c r="R6" i="6"/>
  <c r="Q6" i="6"/>
  <c r="P6" i="6"/>
  <c r="M6" i="6"/>
  <c r="L6" i="6"/>
  <c r="J6" i="6"/>
  <c r="I6" i="6"/>
  <c r="H6" i="6"/>
  <c r="G6" i="6"/>
  <c r="F6" i="6"/>
  <c r="AB5" i="6"/>
  <c r="AA5" i="6"/>
  <c r="W5" i="6"/>
  <c r="V5" i="6"/>
  <c r="U5" i="6"/>
  <c r="T5" i="6"/>
  <c r="S5" i="6"/>
  <c r="R5" i="6"/>
  <c r="Q5" i="6"/>
  <c r="P5" i="6"/>
  <c r="M5" i="6"/>
  <c r="L5" i="6"/>
  <c r="J5" i="6"/>
  <c r="I5" i="6"/>
  <c r="H5" i="6"/>
  <c r="G5" i="6"/>
  <c r="F5" i="6"/>
  <c r="AB4" i="6"/>
  <c r="AA4" i="6"/>
  <c r="W4" i="6"/>
  <c r="V4" i="6"/>
  <c r="U4" i="6"/>
  <c r="T4" i="6"/>
  <c r="S4" i="6"/>
  <c r="R4" i="6"/>
  <c r="Q4" i="6"/>
  <c r="P4" i="6"/>
  <c r="M4" i="6"/>
  <c r="L4" i="6"/>
  <c r="J4" i="6"/>
  <c r="I4" i="6"/>
  <c r="H4" i="6"/>
  <c r="G4" i="6"/>
  <c r="F4" i="6"/>
  <c r="K4" i="6" s="1"/>
  <c r="AB3" i="6"/>
  <c r="AA3" i="6"/>
  <c r="W3" i="6"/>
  <c r="V3" i="6"/>
  <c r="U3" i="6"/>
  <c r="T3" i="6"/>
  <c r="S3" i="6"/>
  <c r="R3" i="6"/>
  <c r="Q3" i="6"/>
  <c r="P3" i="6"/>
  <c r="M3" i="6"/>
  <c r="L3" i="6"/>
  <c r="J3" i="6"/>
  <c r="I3" i="6"/>
  <c r="H3" i="6"/>
  <c r="G3" i="6"/>
  <c r="F3" i="6"/>
  <c r="AB173" i="5"/>
  <c r="AA173" i="5"/>
  <c r="W173" i="5"/>
  <c r="V173" i="5"/>
  <c r="U173" i="5"/>
  <c r="T173" i="5"/>
  <c r="S173" i="5"/>
  <c r="R173" i="5"/>
  <c r="Q173" i="5"/>
  <c r="P173" i="5"/>
  <c r="M173" i="5"/>
  <c r="L173" i="5"/>
  <c r="J173" i="5"/>
  <c r="I173" i="5"/>
  <c r="H173" i="5"/>
  <c r="G173" i="5"/>
  <c r="F173" i="5"/>
  <c r="AB172" i="5"/>
  <c r="AA172" i="5"/>
  <c r="W172" i="5"/>
  <c r="V172" i="5"/>
  <c r="U172" i="5"/>
  <c r="T172" i="5"/>
  <c r="S172" i="5"/>
  <c r="R172" i="5"/>
  <c r="Q172" i="5"/>
  <c r="P172" i="5"/>
  <c r="M172" i="5"/>
  <c r="L172" i="5"/>
  <c r="J172" i="5"/>
  <c r="I172" i="5"/>
  <c r="H172" i="5"/>
  <c r="G172" i="5"/>
  <c r="F172" i="5"/>
  <c r="AB171" i="5"/>
  <c r="AA171" i="5"/>
  <c r="W171" i="5"/>
  <c r="V171" i="5"/>
  <c r="U171" i="5"/>
  <c r="T171" i="5"/>
  <c r="S171" i="5"/>
  <c r="R171" i="5"/>
  <c r="Q171" i="5"/>
  <c r="P171" i="5"/>
  <c r="M171" i="5"/>
  <c r="L171" i="5"/>
  <c r="J171" i="5"/>
  <c r="I171" i="5"/>
  <c r="H171" i="5"/>
  <c r="G171" i="5"/>
  <c r="F171" i="5"/>
  <c r="AB170" i="5"/>
  <c r="AA170" i="5"/>
  <c r="W170" i="5"/>
  <c r="V170" i="5"/>
  <c r="U170" i="5"/>
  <c r="T170" i="5"/>
  <c r="S170" i="5"/>
  <c r="R170" i="5"/>
  <c r="Q170" i="5"/>
  <c r="P170" i="5"/>
  <c r="M170" i="5"/>
  <c r="L170" i="5"/>
  <c r="J170" i="5"/>
  <c r="I170" i="5"/>
  <c r="H170" i="5"/>
  <c r="G170" i="5"/>
  <c r="F170" i="5"/>
  <c r="AB169" i="5"/>
  <c r="AA169" i="5"/>
  <c r="W169" i="5"/>
  <c r="V169" i="5"/>
  <c r="U169" i="5"/>
  <c r="T169" i="5"/>
  <c r="S169" i="5"/>
  <c r="R169" i="5"/>
  <c r="Q169" i="5"/>
  <c r="P169" i="5"/>
  <c r="M169" i="5"/>
  <c r="L169" i="5"/>
  <c r="J169" i="5"/>
  <c r="I169" i="5"/>
  <c r="H169" i="5"/>
  <c r="G169" i="5"/>
  <c r="F169" i="5"/>
  <c r="AB168" i="5"/>
  <c r="AA168" i="5"/>
  <c r="W168" i="5"/>
  <c r="V168" i="5"/>
  <c r="U168" i="5"/>
  <c r="T168" i="5"/>
  <c r="S168" i="5"/>
  <c r="R168" i="5"/>
  <c r="Q168" i="5"/>
  <c r="P168" i="5"/>
  <c r="M168" i="5"/>
  <c r="L168" i="5"/>
  <c r="J168" i="5"/>
  <c r="I168" i="5"/>
  <c r="H168" i="5"/>
  <c r="G168" i="5"/>
  <c r="F168" i="5"/>
  <c r="K168" i="5" s="1"/>
  <c r="AB167" i="5"/>
  <c r="AA167" i="5"/>
  <c r="W167" i="5"/>
  <c r="V167" i="5"/>
  <c r="U167" i="5"/>
  <c r="T167" i="5"/>
  <c r="S167" i="5"/>
  <c r="R167" i="5"/>
  <c r="Q167" i="5"/>
  <c r="P167" i="5"/>
  <c r="M167" i="5"/>
  <c r="L167" i="5"/>
  <c r="J167" i="5"/>
  <c r="I167" i="5"/>
  <c r="H167" i="5"/>
  <c r="G167" i="5"/>
  <c r="F167" i="5"/>
  <c r="AB166" i="5"/>
  <c r="AA166" i="5"/>
  <c r="W166" i="5"/>
  <c r="V166" i="5"/>
  <c r="U166" i="5"/>
  <c r="T166" i="5"/>
  <c r="S166" i="5"/>
  <c r="R166" i="5"/>
  <c r="Q166" i="5"/>
  <c r="P166" i="5"/>
  <c r="M166" i="5"/>
  <c r="L166" i="5"/>
  <c r="J166" i="5"/>
  <c r="I166" i="5"/>
  <c r="H166" i="5"/>
  <c r="G166" i="5"/>
  <c r="F166" i="5"/>
  <c r="AB165" i="5"/>
  <c r="AA165" i="5"/>
  <c r="W165" i="5"/>
  <c r="V165" i="5"/>
  <c r="U165" i="5"/>
  <c r="T165" i="5"/>
  <c r="S165" i="5"/>
  <c r="R165" i="5"/>
  <c r="Q165" i="5"/>
  <c r="P165" i="5"/>
  <c r="M165" i="5"/>
  <c r="L165" i="5"/>
  <c r="J165" i="5"/>
  <c r="I165" i="5"/>
  <c r="H165" i="5"/>
  <c r="G165" i="5"/>
  <c r="F165" i="5"/>
  <c r="AB163" i="5"/>
  <c r="AA163" i="5"/>
  <c r="W163" i="5"/>
  <c r="V163" i="5"/>
  <c r="U163" i="5"/>
  <c r="T163" i="5"/>
  <c r="S163" i="5"/>
  <c r="R163" i="5"/>
  <c r="Q163" i="5"/>
  <c r="P163" i="5"/>
  <c r="M163" i="5"/>
  <c r="L163" i="5"/>
  <c r="J163" i="5"/>
  <c r="I163" i="5"/>
  <c r="H163" i="5"/>
  <c r="G163" i="5"/>
  <c r="F163" i="5"/>
  <c r="AB162" i="5"/>
  <c r="AA162" i="5"/>
  <c r="W162" i="5"/>
  <c r="V162" i="5"/>
  <c r="U162" i="5"/>
  <c r="T162" i="5"/>
  <c r="S162" i="5"/>
  <c r="R162" i="5"/>
  <c r="Q162" i="5"/>
  <c r="P162" i="5"/>
  <c r="M162" i="5"/>
  <c r="L162" i="5"/>
  <c r="J162" i="5"/>
  <c r="I162" i="5"/>
  <c r="H162" i="5"/>
  <c r="G162" i="5"/>
  <c r="F162" i="5"/>
  <c r="AB161" i="5"/>
  <c r="AA161" i="5"/>
  <c r="W161" i="5"/>
  <c r="V161" i="5"/>
  <c r="U161" i="5"/>
  <c r="T161" i="5"/>
  <c r="S161" i="5"/>
  <c r="R161" i="5"/>
  <c r="Q161" i="5"/>
  <c r="P161" i="5"/>
  <c r="M161" i="5"/>
  <c r="L161" i="5"/>
  <c r="J161" i="5"/>
  <c r="I161" i="5"/>
  <c r="H161" i="5"/>
  <c r="G161" i="5"/>
  <c r="F161" i="5"/>
  <c r="AB160" i="5"/>
  <c r="AA160" i="5"/>
  <c r="W160" i="5"/>
  <c r="V160" i="5"/>
  <c r="U160" i="5"/>
  <c r="T160" i="5"/>
  <c r="S160" i="5"/>
  <c r="R160" i="5"/>
  <c r="Q160" i="5"/>
  <c r="P160" i="5"/>
  <c r="M160" i="5"/>
  <c r="L160" i="5"/>
  <c r="J160" i="5"/>
  <c r="I160" i="5"/>
  <c r="H160" i="5"/>
  <c r="G160" i="5"/>
  <c r="F160" i="5"/>
  <c r="AB159" i="5"/>
  <c r="AA159" i="5"/>
  <c r="W159" i="5"/>
  <c r="V159" i="5"/>
  <c r="U159" i="5"/>
  <c r="T159" i="5"/>
  <c r="S159" i="5"/>
  <c r="R159" i="5"/>
  <c r="Q159" i="5"/>
  <c r="P159" i="5"/>
  <c r="M159" i="5"/>
  <c r="L159" i="5"/>
  <c r="J159" i="5"/>
  <c r="I159" i="5"/>
  <c r="H159" i="5"/>
  <c r="G159" i="5"/>
  <c r="F159" i="5"/>
  <c r="K159" i="5" s="1"/>
  <c r="AB158" i="5"/>
  <c r="AA158" i="5"/>
  <c r="W158" i="5"/>
  <c r="V158" i="5"/>
  <c r="U158" i="5"/>
  <c r="T158" i="5"/>
  <c r="S158" i="5"/>
  <c r="R158" i="5"/>
  <c r="Q158" i="5"/>
  <c r="P158" i="5"/>
  <c r="M158" i="5"/>
  <c r="L158" i="5"/>
  <c r="J158" i="5"/>
  <c r="I158" i="5"/>
  <c r="H158" i="5"/>
  <c r="G158" i="5"/>
  <c r="F158" i="5"/>
  <c r="AB157" i="5"/>
  <c r="AA157" i="5"/>
  <c r="W157" i="5"/>
  <c r="V157" i="5"/>
  <c r="U157" i="5"/>
  <c r="T157" i="5"/>
  <c r="S157" i="5"/>
  <c r="R157" i="5"/>
  <c r="Q157" i="5"/>
  <c r="P157" i="5"/>
  <c r="M157" i="5"/>
  <c r="L157" i="5"/>
  <c r="J157" i="5"/>
  <c r="I157" i="5"/>
  <c r="H157" i="5"/>
  <c r="G157" i="5"/>
  <c r="F157" i="5"/>
  <c r="AB156" i="5"/>
  <c r="AA156" i="5"/>
  <c r="W156" i="5"/>
  <c r="V156" i="5"/>
  <c r="U156" i="5"/>
  <c r="T156" i="5"/>
  <c r="S156" i="5"/>
  <c r="R156" i="5"/>
  <c r="Q156" i="5"/>
  <c r="P156" i="5"/>
  <c r="M156" i="5"/>
  <c r="L156" i="5"/>
  <c r="J156" i="5"/>
  <c r="I156" i="5"/>
  <c r="H156" i="5"/>
  <c r="G156" i="5"/>
  <c r="F156" i="5"/>
  <c r="AB155" i="5"/>
  <c r="AA155" i="5"/>
  <c r="W155" i="5"/>
  <c r="V155" i="5"/>
  <c r="U155" i="5"/>
  <c r="T155" i="5"/>
  <c r="S155" i="5"/>
  <c r="R155" i="5"/>
  <c r="Q155" i="5"/>
  <c r="P155" i="5"/>
  <c r="M155" i="5"/>
  <c r="L155" i="5"/>
  <c r="J155" i="5"/>
  <c r="I155" i="5"/>
  <c r="H155" i="5"/>
  <c r="G155" i="5"/>
  <c r="F155" i="5"/>
  <c r="AB154" i="5"/>
  <c r="AA154" i="5"/>
  <c r="W154" i="5"/>
  <c r="V154" i="5"/>
  <c r="U154" i="5"/>
  <c r="T154" i="5"/>
  <c r="S154" i="5"/>
  <c r="R154" i="5"/>
  <c r="Q154" i="5"/>
  <c r="P154" i="5"/>
  <c r="M154" i="5"/>
  <c r="L154" i="5"/>
  <c r="J154" i="5"/>
  <c r="I154" i="5"/>
  <c r="H154" i="5"/>
  <c r="G154" i="5"/>
  <c r="F154" i="5"/>
  <c r="AB153" i="5"/>
  <c r="AA153" i="5"/>
  <c r="W153" i="5"/>
  <c r="V153" i="5"/>
  <c r="U153" i="5"/>
  <c r="T153" i="5"/>
  <c r="S153" i="5"/>
  <c r="R153" i="5"/>
  <c r="Q153" i="5"/>
  <c r="P153" i="5"/>
  <c r="M153" i="5"/>
  <c r="L153" i="5"/>
  <c r="J153" i="5"/>
  <c r="I153" i="5"/>
  <c r="H153" i="5"/>
  <c r="G153" i="5"/>
  <c r="F153" i="5"/>
  <c r="AB152" i="5"/>
  <c r="AA152" i="5"/>
  <c r="W152" i="5"/>
  <c r="V152" i="5"/>
  <c r="U152" i="5"/>
  <c r="T152" i="5"/>
  <c r="S152" i="5"/>
  <c r="R152" i="5"/>
  <c r="Q152" i="5"/>
  <c r="P152" i="5"/>
  <c r="M152" i="5"/>
  <c r="L152" i="5"/>
  <c r="J152" i="5"/>
  <c r="I152" i="5"/>
  <c r="H152" i="5"/>
  <c r="G152" i="5"/>
  <c r="F152" i="5"/>
  <c r="AB151" i="5"/>
  <c r="AA151" i="5"/>
  <c r="W151" i="5"/>
  <c r="V151" i="5"/>
  <c r="U151" i="5"/>
  <c r="T151" i="5"/>
  <c r="S151" i="5"/>
  <c r="R151" i="5"/>
  <c r="Q151" i="5"/>
  <c r="P151" i="5"/>
  <c r="M151" i="5"/>
  <c r="L151" i="5"/>
  <c r="J151" i="5"/>
  <c r="I151" i="5"/>
  <c r="H151" i="5"/>
  <c r="G151" i="5"/>
  <c r="F151" i="5"/>
  <c r="AB150" i="5"/>
  <c r="AA150" i="5"/>
  <c r="W150" i="5"/>
  <c r="V150" i="5"/>
  <c r="U150" i="5"/>
  <c r="T150" i="5"/>
  <c r="S150" i="5"/>
  <c r="R150" i="5"/>
  <c r="Q150" i="5"/>
  <c r="P150" i="5"/>
  <c r="M150" i="5"/>
  <c r="L150" i="5"/>
  <c r="J150" i="5"/>
  <c r="I150" i="5"/>
  <c r="H150" i="5"/>
  <c r="G150" i="5"/>
  <c r="F150" i="5"/>
  <c r="AB149" i="5"/>
  <c r="AA149" i="5"/>
  <c r="W149" i="5"/>
  <c r="V149" i="5"/>
  <c r="U149" i="5"/>
  <c r="T149" i="5"/>
  <c r="S149" i="5"/>
  <c r="R149" i="5"/>
  <c r="Q149" i="5"/>
  <c r="P149" i="5"/>
  <c r="M149" i="5"/>
  <c r="L149" i="5"/>
  <c r="J149" i="5"/>
  <c r="I149" i="5"/>
  <c r="H149" i="5"/>
  <c r="G149" i="5"/>
  <c r="F149" i="5"/>
  <c r="AB148" i="5"/>
  <c r="AA148" i="5"/>
  <c r="W148" i="5"/>
  <c r="V148" i="5"/>
  <c r="U148" i="5"/>
  <c r="T148" i="5"/>
  <c r="S148" i="5"/>
  <c r="R148" i="5"/>
  <c r="Q148" i="5"/>
  <c r="P148" i="5"/>
  <c r="M148" i="5"/>
  <c r="L148" i="5"/>
  <c r="J148" i="5"/>
  <c r="I148" i="5"/>
  <c r="H148" i="5"/>
  <c r="G148" i="5"/>
  <c r="F148" i="5"/>
  <c r="AB147" i="5"/>
  <c r="AA147" i="5"/>
  <c r="W147" i="5"/>
  <c r="V147" i="5"/>
  <c r="U147" i="5"/>
  <c r="T147" i="5"/>
  <c r="S147" i="5"/>
  <c r="R147" i="5"/>
  <c r="Q147" i="5"/>
  <c r="P147" i="5"/>
  <c r="M147" i="5"/>
  <c r="L147" i="5"/>
  <c r="J147" i="5"/>
  <c r="I147" i="5"/>
  <c r="H147" i="5"/>
  <c r="G147" i="5"/>
  <c r="F147" i="5"/>
  <c r="AB146" i="5"/>
  <c r="AA146" i="5"/>
  <c r="W146" i="5"/>
  <c r="V146" i="5"/>
  <c r="U146" i="5"/>
  <c r="T146" i="5"/>
  <c r="S146" i="5"/>
  <c r="R146" i="5"/>
  <c r="Q146" i="5"/>
  <c r="P146" i="5"/>
  <c r="M146" i="5"/>
  <c r="L146" i="5"/>
  <c r="J146" i="5"/>
  <c r="I146" i="5"/>
  <c r="H146" i="5"/>
  <c r="G146" i="5"/>
  <c r="F146" i="5"/>
  <c r="AB145" i="5"/>
  <c r="AA145" i="5"/>
  <c r="W145" i="5"/>
  <c r="V145" i="5"/>
  <c r="U145" i="5"/>
  <c r="T145" i="5"/>
  <c r="S145" i="5"/>
  <c r="R145" i="5"/>
  <c r="Q145" i="5"/>
  <c r="P145" i="5"/>
  <c r="M145" i="5"/>
  <c r="L145" i="5"/>
  <c r="J145" i="5"/>
  <c r="I145" i="5"/>
  <c r="H145" i="5"/>
  <c r="G145" i="5"/>
  <c r="F145" i="5"/>
  <c r="AB144" i="5"/>
  <c r="AA144" i="5"/>
  <c r="W144" i="5"/>
  <c r="V144" i="5"/>
  <c r="U144" i="5"/>
  <c r="T144" i="5"/>
  <c r="S144" i="5"/>
  <c r="R144" i="5"/>
  <c r="Q144" i="5"/>
  <c r="P144" i="5"/>
  <c r="M144" i="5"/>
  <c r="L144" i="5"/>
  <c r="J144" i="5"/>
  <c r="I144" i="5"/>
  <c r="H144" i="5"/>
  <c r="G144" i="5"/>
  <c r="F144" i="5"/>
  <c r="AB143" i="5"/>
  <c r="AA143" i="5"/>
  <c r="W143" i="5"/>
  <c r="V143" i="5"/>
  <c r="U143" i="5"/>
  <c r="T143" i="5"/>
  <c r="S143" i="5"/>
  <c r="R143" i="5"/>
  <c r="Q143" i="5"/>
  <c r="P143" i="5"/>
  <c r="M143" i="5"/>
  <c r="L143" i="5"/>
  <c r="J143" i="5"/>
  <c r="I143" i="5"/>
  <c r="H143" i="5"/>
  <c r="G143" i="5"/>
  <c r="F143" i="5"/>
  <c r="AB142" i="5"/>
  <c r="AA142" i="5"/>
  <c r="W142" i="5"/>
  <c r="V142" i="5"/>
  <c r="U142" i="5"/>
  <c r="T142" i="5"/>
  <c r="S142" i="5"/>
  <c r="R142" i="5"/>
  <c r="Q142" i="5"/>
  <c r="P142" i="5"/>
  <c r="M142" i="5"/>
  <c r="L142" i="5"/>
  <c r="J142" i="5"/>
  <c r="I142" i="5"/>
  <c r="H142" i="5"/>
  <c r="G142" i="5"/>
  <c r="F142" i="5"/>
  <c r="AB141" i="5"/>
  <c r="AA141" i="5"/>
  <c r="W141" i="5"/>
  <c r="V141" i="5"/>
  <c r="U141" i="5"/>
  <c r="T141" i="5"/>
  <c r="S141" i="5"/>
  <c r="R141" i="5"/>
  <c r="Q141" i="5"/>
  <c r="P141" i="5"/>
  <c r="M141" i="5"/>
  <c r="L141" i="5"/>
  <c r="J141" i="5"/>
  <c r="I141" i="5"/>
  <c r="H141" i="5"/>
  <c r="G141" i="5"/>
  <c r="F141" i="5"/>
  <c r="AB140" i="5"/>
  <c r="AA140" i="5"/>
  <c r="W140" i="5"/>
  <c r="V140" i="5"/>
  <c r="U140" i="5"/>
  <c r="T140" i="5"/>
  <c r="S140" i="5"/>
  <c r="R140" i="5"/>
  <c r="Q140" i="5"/>
  <c r="P140" i="5"/>
  <c r="M140" i="5"/>
  <c r="L140" i="5"/>
  <c r="J140" i="5"/>
  <c r="I140" i="5"/>
  <c r="H140" i="5"/>
  <c r="G140" i="5"/>
  <c r="F140" i="5"/>
  <c r="AB139" i="5"/>
  <c r="AA139" i="5"/>
  <c r="W139" i="5"/>
  <c r="V139" i="5"/>
  <c r="U139" i="5"/>
  <c r="T139" i="5"/>
  <c r="S139" i="5"/>
  <c r="R139" i="5"/>
  <c r="Q139" i="5"/>
  <c r="P139" i="5"/>
  <c r="M139" i="5"/>
  <c r="L139" i="5"/>
  <c r="J139" i="5"/>
  <c r="I139" i="5"/>
  <c r="H139" i="5"/>
  <c r="G139" i="5"/>
  <c r="F139" i="5"/>
  <c r="AB138" i="5"/>
  <c r="AA138" i="5"/>
  <c r="W138" i="5"/>
  <c r="V138" i="5"/>
  <c r="U138" i="5"/>
  <c r="T138" i="5"/>
  <c r="S138" i="5"/>
  <c r="R138" i="5"/>
  <c r="Q138" i="5"/>
  <c r="P138" i="5"/>
  <c r="M138" i="5"/>
  <c r="L138" i="5"/>
  <c r="J138" i="5"/>
  <c r="I138" i="5"/>
  <c r="H138" i="5"/>
  <c r="G138" i="5"/>
  <c r="F138" i="5"/>
  <c r="AB137" i="5"/>
  <c r="AA137" i="5"/>
  <c r="W137" i="5"/>
  <c r="V137" i="5"/>
  <c r="U137" i="5"/>
  <c r="T137" i="5"/>
  <c r="S137" i="5"/>
  <c r="R137" i="5"/>
  <c r="Q137" i="5"/>
  <c r="P137" i="5"/>
  <c r="M137" i="5"/>
  <c r="L137" i="5"/>
  <c r="J137" i="5"/>
  <c r="I137" i="5"/>
  <c r="H137" i="5"/>
  <c r="G137" i="5"/>
  <c r="F137" i="5"/>
  <c r="AB136" i="5"/>
  <c r="AA136" i="5"/>
  <c r="W136" i="5"/>
  <c r="V136" i="5"/>
  <c r="U136" i="5"/>
  <c r="T136" i="5"/>
  <c r="S136" i="5"/>
  <c r="R136" i="5"/>
  <c r="Q136" i="5"/>
  <c r="P136" i="5"/>
  <c r="M136" i="5"/>
  <c r="L136" i="5"/>
  <c r="J136" i="5"/>
  <c r="I136" i="5"/>
  <c r="H136" i="5"/>
  <c r="G136" i="5"/>
  <c r="F136" i="5"/>
  <c r="AB135" i="5"/>
  <c r="AA135" i="5"/>
  <c r="W135" i="5"/>
  <c r="V135" i="5"/>
  <c r="U135" i="5"/>
  <c r="T135" i="5"/>
  <c r="S135" i="5"/>
  <c r="R135" i="5"/>
  <c r="Q135" i="5"/>
  <c r="P135" i="5"/>
  <c r="M135" i="5"/>
  <c r="L135" i="5"/>
  <c r="J135" i="5"/>
  <c r="I135" i="5"/>
  <c r="H135" i="5"/>
  <c r="G135" i="5"/>
  <c r="F135" i="5"/>
  <c r="K135" i="5" s="1"/>
  <c r="AB134" i="5"/>
  <c r="AA134" i="5"/>
  <c r="W134" i="5"/>
  <c r="V134" i="5"/>
  <c r="U134" i="5"/>
  <c r="T134" i="5"/>
  <c r="S134" i="5"/>
  <c r="R134" i="5"/>
  <c r="Q134" i="5"/>
  <c r="P134" i="5"/>
  <c r="M134" i="5"/>
  <c r="L134" i="5"/>
  <c r="J134" i="5"/>
  <c r="I134" i="5"/>
  <c r="H134" i="5"/>
  <c r="G134" i="5"/>
  <c r="F134" i="5"/>
  <c r="AB133" i="5"/>
  <c r="AA133" i="5"/>
  <c r="W133" i="5"/>
  <c r="V133" i="5"/>
  <c r="U133" i="5"/>
  <c r="T133" i="5"/>
  <c r="S133" i="5"/>
  <c r="R133" i="5"/>
  <c r="Q133" i="5"/>
  <c r="P133" i="5"/>
  <c r="M133" i="5"/>
  <c r="L133" i="5"/>
  <c r="J133" i="5"/>
  <c r="I133" i="5"/>
  <c r="H133" i="5"/>
  <c r="G133" i="5"/>
  <c r="F133" i="5"/>
  <c r="AB132" i="5"/>
  <c r="AA132" i="5"/>
  <c r="W132" i="5"/>
  <c r="V132" i="5"/>
  <c r="U132" i="5"/>
  <c r="T132" i="5"/>
  <c r="S132" i="5"/>
  <c r="R132" i="5"/>
  <c r="Q132" i="5"/>
  <c r="P132" i="5"/>
  <c r="M132" i="5"/>
  <c r="L132" i="5"/>
  <c r="J132" i="5"/>
  <c r="I132" i="5"/>
  <c r="H132" i="5"/>
  <c r="G132" i="5"/>
  <c r="F132" i="5"/>
  <c r="AB131" i="5"/>
  <c r="AA131" i="5"/>
  <c r="W131" i="5"/>
  <c r="V131" i="5"/>
  <c r="U131" i="5"/>
  <c r="T131" i="5"/>
  <c r="S131" i="5"/>
  <c r="R131" i="5"/>
  <c r="Q131" i="5"/>
  <c r="P131" i="5"/>
  <c r="M131" i="5"/>
  <c r="L131" i="5"/>
  <c r="J131" i="5"/>
  <c r="I131" i="5"/>
  <c r="H131" i="5"/>
  <c r="G131" i="5"/>
  <c r="F131" i="5"/>
  <c r="AB130" i="5"/>
  <c r="AA130" i="5"/>
  <c r="W130" i="5"/>
  <c r="V130" i="5"/>
  <c r="U130" i="5"/>
  <c r="T130" i="5"/>
  <c r="S130" i="5"/>
  <c r="R130" i="5"/>
  <c r="Q130" i="5"/>
  <c r="P130" i="5"/>
  <c r="M130" i="5"/>
  <c r="L130" i="5"/>
  <c r="J130" i="5"/>
  <c r="I130" i="5"/>
  <c r="H130" i="5"/>
  <c r="G130" i="5"/>
  <c r="F130" i="5"/>
  <c r="AB129" i="5"/>
  <c r="AA129" i="5"/>
  <c r="W129" i="5"/>
  <c r="V129" i="5"/>
  <c r="U129" i="5"/>
  <c r="T129" i="5"/>
  <c r="S129" i="5"/>
  <c r="R129" i="5"/>
  <c r="Q129" i="5"/>
  <c r="P129" i="5"/>
  <c r="M129" i="5"/>
  <c r="L129" i="5"/>
  <c r="J129" i="5"/>
  <c r="I129" i="5"/>
  <c r="H129" i="5"/>
  <c r="G129" i="5"/>
  <c r="F129" i="5"/>
  <c r="AB128" i="5"/>
  <c r="AA128" i="5"/>
  <c r="W128" i="5"/>
  <c r="V128" i="5"/>
  <c r="U128" i="5"/>
  <c r="T128" i="5"/>
  <c r="S128" i="5"/>
  <c r="R128" i="5"/>
  <c r="Q128" i="5"/>
  <c r="P128" i="5"/>
  <c r="M128" i="5"/>
  <c r="L128" i="5"/>
  <c r="J128" i="5"/>
  <c r="I128" i="5"/>
  <c r="H128" i="5"/>
  <c r="G128" i="5"/>
  <c r="F128" i="5"/>
  <c r="AB126" i="5"/>
  <c r="AA126" i="5"/>
  <c r="W126" i="5"/>
  <c r="V126" i="5"/>
  <c r="U126" i="5"/>
  <c r="T126" i="5"/>
  <c r="S126" i="5"/>
  <c r="R126" i="5"/>
  <c r="Q126" i="5"/>
  <c r="P126" i="5"/>
  <c r="M126" i="5"/>
  <c r="L126" i="5"/>
  <c r="J126" i="5"/>
  <c r="I126" i="5"/>
  <c r="H126" i="5"/>
  <c r="G126" i="5"/>
  <c r="F126" i="5"/>
  <c r="AB125" i="5"/>
  <c r="AA125" i="5"/>
  <c r="W125" i="5"/>
  <c r="V125" i="5"/>
  <c r="U125" i="5"/>
  <c r="T125" i="5"/>
  <c r="S125" i="5"/>
  <c r="R125" i="5"/>
  <c r="Q125" i="5"/>
  <c r="P125" i="5"/>
  <c r="M125" i="5"/>
  <c r="L125" i="5"/>
  <c r="J125" i="5"/>
  <c r="I125" i="5"/>
  <c r="H125" i="5"/>
  <c r="G125" i="5"/>
  <c r="F125" i="5"/>
  <c r="AB124" i="5"/>
  <c r="AA124" i="5"/>
  <c r="W124" i="5"/>
  <c r="V124" i="5"/>
  <c r="U124" i="5"/>
  <c r="T124" i="5"/>
  <c r="S124" i="5"/>
  <c r="R124" i="5"/>
  <c r="Q124" i="5"/>
  <c r="P124" i="5"/>
  <c r="M124" i="5"/>
  <c r="L124" i="5"/>
  <c r="J124" i="5"/>
  <c r="I124" i="5"/>
  <c r="H124" i="5"/>
  <c r="G124" i="5"/>
  <c r="F124" i="5"/>
  <c r="AB123" i="5"/>
  <c r="AA123" i="5"/>
  <c r="W123" i="5"/>
  <c r="V123" i="5"/>
  <c r="U123" i="5"/>
  <c r="T123" i="5"/>
  <c r="S123" i="5"/>
  <c r="R123" i="5"/>
  <c r="Q123" i="5"/>
  <c r="P123" i="5"/>
  <c r="M123" i="5"/>
  <c r="L123" i="5"/>
  <c r="J123" i="5"/>
  <c r="I123" i="5"/>
  <c r="H123" i="5"/>
  <c r="G123" i="5"/>
  <c r="F123" i="5"/>
  <c r="AB122" i="5"/>
  <c r="AA122" i="5"/>
  <c r="W122" i="5"/>
  <c r="V122" i="5"/>
  <c r="U122" i="5"/>
  <c r="T122" i="5"/>
  <c r="S122" i="5"/>
  <c r="R122" i="5"/>
  <c r="Q122" i="5"/>
  <c r="P122" i="5"/>
  <c r="M122" i="5"/>
  <c r="L122" i="5"/>
  <c r="J122" i="5"/>
  <c r="I122" i="5"/>
  <c r="H122" i="5"/>
  <c r="G122" i="5"/>
  <c r="F122" i="5"/>
  <c r="AB121" i="5"/>
  <c r="AA121" i="5"/>
  <c r="W121" i="5"/>
  <c r="V121" i="5"/>
  <c r="U121" i="5"/>
  <c r="T121" i="5"/>
  <c r="S121" i="5"/>
  <c r="R121" i="5"/>
  <c r="Q121" i="5"/>
  <c r="P121" i="5"/>
  <c r="M121" i="5"/>
  <c r="L121" i="5"/>
  <c r="J121" i="5"/>
  <c r="I121" i="5"/>
  <c r="H121" i="5"/>
  <c r="G121" i="5"/>
  <c r="F121" i="5"/>
  <c r="AB120" i="5"/>
  <c r="AA120" i="5"/>
  <c r="W120" i="5"/>
  <c r="V120" i="5"/>
  <c r="U120" i="5"/>
  <c r="T120" i="5"/>
  <c r="S120" i="5"/>
  <c r="R120" i="5"/>
  <c r="Q120" i="5"/>
  <c r="P120" i="5"/>
  <c r="M120" i="5"/>
  <c r="L120" i="5"/>
  <c r="J120" i="5"/>
  <c r="I120" i="5"/>
  <c r="H120" i="5"/>
  <c r="G120" i="5"/>
  <c r="F120" i="5"/>
  <c r="K120" i="5" s="1"/>
  <c r="AB119" i="5"/>
  <c r="AA119" i="5"/>
  <c r="W119" i="5"/>
  <c r="V119" i="5"/>
  <c r="U119" i="5"/>
  <c r="T119" i="5"/>
  <c r="S119" i="5"/>
  <c r="R119" i="5"/>
  <c r="Q119" i="5"/>
  <c r="P119" i="5"/>
  <c r="M119" i="5"/>
  <c r="L119" i="5"/>
  <c r="J119" i="5"/>
  <c r="I119" i="5"/>
  <c r="H119" i="5"/>
  <c r="G119" i="5"/>
  <c r="F119" i="5"/>
  <c r="AB118" i="5"/>
  <c r="AA118" i="5"/>
  <c r="W118" i="5"/>
  <c r="V118" i="5"/>
  <c r="U118" i="5"/>
  <c r="T118" i="5"/>
  <c r="S118" i="5"/>
  <c r="R118" i="5"/>
  <c r="Q118" i="5"/>
  <c r="P118" i="5"/>
  <c r="M118" i="5"/>
  <c r="L118" i="5"/>
  <c r="J118" i="5"/>
  <c r="I118" i="5"/>
  <c r="H118" i="5"/>
  <c r="G118" i="5"/>
  <c r="F118" i="5"/>
  <c r="K118" i="5" s="1"/>
  <c r="AB117" i="5"/>
  <c r="AA117" i="5"/>
  <c r="W117" i="5"/>
  <c r="V117" i="5"/>
  <c r="U117" i="5"/>
  <c r="T117" i="5"/>
  <c r="S117" i="5"/>
  <c r="R117" i="5"/>
  <c r="Q117" i="5"/>
  <c r="P117" i="5"/>
  <c r="M117" i="5"/>
  <c r="L117" i="5"/>
  <c r="J117" i="5"/>
  <c r="I117" i="5"/>
  <c r="H117" i="5"/>
  <c r="G117" i="5"/>
  <c r="F117" i="5"/>
  <c r="AB116" i="5"/>
  <c r="AA116" i="5"/>
  <c r="W116" i="5"/>
  <c r="V116" i="5"/>
  <c r="U116" i="5"/>
  <c r="T116" i="5"/>
  <c r="S116" i="5"/>
  <c r="R116" i="5"/>
  <c r="Q116" i="5"/>
  <c r="P116" i="5"/>
  <c r="M116" i="5"/>
  <c r="L116" i="5"/>
  <c r="J116" i="5"/>
  <c r="I116" i="5"/>
  <c r="H116" i="5"/>
  <c r="G116" i="5"/>
  <c r="F116" i="5"/>
  <c r="AB115" i="5"/>
  <c r="AA115" i="5"/>
  <c r="W115" i="5"/>
  <c r="V115" i="5"/>
  <c r="U115" i="5"/>
  <c r="T115" i="5"/>
  <c r="S115" i="5"/>
  <c r="R115" i="5"/>
  <c r="Q115" i="5"/>
  <c r="P115" i="5"/>
  <c r="M115" i="5"/>
  <c r="L115" i="5"/>
  <c r="J115" i="5"/>
  <c r="I115" i="5"/>
  <c r="H115" i="5"/>
  <c r="G115" i="5"/>
  <c r="F115" i="5"/>
  <c r="AB114" i="5"/>
  <c r="AA114" i="5"/>
  <c r="W114" i="5"/>
  <c r="V114" i="5"/>
  <c r="U114" i="5"/>
  <c r="T114" i="5"/>
  <c r="S114" i="5"/>
  <c r="R114" i="5"/>
  <c r="Q114" i="5"/>
  <c r="P114" i="5"/>
  <c r="M114" i="5"/>
  <c r="L114" i="5"/>
  <c r="J114" i="5"/>
  <c r="I114" i="5"/>
  <c r="H114" i="5"/>
  <c r="G114" i="5"/>
  <c r="F114" i="5"/>
  <c r="AB110" i="5"/>
  <c r="AA110" i="5"/>
  <c r="W110" i="5"/>
  <c r="V110" i="5"/>
  <c r="U110" i="5"/>
  <c r="T110" i="5"/>
  <c r="S110" i="5"/>
  <c r="R110" i="5"/>
  <c r="Q110" i="5"/>
  <c r="P110" i="5"/>
  <c r="M110" i="5"/>
  <c r="L110" i="5"/>
  <c r="J110" i="5"/>
  <c r="I110" i="5"/>
  <c r="H110" i="5"/>
  <c r="G110" i="5"/>
  <c r="F110" i="5"/>
  <c r="AB109" i="5"/>
  <c r="AA109" i="5"/>
  <c r="W109" i="5"/>
  <c r="V109" i="5"/>
  <c r="U109" i="5"/>
  <c r="T109" i="5"/>
  <c r="S109" i="5"/>
  <c r="R109" i="5"/>
  <c r="Q109" i="5"/>
  <c r="P109" i="5"/>
  <c r="M109" i="5"/>
  <c r="L109" i="5"/>
  <c r="J109" i="5"/>
  <c r="I109" i="5"/>
  <c r="H109" i="5"/>
  <c r="G109" i="5"/>
  <c r="F109" i="5"/>
  <c r="AB108" i="5"/>
  <c r="AA108" i="5"/>
  <c r="W108" i="5"/>
  <c r="V108" i="5"/>
  <c r="U108" i="5"/>
  <c r="T108" i="5"/>
  <c r="S108" i="5"/>
  <c r="R108" i="5"/>
  <c r="Q108" i="5"/>
  <c r="P108" i="5"/>
  <c r="M108" i="5"/>
  <c r="L108" i="5"/>
  <c r="J108" i="5"/>
  <c r="I108" i="5"/>
  <c r="H108" i="5"/>
  <c r="G108" i="5"/>
  <c r="F108" i="5"/>
  <c r="AB107" i="5"/>
  <c r="AA107" i="5"/>
  <c r="W107" i="5"/>
  <c r="V107" i="5"/>
  <c r="U107" i="5"/>
  <c r="T107" i="5"/>
  <c r="S107" i="5"/>
  <c r="R107" i="5"/>
  <c r="Q107" i="5"/>
  <c r="P107" i="5"/>
  <c r="M107" i="5"/>
  <c r="L107" i="5"/>
  <c r="J107" i="5"/>
  <c r="I107" i="5"/>
  <c r="H107" i="5"/>
  <c r="G107" i="5"/>
  <c r="F107" i="5"/>
  <c r="K107" i="5" s="1"/>
  <c r="AB106" i="5"/>
  <c r="AA106" i="5"/>
  <c r="W106" i="5"/>
  <c r="V106" i="5"/>
  <c r="U106" i="5"/>
  <c r="T106" i="5"/>
  <c r="S106" i="5"/>
  <c r="R106" i="5"/>
  <c r="Q106" i="5"/>
  <c r="P106" i="5"/>
  <c r="M106" i="5"/>
  <c r="L106" i="5"/>
  <c r="J106" i="5"/>
  <c r="I106" i="5"/>
  <c r="H106" i="5"/>
  <c r="G106" i="5"/>
  <c r="F106" i="5"/>
  <c r="AB105" i="5"/>
  <c r="AA105" i="5"/>
  <c r="W105" i="5"/>
  <c r="V105" i="5"/>
  <c r="U105" i="5"/>
  <c r="T105" i="5"/>
  <c r="S105" i="5"/>
  <c r="R105" i="5"/>
  <c r="Q105" i="5"/>
  <c r="P105" i="5"/>
  <c r="M105" i="5"/>
  <c r="L105" i="5"/>
  <c r="J105" i="5"/>
  <c r="I105" i="5"/>
  <c r="H105" i="5"/>
  <c r="G105" i="5"/>
  <c r="F105" i="5"/>
  <c r="AB104" i="5"/>
  <c r="AA104" i="5"/>
  <c r="W104" i="5"/>
  <c r="V104" i="5"/>
  <c r="U104" i="5"/>
  <c r="T104" i="5"/>
  <c r="S104" i="5"/>
  <c r="R104" i="5"/>
  <c r="Q104" i="5"/>
  <c r="P104" i="5"/>
  <c r="M104" i="5"/>
  <c r="L104" i="5"/>
  <c r="J104" i="5"/>
  <c r="I104" i="5"/>
  <c r="H104" i="5"/>
  <c r="G104" i="5"/>
  <c r="F104" i="5"/>
  <c r="AB103" i="5"/>
  <c r="AA103" i="5"/>
  <c r="W103" i="5"/>
  <c r="V103" i="5"/>
  <c r="U103" i="5"/>
  <c r="T103" i="5"/>
  <c r="S103" i="5"/>
  <c r="R103" i="5"/>
  <c r="Q103" i="5"/>
  <c r="P103" i="5"/>
  <c r="M103" i="5"/>
  <c r="L103" i="5"/>
  <c r="J103" i="5"/>
  <c r="I103" i="5"/>
  <c r="H103" i="5"/>
  <c r="G103" i="5"/>
  <c r="F103" i="5"/>
  <c r="AB102" i="5"/>
  <c r="AA102" i="5"/>
  <c r="W102" i="5"/>
  <c r="V102" i="5"/>
  <c r="U102" i="5"/>
  <c r="T102" i="5"/>
  <c r="S102" i="5"/>
  <c r="R102" i="5"/>
  <c r="Q102" i="5"/>
  <c r="P102" i="5"/>
  <c r="M102" i="5"/>
  <c r="L102" i="5"/>
  <c r="J102" i="5"/>
  <c r="I102" i="5"/>
  <c r="H102" i="5"/>
  <c r="G102" i="5"/>
  <c r="F102" i="5"/>
  <c r="AB101" i="5"/>
  <c r="AA101" i="5"/>
  <c r="W101" i="5"/>
  <c r="V101" i="5"/>
  <c r="U101" i="5"/>
  <c r="T101" i="5"/>
  <c r="S101" i="5"/>
  <c r="R101" i="5"/>
  <c r="Q101" i="5"/>
  <c r="P101" i="5"/>
  <c r="M101" i="5"/>
  <c r="L101" i="5"/>
  <c r="J101" i="5"/>
  <c r="I101" i="5"/>
  <c r="H101" i="5"/>
  <c r="G101" i="5"/>
  <c r="F101" i="5"/>
  <c r="AB100" i="5"/>
  <c r="AA100" i="5"/>
  <c r="W100" i="5"/>
  <c r="V100" i="5"/>
  <c r="U100" i="5"/>
  <c r="T100" i="5"/>
  <c r="S100" i="5"/>
  <c r="R100" i="5"/>
  <c r="Q100" i="5"/>
  <c r="P100" i="5"/>
  <c r="M100" i="5"/>
  <c r="L100" i="5"/>
  <c r="J100" i="5"/>
  <c r="I100" i="5"/>
  <c r="H100" i="5"/>
  <c r="G100" i="5"/>
  <c r="F100" i="5"/>
  <c r="AB99" i="5"/>
  <c r="AA99" i="5"/>
  <c r="W99" i="5"/>
  <c r="V99" i="5"/>
  <c r="U99" i="5"/>
  <c r="T99" i="5"/>
  <c r="S99" i="5"/>
  <c r="R99" i="5"/>
  <c r="Q99" i="5"/>
  <c r="P99" i="5"/>
  <c r="M99" i="5"/>
  <c r="L99" i="5"/>
  <c r="J99" i="5"/>
  <c r="I99" i="5"/>
  <c r="H99" i="5"/>
  <c r="G99" i="5"/>
  <c r="F99" i="5"/>
  <c r="AB98" i="5"/>
  <c r="AA98" i="5"/>
  <c r="W98" i="5"/>
  <c r="V98" i="5"/>
  <c r="U98" i="5"/>
  <c r="T98" i="5"/>
  <c r="S98" i="5"/>
  <c r="R98" i="5"/>
  <c r="Q98" i="5"/>
  <c r="P98" i="5"/>
  <c r="M98" i="5"/>
  <c r="L98" i="5"/>
  <c r="J98" i="5"/>
  <c r="I98" i="5"/>
  <c r="H98" i="5"/>
  <c r="G98" i="5"/>
  <c r="F98" i="5"/>
  <c r="AB97" i="5"/>
  <c r="AA97" i="5"/>
  <c r="W97" i="5"/>
  <c r="V97" i="5"/>
  <c r="U97" i="5"/>
  <c r="T97" i="5"/>
  <c r="S97" i="5"/>
  <c r="R97" i="5"/>
  <c r="Q97" i="5"/>
  <c r="P97" i="5"/>
  <c r="M97" i="5"/>
  <c r="L97" i="5"/>
  <c r="J97" i="5"/>
  <c r="I97" i="5"/>
  <c r="H97" i="5"/>
  <c r="G97" i="5"/>
  <c r="F97" i="5"/>
  <c r="AB96" i="5"/>
  <c r="AA96" i="5"/>
  <c r="W96" i="5"/>
  <c r="V96" i="5"/>
  <c r="U96" i="5"/>
  <c r="T96" i="5"/>
  <c r="S96" i="5"/>
  <c r="R96" i="5"/>
  <c r="Q96" i="5"/>
  <c r="P96" i="5"/>
  <c r="M96" i="5"/>
  <c r="L96" i="5"/>
  <c r="J96" i="5"/>
  <c r="I96" i="5"/>
  <c r="H96" i="5"/>
  <c r="G96" i="5"/>
  <c r="F96" i="5"/>
  <c r="AB95" i="5"/>
  <c r="AA95" i="5"/>
  <c r="W95" i="5"/>
  <c r="V95" i="5"/>
  <c r="U95" i="5"/>
  <c r="T95" i="5"/>
  <c r="S95" i="5"/>
  <c r="R95" i="5"/>
  <c r="Q95" i="5"/>
  <c r="P95" i="5"/>
  <c r="M95" i="5"/>
  <c r="L95" i="5"/>
  <c r="J95" i="5"/>
  <c r="I95" i="5"/>
  <c r="H95" i="5"/>
  <c r="G95" i="5"/>
  <c r="F95" i="5"/>
  <c r="AB94" i="5"/>
  <c r="AA94" i="5"/>
  <c r="W94" i="5"/>
  <c r="V94" i="5"/>
  <c r="U94" i="5"/>
  <c r="T94" i="5"/>
  <c r="S94" i="5"/>
  <c r="R94" i="5"/>
  <c r="Q94" i="5"/>
  <c r="P94" i="5"/>
  <c r="M94" i="5"/>
  <c r="L94" i="5"/>
  <c r="J94" i="5"/>
  <c r="I94" i="5"/>
  <c r="H94" i="5"/>
  <c r="G94" i="5"/>
  <c r="F94" i="5"/>
  <c r="AB93" i="5"/>
  <c r="AA93" i="5"/>
  <c r="W93" i="5"/>
  <c r="V93" i="5"/>
  <c r="U93" i="5"/>
  <c r="T93" i="5"/>
  <c r="S93" i="5"/>
  <c r="R93" i="5"/>
  <c r="Q93" i="5"/>
  <c r="P93" i="5"/>
  <c r="M93" i="5"/>
  <c r="L93" i="5"/>
  <c r="J93" i="5"/>
  <c r="I93" i="5"/>
  <c r="H93" i="5"/>
  <c r="G93" i="5"/>
  <c r="F93" i="5"/>
  <c r="AB92" i="5"/>
  <c r="AA92" i="5"/>
  <c r="W92" i="5"/>
  <c r="V92" i="5"/>
  <c r="U92" i="5"/>
  <c r="T92" i="5"/>
  <c r="S92" i="5"/>
  <c r="R92" i="5"/>
  <c r="Q92" i="5"/>
  <c r="P92" i="5"/>
  <c r="M92" i="5"/>
  <c r="L92" i="5"/>
  <c r="J92" i="5"/>
  <c r="I92" i="5"/>
  <c r="H92" i="5"/>
  <c r="G92" i="5"/>
  <c r="F92" i="5"/>
  <c r="AB91" i="5"/>
  <c r="AA91" i="5"/>
  <c r="W91" i="5"/>
  <c r="V91" i="5"/>
  <c r="U91" i="5"/>
  <c r="T91" i="5"/>
  <c r="S91" i="5"/>
  <c r="R91" i="5"/>
  <c r="Q91" i="5"/>
  <c r="P91" i="5"/>
  <c r="M91" i="5"/>
  <c r="L91" i="5"/>
  <c r="J91" i="5"/>
  <c r="I91" i="5"/>
  <c r="H91" i="5"/>
  <c r="G91" i="5"/>
  <c r="F91" i="5"/>
  <c r="AB90" i="5"/>
  <c r="AA90" i="5"/>
  <c r="W90" i="5"/>
  <c r="V90" i="5"/>
  <c r="U90" i="5"/>
  <c r="T90" i="5"/>
  <c r="S90" i="5"/>
  <c r="R90" i="5"/>
  <c r="Q90" i="5"/>
  <c r="P90" i="5"/>
  <c r="M90" i="5"/>
  <c r="L90" i="5"/>
  <c r="J90" i="5"/>
  <c r="I90" i="5"/>
  <c r="H90" i="5"/>
  <c r="G90" i="5"/>
  <c r="F90" i="5"/>
  <c r="AB89" i="5"/>
  <c r="AA89" i="5"/>
  <c r="W89" i="5"/>
  <c r="V89" i="5"/>
  <c r="U89" i="5"/>
  <c r="T89" i="5"/>
  <c r="S89" i="5"/>
  <c r="R89" i="5"/>
  <c r="Q89" i="5"/>
  <c r="P89" i="5"/>
  <c r="M89" i="5"/>
  <c r="L89" i="5"/>
  <c r="J89" i="5"/>
  <c r="I89" i="5"/>
  <c r="H89" i="5"/>
  <c r="G89" i="5"/>
  <c r="F89" i="5"/>
  <c r="AB88" i="5"/>
  <c r="AA88" i="5"/>
  <c r="W88" i="5"/>
  <c r="V88" i="5"/>
  <c r="U88" i="5"/>
  <c r="T88" i="5"/>
  <c r="S88" i="5"/>
  <c r="R88" i="5"/>
  <c r="Q88" i="5"/>
  <c r="P88" i="5"/>
  <c r="M88" i="5"/>
  <c r="L88" i="5"/>
  <c r="J88" i="5"/>
  <c r="I88" i="5"/>
  <c r="H88" i="5"/>
  <c r="G88" i="5"/>
  <c r="F88" i="5"/>
  <c r="AB87" i="5"/>
  <c r="AA87" i="5"/>
  <c r="W87" i="5"/>
  <c r="V87" i="5"/>
  <c r="U87" i="5"/>
  <c r="T87" i="5"/>
  <c r="S87" i="5"/>
  <c r="R87" i="5"/>
  <c r="Q87" i="5"/>
  <c r="P87" i="5"/>
  <c r="M87" i="5"/>
  <c r="L87" i="5"/>
  <c r="J87" i="5"/>
  <c r="I87" i="5"/>
  <c r="H87" i="5"/>
  <c r="G87" i="5"/>
  <c r="F87" i="5"/>
  <c r="AB86" i="5"/>
  <c r="AA86" i="5"/>
  <c r="W86" i="5"/>
  <c r="V86" i="5"/>
  <c r="U86" i="5"/>
  <c r="T86" i="5"/>
  <c r="S86" i="5"/>
  <c r="R86" i="5"/>
  <c r="Q86" i="5"/>
  <c r="P86" i="5"/>
  <c r="M86" i="5"/>
  <c r="L86" i="5"/>
  <c r="J86" i="5"/>
  <c r="I86" i="5"/>
  <c r="H86" i="5"/>
  <c r="G86" i="5"/>
  <c r="F86" i="5"/>
  <c r="AB85" i="5"/>
  <c r="AA85" i="5"/>
  <c r="W85" i="5"/>
  <c r="V85" i="5"/>
  <c r="U85" i="5"/>
  <c r="T85" i="5"/>
  <c r="S85" i="5"/>
  <c r="R85" i="5"/>
  <c r="Q85" i="5"/>
  <c r="P85" i="5"/>
  <c r="M85" i="5"/>
  <c r="L85" i="5"/>
  <c r="J85" i="5"/>
  <c r="I85" i="5"/>
  <c r="H85" i="5"/>
  <c r="G85" i="5"/>
  <c r="F85" i="5"/>
  <c r="AB84" i="5"/>
  <c r="AA84" i="5"/>
  <c r="W84" i="5"/>
  <c r="V84" i="5"/>
  <c r="U84" i="5"/>
  <c r="T84" i="5"/>
  <c r="S84" i="5"/>
  <c r="R84" i="5"/>
  <c r="Q84" i="5"/>
  <c r="P84" i="5"/>
  <c r="M84" i="5"/>
  <c r="L84" i="5"/>
  <c r="J84" i="5"/>
  <c r="I84" i="5"/>
  <c r="H84" i="5"/>
  <c r="G84" i="5"/>
  <c r="F84" i="5"/>
  <c r="AB83" i="5"/>
  <c r="AA83" i="5"/>
  <c r="W83" i="5"/>
  <c r="V83" i="5"/>
  <c r="U83" i="5"/>
  <c r="T83" i="5"/>
  <c r="S83" i="5"/>
  <c r="R83" i="5"/>
  <c r="Q83" i="5"/>
  <c r="P83" i="5"/>
  <c r="M83" i="5"/>
  <c r="L83" i="5"/>
  <c r="J83" i="5"/>
  <c r="I83" i="5"/>
  <c r="H83" i="5"/>
  <c r="G83" i="5"/>
  <c r="F83" i="5"/>
  <c r="K83" i="5" s="1"/>
  <c r="AB82" i="5"/>
  <c r="AA82" i="5"/>
  <c r="W82" i="5"/>
  <c r="V82" i="5"/>
  <c r="U82" i="5"/>
  <c r="T82" i="5"/>
  <c r="S82" i="5"/>
  <c r="R82" i="5"/>
  <c r="Q82" i="5"/>
  <c r="P82" i="5"/>
  <c r="M82" i="5"/>
  <c r="L82" i="5"/>
  <c r="J82" i="5"/>
  <c r="I82" i="5"/>
  <c r="H82" i="5"/>
  <c r="G82" i="5"/>
  <c r="F82" i="5"/>
  <c r="AB81" i="5"/>
  <c r="AA81" i="5"/>
  <c r="W81" i="5"/>
  <c r="V81" i="5"/>
  <c r="U81" i="5"/>
  <c r="T81" i="5"/>
  <c r="S81" i="5"/>
  <c r="R81" i="5"/>
  <c r="Q81" i="5"/>
  <c r="P81" i="5"/>
  <c r="M81" i="5"/>
  <c r="L81" i="5"/>
  <c r="J81" i="5"/>
  <c r="I81" i="5"/>
  <c r="H81" i="5"/>
  <c r="G81" i="5"/>
  <c r="F81" i="5"/>
  <c r="AB80" i="5"/>
  <c r="AA80" i="5"/>
  <c r="W80" i="5"/>
  <c r="V80" i="5"/>
  <c r="U80" i="5"/>
  <c r="T80" i="5"/>
  <c r="S80" i="5"/>
  <c r="R80" i="5"/>
  <c r="Q80" i="5"/>
  <c r="P80" i="5"/>
  <c r="M80" i="5"/>
  <c r="L80" i="5"/>
  <c r="J80" i="5"/>
  <c r="I80" i="5"/>
  <c r="H80" i="5"/>
  <c r="G80" i="5"/>
  <c r="F80" i="5"/>
  <c r="AB79" i="5"/>
  <c r="AA79" i="5"/>
  <c r="W79" i="5"/>
  <c r="V79" i="5"/>
  <c r="U79" i="5"/>
  <c r="T79" i="5"/>
  <c r="S79" i="5"/>
  <c r="R79" i="5"/>
  <c r="Q79" i="5"/>
  <c r="P79" i="5"/>
  <c r="M79" i="5"/>
  <c r="L79" i="5"/>
  <c r="J79" i="5"/>
  <c r="I79" i="5"/>
  <c r="H79" i="5"/>
  <c r="G79" i="5"/>
  <c r="F79" i="5"/>
  <c r="AB78" i="5"/>
  <c r="AA78" i="5"/>
  <c r="W78" i="5"/>
  <c r="V78" i="5"/>
  <c r="U78" i="5"/>
  <c r="T78" i="5"/>
  <c r="S78" i="5"/>
  <c r="R78" i="5"/>
  <c r="Q78" i="5"/>
  <c r="P78" i="5"/>
  <c r="M78" i="5"/>
  <c r="L78" i="5"/>
  <c r="J78" i="5"/>
  <c r="I78" i="5"/>
  <c r="H78" i="5"/>
  <c r="G78" i="5"/>
  <c r="F78" i="5"/>
  <c r="AB77" i="5"/>
  <c r="AA77" i="5"/>
  <c r="W77" i="5"/>
  <c r="V77" i="5"/>
  <c r="U77" i="5"/>
  <c r="T77" i="5"/>
  <c r="S77" i="5"/>
  <c r="R77" i="5"/>
  <c r="Q77" i="5"/>
  <c r="P77" i="5"/>
  <c r="M77" i="5"/>
  <c r="L77" i="5"/>
  <c r="J77" i="5"/>
  <c r="I77" i="5"/>
  <c r="H77" i="5"/>
  <c r="G77" i="5"/>
  <c r="F77" i="5"/>
  <c r="AB76" i="5"/>
  <c r="AA76" i="5"/>
  <c r="W76" i="5"/>
  <c r="V76" i="5"/>
  <c r="U76" i="5"/>
  <c r="T76" i="5"/>
  <c r="S76" i="5"/>
  <c r="R76" i="5"/>
  <c r="Q76" i="5"/>
  <c r="P76" i="5"/>
  <c r="M76" i="5"/>
  <c r="L76" i="5"/>
  <c r="J76" i="5"/>
  <c r="I76" i="5"/>
  <c r="H76" i="5"/>
  <c r="G76" i="5"/>
  <c r="F76" i="5"/>
  <c r="AB75" i="5"/>
  <c r="AA75" i="5"/>
  <c r="W75" i="5"/>
  <c r="V75" i="5"/>
  <c r="U75" i="5"/>
  <c r="T75" i="5"/>
  <c r="S75" i="5"/>
  <c r="R75" i="5"/>
  <c r="Q75" i="5"/>
  <c r="P75" i="5"/>
  <c r="M75" i="5"/>
  <c r="L75" i="5"/>
  <c r="J75" i="5"/>
  <c r="I75" i="5"/>
  <c r="H75" i="5"/>
  <c r="G75" i="5"/>
  <c r="F75" i="5"/>
  <c r="K75" i="5" s="1"/>
  <c r="AB74" i="5"/>
  <c r="AA74" i="5"/>
  <c r="W74" i="5"/>
  <c r="V74" i="5"/>
  <c r="U74" i="5"/>
  <c r="T74" i="5"/>
  <c r="S74" i="5"/>
  <c r="R74" i="5"/>
  <c r="Q74" i="5"/>
  <c r="P74" i="5"/>
  <c r="M74" i="5"/>
  <c r="L74" i="5"/>
  <c r="J74" i="5"/>
  <c r="I74" i="5"/>
  <c r="H74" i="5"/>
  <c r="G74" i="5"/>
  <c r="F74" i="5"/>
  <c r="AB72" i="5"/>
  <c r="AA72" i="5"/>
  <c r="W72" i="5"/>
  <c r="V72" i="5"/>
  <c r="U72" i="5"/>
  <c r="T72" i="5"/>
  <c r="S72" i="5"/>
  <c r="R72" i="5"/>
  <c r="Q72" i="5"/>
  <c r="P72" i="5"/>
  <c r="M72" i="5"/>
  <c r="L72" i="5"/>
  <c r="J72" i="5"/>
  <c r="K72" i="5" s="1"/>
  <c r="I72" i="5"/>
  <c r="H72" i="5"/>
  <c r="G72" i="5"/>
  <c r="F72" i="5"/>
  <c r="AB71" i="5"/>
  <c r="AA71" i="5"/>
  <c r="W71" i="5"/>
  <c r="V71" i="5"/>
  <c r="U71" i="5"/>
  <c r="T71" i="5"/>
  <c r="S71" i="5"/>
  <c r="R71" i="5"/>
  <c r="Q71" i="5"/>
  <c r="P71" i="5"/>
  <c r="M71" i="5"/>
  <c r="L71" i="5"/>
  <c r="J71" i="5"/>
  <c r="I71" i="5"/>
  <c r="H71" i="5"/>
  <c r="G71" i="5"/>
  <c r="F71" i="5"/>
  <c r="AB70" i="5"/>
  <c r="AA70" i="5"/>
  <c r="W70" i="5"/>
  <c r="V70" i="5"/>
  <c r="U70" i="5"/>
  <c r="T70" i="5"/>
  <c r="S70" i="5"/>
  <c r="R70" i="5"/>
  <c r="Q70" i="5"/>
  <c r="P70" i="5"/>
  <c r="M70" i="5"/>
  <c r="L70" i="5"/>
  <c r="J70" i="5"/>
  <c r="I70" i="5"/>
  <c r="H70" i="5"/>
  <c r="G70" i="5"/>
  <c r="F70" i="5"/>
  <c r="AB69" i="5"/>
  <c r="AA69" i="5"/>
  <c r="W69" i="5"/>
  <c r="V69" i="5"/>
  <c r="U69" i="5"/>
  <c r="T69" i="5"/>
  <c r="S69" i="5"/>
  <c r="R69" i="5"/>
  <c r="Q69" i="5"/>
  <c r="P69" i="5"/>
  <c r="M69" i="5"/>
  <c r="L69" i="5"/>
  <c r="J69" i="5"/>
  <c r="I69" i="5"/>
  <c r="H69" i="5"/>
  <c r="G69" i="5"/>
  <c r="F69" i="5"/>
  <c r="AB68" i="5"/>
  <c r="AA68" i="5"/>
  <c r="W68" i="5"/>
  <c r="V68" i="5"/>
  <c r="U68" i="5"/>
  <c r="T68" i="5"/>
  <c r="S68" i="5"/>
  <c r="R68" i="5"/>
  <c r="Q68" i="5"/>
  <c r="P68" i="5"/>
  <c r="M68" i="5"/>
  <c r="L68" i="5"/>
  <c r="J68" i="5"/>
  <c r="I68" i="5"/>
  <c r="H68" i="5"/>
  <c r="G68" i="5"/>
  <c r="F68" i="5"/>
  <c r="AB67" i="5"/>
  <c r="AA67" i="5"/>
  <c r="W67" i="5"/>
  <c r="V67" i="5"/>
  <c r="U67" i="5"/>
  <c r="T67" i="5"/>
  <c r="S67" i="5"/>
  <c r="R67" i="5"/>
  <c r="Q67" i="5"/>
  <c r="P67" i="5"/>
  <c r="M67" i="5"/>
  <c r="L67" i="5"/>
  <c r="J67" i="5"/>
  <c r="I67" i="5"/>
  <c r="H67" i="5"/>
  <c r="G67" i="5"/>
  <c r="F67" i="5"/>
  <c r="AB66" i="5"/>
  <c r="AA66" i="5"/>
  <c r="W66" i="5"/>
  <c r="V66" i="5"/>
  <c r="U66" i="5"/>
  <c r="T66" i="5"/>
  <c r="S66" i="5"/>
  <c r="R66" i="5"/>
  <c r="Q66" i="5"/>
  <c r="P66" i="5"/>
  <c r="M66" i="5"/>
  <c r="L66" i="5"/>
  <c r="J66" i="5"/>
  <c r="I66" i="5"/>
  <c r="H66" i="5"/>
  <c r="G66" i="5"/>
  <c r="F66" i="5"/>
  <c r="AB65" i="5"/>
  <c r="AA65" i="5"/>
  <c r="W65" i="5"/>
  <c r="V65" i="5"/>
  <c r="U65" i="5"/>
  <c r="T65" i="5"/>
  <c r="S65" i="5"/>
  <c r="R65" i="5"/>
  <c r="Q65" i="5"/>
  <c r="P65" i="5"/>
  <c r="M65" i="5"/>
  <c r="L65" i="5"/>
  <c r="J65" i="5"/>
  <c r="I65" i="5"/>
  <c r="H65" i="5"/>
  <c r="G65" i="5"/>
  <c r="F65" i="5"/>
  <c r="AB64" i="5"/>
  <c r="AA64" i="5"/>
  <c r="W64" i="5"/>
  <c r="V64" i="5"/>
  <c r="U64" i="5"/>
  <c r="T64" i="5"/>
  <c r="S64" i="5"/>
  <c r="R64" i="5"/>
  <c r="Q64" i="5"/>
  <c r="P64" i="5"/>
  <c r="M64" i="5"/>
  <c r="L64" i="5"/>
  <c r="J64" i="5"/>
  <c r="I64" i="5"/>
  <c r="K64" i="5" s="1"/>
  <c r="H64" i="5"/>
  <c r="G64" i="5"/>
  <c r="F64" i="5"/>
  <c r="AB63" i="5"/>
  <c r="AA63" i="5"/>
  <c r="W63" i="5"/>
  <c r="V63" i="5"/>
  <c r="U63" i="5"/>
  <c r="T63" i="5"/>
  <c r="S63" i="5"/>
  <c r="R63" i="5"/>
  <c r="Q63" i="5"/>
  <c r="P63" i="5"/>
  <c r="M63" i="5"/>
  <c r="L63" i="5"/>
  <c r="J63" i="5"/>
  <c r="I63" i="5"/>
  <c r="H63" i="5"/>
  <c r="G63" i="5"/>
  <c r="F63" i="5"/>
  <c r="AB62" i="5"/>
  <c r="AA62" i="5"/>
  <c r="W62" i="5"/>
  <c r="V62" i="5"/>
  <c r="U62" i="5"/>
  <c r="T62" i="5"/>
  <c r="S62" i="5"/>
  <c r="R62" i="5"/>
  <c r="Q62" i="5"/>
  <c r="P62" i="5"/>
  <c r="M62" i="5"/>
  <c r="L62" i="5"/>
  <c r="J62" i="5"/>
  <c r="I62" i="5"/>
  <c r="H62" i="5"/>
  <c r="G62" i="5"/>
  <c r="F62" i="5"/>
  <c r="AB61" i="5"/>
  <c r="AA61" i="5"/>
  <c r="W61" i="5"/>
  <c r="V61" i="5"/>
  <c r="U61" i="5"/>
  <c r="T61" i="5"/>
  <c r="S61" i="5"/>
  <c r="R61" i="5"/>
  <c r="Q61" i="5"/>
  <c r="P61" i="5"/>
  <c r="M61" i="5"/>
  <c r="L61" i="5"/>
  <c r="J61" i="5"/>
  <c r="I61" i="5"/>
  <c r="H61" i="5"/>
  <c r="G61" i="5"/>
  <c r="F61" i="5"/>
  <c r="AB60" i="5"/>
  <c r="AA60" i="5"/>
  <c r="W60" i="5"/>
  <c r="V60" i="5"/>
  <c r="U60" i="5"/>
  <c r="T60" i="5"/>
  <c r="S60" i="5"/>
  <c r="R60" i="5"/>
  <c r="Q60" i="5"/>
  <c r="P60" i="5"/>
  <c r="M60" i="5"/>
  <c r="L60" i="5"/>
  <c r="J60" i="5"/>
  <c r="I60" i="5"/>
  <c r="H60" i="5"/>
  <c r="G60" i="5"/>
  <c r="F60" i="5"/>
  <c r="AB59" i="5"/>
  <c r="AA59" i="5"/>
  <c r="W59" i="5"/>
  <c r="V59" i="5"/>
  <c r="U59" i="5"/>
  <c r="T59" i="5"/>
  <c r="S59" i="5"/>
  <c r="R59" i="5"/>
  <c r="Q59" i="5"/>
  <c r="P59" i="5"/>
  <c r="M59" i="5"/>
  <c r="L59" i="5"/>
  <c r="J59" i="5"/>
  <c r="I59" i="5"/>
  <c r="H59" i="5"/>
  <c r="G59" i="5"/>
  <c r="F59" i="5"/>
  <c r="AB58" i="5"/>
  <c r="AA58" i="5"/>
  <c r="W58" i="5"/>
  <c r="V58" i="5"/>
  <c r="U58" i="5"/>
  <c r="T58" i="5"/>
  <c r="S58" i="5"/>
  <c r="R58" i="5"/>
  <c r="Q58" i="5"/>
  <c r="P58" i="5"/>
  <c r="M58" i="5"/>
  <c r="L58" i="5"/>
  <c r="J58" i="5"/>
  <c r="I58" i="5"/>
  <c r="H58" i="5"/>
  <c r="K58" i="5" s="1"/>
  <c r="G58" i="5"/>
  <c r="F58" i="5"/>
  <c r="AB57" i="5"/>
  <c r="AA57" i="5"/>
  <c r="W57" i="5"/>
  <c r="V57" i="5"/>
  <c r="U57" i="5"/>
  <c r="T57" i="5"/>
  <c r="S57" i="5"/>
  <c r="R57" i="5"/>
  <c r="Q57" i="5"/>
  <c r="P57" i="5"/>
  <c r="M57" i="5"/>
  <c r="L57" i="5"/>
  <c r="J57" i="5"/>
  <c r="I57" i="5"/>
  <c r="H57" i="5"/>
  <c r="G57" i="5"/>
  <c r="F57" i="5"/>
  <c r="AB56" i="5"/>
  <c r="AA56" i="5"/>
  <c r="W56" i="5"/>
  <c r="V56" i="5"/>
  <c r="U56" i="5"/>
  <c r="T56" i="5"/>
  <c r="S56" i="5"/>
  <c r="R56" i="5"/>
  <c r="Q56" i="5"/>
  <c r="P56" i="5"/>
  <c r="M56" i="5"/>
  <c r="L56" i="5"/>
  <c r="J56" i="5"/>
  <c r="I56" i="5"/>
  <c r="H56" i="5"/>
  <c r="G56" i="5"/>
  <c r="F56" i="5"/>
  <c r="AB55" i="5"/>
  <c r="AA55" i="5"/>
  <c r="W55" i="5"/>
  <c r="V55" i="5"/>
  <c r="U55" i="5"/>
  <c r="T55" i="5"/>
  <c r="S55" i="5"/>
  <c r="R55" i="5"/>
  <c r="Q55" i="5"/>
  <c r="P55" i="5"/>
  <c r="M55" i="5"/>
  <c r="L55" i="5"/>
  <c r="J55" i="5"/>
  <c r="I55" i="5"/>
  <c r="H55" i="5"/>
  <c r="G55" i="5"/>
  <c r="F55" i="5"/>
  <c r="AB54" i="5"/>
  <c r="AA54" i="5"/>
  <c r="W54" i="5"/>
  <c r="V54" i="5"/>
  <c r="U54" i="5"/>
  <c r="T54" i="5"/>
  <c r="S54" i="5"/>
  <c r="R54" i="5"/>
  <c r="Q54" i="5"/>
  <c r="P54" i="5"/>
  <c r="M54" i="5"/>
  <c r="L54" i="5"/>
  <c r="J54" i="5"/>
  <c r="I54" i="5"/>
  <c r="H54" i="5"/>
  <c r="G54" i="5"/>
  <c r="F54" i="5"/>
  <c r="AB53" i="5"/>
  <c r="AA53" i="5"/>
  <c r="W53" i="5"/>
  <c r="V53" i="5"/>
  <c r="U53" i="5"/>
  <c r="T53" i="5"/>
  <c r="S53" i="5"/>
  <c r="R53" i="5"/>
  <c r="Q53" i="5"/>
  <c r="P53" i="5"/>
  <c r="M53" i="5"/>
  <c r="L53" i="5"/>
  <c r="J53" i="5"/>
  <c r="I53" i="5"/>
  <c r="H53" i="5"/>
  <c r="G53" i="5"/>
  <c r="F53" i="5"/>
  <c r="AB52" i="5"/>
  <c r="AA52" i="5"/>
  <c r="W52" i="5"/>
  <c r="V52" i="5"/>
  <c r="U52" i="5"/>
  <c r="T52" i="5"/>
  <c r="S52" i="5"/>
  <c r="R52" i="5"/>
  <c r="Q52" i="5"/>
  <c r="P52" i="5"/>
  <c r="M52" i="5"/>
  <c r="L52" i="5"/>
  <c r="J52" i="5"/>
  <c r="I52" i="5"/>
  <c r="H52" i="5"/>
  <c r="G52" i="5"/>
  <c r="F52" i="5"/>
  <c r="AB51" i="5"/>
  <c r="AA51" i="5"/>
  <c r="W51" i="5"/>
  <c r="V51" i="5"/>
  <c r="U51" i="5"/>
  <c r="T51" i="5"/>
  <c r="S51" i="5"/>
  <c r="R51" i="5"/>
  <c r="Q51" i="5"/>
  <c r="P51" i="5"/>
  <c r="M51" i="5"/>
  <c r="L51" i="5"/>
  <c r="J51" i="5"/>
  <c r="I51" i="5"/>
  <c r="H51" i="5"/>
  <c r="G51" i="5"/>
  <c r="F51" i="5"/>
  <c r="AB50" i="5"/>
  <c r="AA50" i="5"/>
  <c r="W50" i="5"/>
  <c r="V50" i="5"/>
  <c r="U50" i="5"/>
  <c r="T50" i="5"/>
  <c r="S50" i="5"/>
  <c r="R50" i="5"/>
  <c r="Q50" i="5"/>
  <c r="P50" i="5"/>
  <c r="M50" i="5"/>
  <c r="L50" i="5"/>
  <c r="J50" i="5"/>
  <c r="I50" i="5"/>
  <c r="H50" i="5"/>
  <c r="G50" i="5"/>
  <c r="F50" i="5"/>
  <c r="AB49" i="5"/>
  <c r="AA49" i="5"/>
  <c r="W49" i="5"/>
  <c r="V49" i="5"/>
  <c r="U49" i="5"/>
  <c r="T49" i="5"/>
  <c r="S49" i="5"/>
  <c r="R49" i="5"/>
  <c r="Q49" i="5"/>
  <c r="P49" i="5"/>
  <c r="M49" i="5"/>
  <c r="L49" i="5"/>
  <c r="J49" i="5"/>
  <c r="I49" i="5"/>
  <c r="H49" i="5"/>
  <c r="G49" i="5"/>
  <c r="F49" i="5"/>
  <c r="AB48" i="5"/>
  <c r="AA48" i="5"/>
  <c r="W48" i="5"/>
  <c r="V48" i="5"/>
  <c r="U48" i="5"/>
  <c r="T48" i="5"/>
  <c r="S48" i="5"/>
  <c r="R48" i="5"/>
  <c r="Q48" i="5"/>
  <c r="P48" i="5"/>
  <c r="M48" i="5"/>
  <c r="L48" i="5"/>
  <c r="J48" i="5"/>
  <c r="I48" i="5"/>
  <c r="H48" i="5"/>
  <c r="G48" i="5"/>
  <c r="F48" i="5"/>
  <c r="AB47" i="5"/>
  <c r="AA47" i="5"/>
  <c r="W47" i="5"/>
  <c r="V47" i="5"/>
  <c r="U47" i="5"/>
  <c r="T47" i="5"/>
  <c r="S47" i="5"/>
  <c r="R47" i="5"/>
  <c r="Q47" i="5"/>
  <c r="P47" i="5"/>
  <c r="M47" i="5"/>
  <c r="L47" i="5"/>
  <c r="J47" i="5"/>
  <c r="I47" i="5"/>
  <c r="H47" i="5"/>
  <c r="G47" i="5"/>
  <c r="F47" i="5"/>
  <c r="AB46" i="5"/>
  <c r="AA46" i="5"/>
  <c r="W46" i="5"/>
  <c r="V46" i="5"/>
  <c r="U46" i="5"/>
  <c r="T46" i="5"/>
  <c r="S46" i="5"/>
  <c r="R46" i="5"/>
  <c r="Q46" i="5"/>
  <c r="P46" i="5"/>
  <c r="M46" i="5"/>
  <c r="L46" i="5"/>
  <c r="J46" i="5"/>
  <c r="I46" i="5"/>
  <c r="H46" i="5"/>
  <c r="G46" i="5"/>
  <c r="F46" i="5"/>
  <c r="AB45" i="5"/>
  <c r="AA45" i="5"/>
  <c r="W45" i="5"/>
  <c r="V45" i="5"/>
  <c r="U45" i="5"/>
  <c r="T45" i="5"/>
  <c r="S45" i="5"/>
  <c r="R45" i="5"/>
  <c r="Q45" i="5"/>
  <c r="P45" i="5"/>
  <c r="M45" i="5"/>
  <c r="L45" i="5"/>
  <c r="J45" i="5"/>
  <c r="I45" i="5"/>
  <c r="H45" i="5"/>
  <c r="G45" i="5"/>
  <c r="F45" i="5"/>
  <c r="AB44" i="5"/>
  <c r="AA44" i="5"/>
  <c r="W44" i="5"/>
  <c r="V44" i="5"/>
  <c r="U44" i="5"/>
  <c r="T44" i="5"/>
  <c r="S44" i="5"/>
  <c r="R44" i="5"/>
  <c r="Q44" i="5"/>
  <c r="P44" i="5"/>
  <c r="M44" i="5"/>
  <c r="L44" i="5"/>
  <c r="J44" i="5"/>
  <c r="I44" i="5"/>
  <c r="H44" i="5"/>
  <c r="G44" i="5"/>
  <c r="F44" i="5"/>
  <c r="AB43" i="5"/>
  <c r="AA43" i="5"/>
  <c r="W43" i="5"/>
  <c r="V43" i="5"/>
  <c r="U43" i="5"/>
  <c r="T43" i="5"/>
  <c r="S43" i="5"/>
  <c r="R43" i="5"/>
  <c r="Q43" i="5"/>
  <c r="P43" i="5"/>
  <c r="M43" i="5"/>
  <c r="L43" i="5"/>
  <c r="J43" i="5"/>
  <c r="I43" i="5"/>
  <c r="H43" i="5"/>
  <c r="G43" i="5"/>
  <c r="F43" i="5"/>
  <c r="AB42" i="5"/>
  <c r="AA42" i="5"/>
  <c r="W42" i="5"/>
  <c r="V42" i="5"/>
  <c r="U42" i="5"/>
  <c r="T42" i="5"/>
  <c r="S42" i="5"/>
  <c r="R42" i="5"/>
  <c r="Q42" i="5"/>
  <c r="P42" i="5"/>
  <c r="M42" i="5"/>
  <c r="L42" i="5"/>
  <c r="J42" i="5"/>
  <c r="I42" i="5"/>
  <c r="H42" i="5"/>
  <c r="G42" i="5"/>
  <c r="F42" i="5"/>
  <c r="AB41" i="5"/>
  <c r="AA41" i="5"/>
  <c r="W41" i="5"/>
  <c r="V41" i="5"/>
  <c r="U41" i="5"/>
  <c r="T41" i="5"/>
  <c r="S41" i="5"/>
  <c r="R41" i="5"/>
  <c r="Q41" i="5"/>
  <c r="P41" i="5"/>
  <c r="M41" i="5"/>
  <c r="L41" i="5"/>
  <c r="J41" i="5"/>
  <c r="I41" i="5"/>
  <c r="H41" i="5"/>
  <c r="G41" i="5"/>
  <c r="F41" i="5"/>
  <c r="AB40" i="5"/>
  <c r="AA40" i="5"/>
  <c r="W40" i="5"/>
  <c r="V40" i="5"/>
  <c r="U40" i="5"/>
  <c r="T40" i="5"/>
  <c r="S40" i="5"/>
  <c r="R40" i="5"/>
  <c r="Q40" i="5"/>
  <c r="P40" i="5"/>
  <c r="M40" i="5"/>
  <c r="L40" i="5"/>
  <c r="J40" i="5"/>
  <c r="I40" i="5"/>
  <c r="H40" i="5"/>
  <c r="G40" i="5"/>
  <c r="F40" i="5"/>
  <c r="AB39" i="5"/>
  <c r="AA39" i="5"/>
  <c r="W39" i="5"/>
  <c r="V39" i="5"/>
  <c r="U39" i="5"/>
  <c r="T39" i="5"/>
  <c r="S39" i="5"/>
  <c r="R39" i="5"/>
  <c r="Q39" i="5"/>
  <c r="P39" i="5"/>
  <c r="M39" i="5"/>
  <c r="L39" i="5"/>
  <c r="J39" i="5"/>
  <c r="I39" i="5"/>
  <c r="H39" i="5"/>
  <c r="G39" i="5"/>
  <c r="F39" i="5"/>
  <c r="AB38" i="5"/>
  <c r="AA38" i="5"/>
  <c r="W38" i="5"/>
  <c r="V38" i="5"/>
  <c r="U38" i="5"/>
  <c r="T38" i="5"/>
  <c r="S38" i="5"/>
  <c r="R38" i="5"/>
  <c r="Q38" i="5"/>
  <c r="P38" i="5"/>
  <c r="M38" i="5"/>
  <c r="L38" i="5"/>
  <c r="J38" i="5"/>
  <c r="I38" i="5"/>
  <c r="H38" i="5"/>
  <c r="G38" i="5"/>
  <c r="F38" i="5"/>
  <c r="AB37" i="5"/>
  <c r="AA37" i="5"/>
  <c r="W37" i="5"/>
  <c r="V37" i="5"/>
  <c r="U37" i="5"/>
  <c r="T37" i="5"/>
  <c r="S37" i="5"/>
  <c r="R37" i="5"/>
  <c r="Q37" i="5"/>
  <c r="P37" i="5"/>
  <c r="M37" i="5"/>
  <c r="L37" i="5"/>
  <c r="J37" i="5"/>
  <c r="I37" i="5"/>
  <c r="H37" i="5"/>
  <c r="G37" i="5"/>
  <c r="F37" i="5"/>
  <c r="AB36" i="5"/>
  <c r="AA36" i="5"/>
  <c r="W36" i="5"/>
  <c r="V36" i="5"/>
  <c r="U36" i="5"/>
  <c r="T36" i="5"/>
  <c r="S36" i="5"/>
  <c r="R36" i="5"/>
  <c r="Q36" i="5"/>
  <c r="P36" i="5"/>
  <c r="M36" i="5"/>
  <c r="L36" i="5"/>
  <c r="J36" i="5"/>
  <c r="I36" i="5"/>
  <c r="H36" i="5"/>
  <c r="G36" i="5"/>
  <c r="F36" i="5"/>
  <c r="AB35" i="5"/>
  <c r="AA35" i="5"/>
  <c r="W35" i="5"/>
  <c r="V35" i="5"/>
  <c r="U35" i="5"/>
  <c r="T35" i="5"/>
  <c r="S35" i="5"/>
  <c r="R35" i="5"/>
  <c r="Q35" i="5"/>
  <c r="P35" i="5"/>
  <c r="M35" i="5"/>
  <c r="L35" i="5"/>
  <c r="J35" i="5"/>
  <c r="I35" i="5"/>
  <c r="H35" i="5"/>
  <c r="G35" i="5"/>
  <c r="F35" i="5"/>
  <c r="AB34" i="5"/>
  <c r="AA34" i="5"/>
  <c r="W34" i="5"/>
  <c r="V34" i="5"/>
  <c r="U34" i="5"/>
  <c r="T34" i="5"/>
  <c r="S34" i="5"/>
  <c r="R34" i="5"/>
  <c r="Q34" i="5"/>
  <c r="P34" i="5"/>
  <c r="M34" i="5"/>
  <c r="L34" i="5"/>
  <c r="J34" i="5"/>
  <c r="I34" i="5"/>
  <c r="H34" i="5"/>
  <c r="G34" i="5"/>
  <c r="F34" i="5"/>
  <c r="AB33" i="5"/>
  <c r="AA33" i="5"/>
  <c r="W33" i="5"/>
  <c r="V33" i="5"/>
  <c r="U33" i="5"/>
  <c r="T33" i="5"/>
  <c r="S33" i="5"/>
  <c r="R33" i="5"/>
  <c r="Q33" i="5"/>
  <c r="P33" i="5"/>
  <c r="M33" i="5"/>
  <c r="L33" i="5"/>
  <c r="J33" i="5"/>
  <c r="I33" i="5"/>
  <c r="H33" i="5"/>
  <c r="G33" i="5"/>
  <c r="F33" i="5"/>
  <c r="AB32" i="5"/>
  <c r="AA32" i="5"/>
  <c r="W32" i="5"/>
  <c r="V32" i="5"/>
  <c r="U32" i="5"/>
  <c r="T32" i="5"/>
  <c r="S32" i="5"/>
  <c r="R32" i="5"/>
  <c r="Q32" i="5"/>
  <c r="P32" i="5"/>
  <c r="M32" i="5"/>
  <c r="L32" i="5"/>
  <c r="K32" i="5"/>
  <c r="J32" i="5"/>
  <c r="I32" i="5"/>
  <c r="H32" i="5"/>
  <c r="G32" i="5"/>
  <c r="F32" i="5"/>
  <c r="AB31" i="5"/>
  <c r="AA31" i="5"/>
  <c r="W31" i="5"/>
  <c r="V31" i="5"/>
  <c r="U31" i="5"/>
  <c r="T31" i="5"/>
  <c r="S31" i="5"/>
  <c r="R31" i="5"/>
  <c r="Q31" i="5"/>
  <c r="P31" i="5"/>
  <c r="M31" i="5"/>
  <c r="L31" i="5"/>
  <c r="J31" i="5"/>
  <c r="I31" i="5"/>
  <c r="H31" i="5"/>
  <c r="G31" i="5"/>
  <c r="F31" i="5"/>
  <c r="AB30" i="5"/>
  <c r="AA30" i="5"/>
  <c r="W30" i="5"/>
  <c r="V30" i="5"/>
  <c r="U30" i="5"/>
  <c r="T30" i="5"/>
  <c r="S30" i="5"/>
  <c r="R30" i="5"/>
  <c r="Q30" i="5"/>
  <c r="P30" i="5"/>
  <c r="M30" i="5"/>
  <c r="L30" i="5"/>
  <c r="J30" i="5"/>
  <c r="I30" i="5"/>
  <c r="H30" i="5"/>
  <c r="G30" i="5"/>
  <c r="F30" i="5"/>
  <c r="AB29" i="5"/>
  <c r="AA29" i="5"/>
  <c r="W29" i="5"/>
  <c r="V29" i="5"/>
  <c r="U29" i="5"/>
  <c r="T29" i="5"/>
  <c r="S29" i="5"/>
  <c r="R29" i="5"/>
  <c r="Q29" i="5"/>
  <c r="P29" i="5"/>
  <c r="M29" i="5"/>
  <c r="L29" i="5"/>
  <c r="J29" i="5"/>
  <c r="I29" i="5"/>
  <c r="H29" i="5"/>
  <c r="G29" i="5"/>
  <c r="F29" i="5"/>
  <c r="AB28" i="5"/>
  <c r="AA28" i="5"/>
  <c r="W28" i="5"/>
  <c r="V28" i="5"/>
  <c r="U28" i="5"/>
  <c r="T28" i="5"/>
  <c r="S28" i="5"/>
  <c r="R28" i="5"/>
  <c r="Q28" i="5"/>
  <c r="P28" i="5"/>
  <c r="M28" i="5"/>
  <c r="L28" i="5"/>
  <c r="J28" i="5"/>
  <c r="I28" i="5"/>
  <c r="H28" i="5"/>
  <c r="G28" i="5"/>
  <c r="F28" i="5"/>
  <c r="AB27" i="5"/>
  <c r="AA27" i="5"/>
  <c r="W27" i="5"/>
  <c r="V27" i="5"/>
  <c r="U27" i="5"/>
  <c r="T27" i="5"/>
  <c r="S27" i="5"/>
  <c r="R27" i="5"/>
  <c r="Q27" i="5"/>
  <c r="P27" i="5"/>
  <c r="M27" i="5"/>
  <c r="L27" i="5"/>
  <c r="J27" i="5"/>
  <c r="I27" i="5"/>
  <c r="H27" i="5"/>
  <c r="G27" i="5"/>
  <c r="F27" i="5"/>
  <c r="AB26" i="5"/>
  <c r="AA26" i="5"/>
  <c r="W26" i="5"/>
  <c r="V26" i="5"/>
  <c r="U26" i="5"/>
  <c r="T26" i="5"/>
  <c r="S26" i="5"/>
  <c r="R26" i="5"/>
  <c r="Q26" i="5"/>
  <c r="P26" i="5"/>
  <c r="M26" i="5"/>
  <c r="L26" i="5"/>
  <c r="J26" i="5"/>
  <c r="I26" i="5"/>
  <c r="H26" i="5"/>
  <c r="G26" i="5"/>
  <c r="F26" i="5"/>
  <c r="AB25" i="5"/>
  <c r="AA25" i="5"/>
  <c r="W25" i="5"/>
  <c r="V25" i="5"/>
  <c r="U25" i="5"/>
  <c r="T25" i="5"/>
  <c r="S25" i="5"/>
  <c r="R25" i="5"/>
  <c r="Q25" i="5"/>
  <c r="P25" i="5"/>
  <c r="M25" i="5"/>
  <c r="L25" i="5"/>
  <c r="J25" i="5"/>
  <c r="I25" i="5"/>
  <c r="H25" i="5"/>
  <c r="G25" i="5"/>
  <c r="F25" i="5"/>
  <c r="AB24" i="5"/>
  <c r="AA24" i="5"/>
  <c r="W24" i="5"/>
  <c r="V24" i="5"/>
  <c r="U24" i="5"/>
  <c r="T24" i="5"/>
  <c r="S24" i="5"/>
  <c r="R24" i="5"/>
  <c r="Q24" i="5"/>
  <c r="P24" i="5"/>
  <c r="M24" i="5"/>
  <c r="L24" i="5"/>
  <c r="J24" i="5"/>
  <c r="I24" i="5"/>
  <c r="H24" i="5"/>
  <c r="G24" i="5"/>
  <c r="F24" i="5"/>
  <c r="AB23" i="5"/>
  <c r="AA23" i="5"/>
  <c r="W23" i="5"/>
  <c r="V23" i="5"/>
  <c r="U23" i="5"/>
  <c r="T23" i="5"/>
  <c r="S23" i="5"/>
  <c r="R23" i="5"/>
  <c r="Q23" i="5"/>
  <c r="P23" i="5"/>
  <c r="M23" i="5"/>
  <c r="L23" i="5"/>
  <c r="J23" i="5"/>
  <c r="I23" i="5"/>
  <c r="H23" i="5"/>
  <c r="G23" i="5"/>
  <c r="F23" i="5"/>
  <c r="K23" i="5" s="1"/>
  <c r="AB22" i="5"/>
  <c r="AA22" i="5"/>
  <c r="W22" i="5"/>
  <c r="V22" i="5"/>
  <c r="U22" i="5"/>
  <c r="T22" i="5"/>
  <c r="S22" i="5"/>
  <c r="R22" i="5"/>
  <c r="Q22" i="5"/>
  <c r="P22" i="5"/>
  <c r="M22" i="5"/>
  <c r="L22" i="5"/>
  <c r="J22" i="5"/>
  <c r="I22" i="5"/>
  <c r="H22" i="5"/>
  <c r="G22" i="5"/>
  <c r="F22" i="5"/>
  <c r="AB21" i="5"/>
  <c r="AA21" i="5"/>
  <c r="W21" i="5"/>
  <c r="V21" i="5"/>
  <c r="U21" i="5"/>
  <c r="T21" i="5"/>
  <c r="S21" i="5"/>
  <c r="R21" i="5"/>
  <c r="Q21" i="5"/>
  <c r="P21" i="5"/>
  <c r="M21" i="5"/>
  <c r="L21" i="5"/>
  <c r="J21" i="5"/>
  <c r="I21" i="5"/>
  <c r="H21" i="5"/>
  <c r="G21" i="5"/>
  <c r="F21" i="5"/>
  <c r="AB20" i="5"/>
  <c r="AA20" i="5"/>
  <c r="W20" i="5"/>
  <c r="V20" i="5"/>
  <c r="U20" i="5"/>
  <c r="T20" i="5"/>
  <c r="S20" i="5"/>
  <c r="R20" i="5"/>
  <c r="Q20" i="5"/>
  <c r="P20" i="5"/>
  <c r="M20" i="5"/>
  <c r="L20" i="5"/>
  <c r="J20" i="5"/>
  <c r="I20" i="5"/>
  <c r="H20" i="5"/>
  <c r="G20" i="5"/>
  <c r="F20" i="5"/>
  <c r="AB19" i="5"/>
  <c r="AA19" i="5"/>
  <c r="W19" i="5"/>
  <c r="V19" i="5"/>
  <c r="U19" i="5"/>
  <c r="T19" i="5"/>
  <c r="S19" i="5"/>
  <c r="R19" i="5"/>
  <c r="Q19" i="5"/>
  <c r="P19" i="5"/>
  <c r="M19" i="5"/>
  <c r="L19" i="5"/>
  <c r="J19" i="5"/>
  <c r="I19" i="5"/>
  <c r="H19" i="5"/>
  <c r="G19" i="5"/>
  <c r="F19" i="5"/>
  <c r="AB18" i="5"/>
  <c r="AA18" i="5"/>
  <c r="W18" i="5"/>
  <c r="V18" i="5"/>
  <c r="U18" i="5"/>
  <c r="T18" i="5"/>
  <c r="S18" i="5"/>
  <c r="R18" i="5"/>
  <c r="Q18" i="5"/>
  <c r="P18" i="5"/>
  <c r="M18" i="5"/>
  <c r="L18" i="5"/>
  <c r="J18" i="5"/>
  <c r="K18" i="5" s="1"/>
  <c r="I18" i="5"/>
  <c r="H18" i="5"/>
  <c r="G18" i="5"/>
  <c r="F18" i="5"/>
  <c r="AB17" i="5"/>
  <c r="AA17" i="5"/>
  <c r="W17" i="5"/>
  <c r="V17" i="5"/>
  <c r="U17" i="5"/>
  <c r="T17" i="5"/>
  <c r="S17" i="5"/>
  <c r="R17" i="5"/>
  <c r="Q17" i="5"/>
  <c r="P17" i="5"/>
  <c r="M17" i="5"/>
  <c r="L17" i="5"/>
  <c r="J17" i="5"/>
  <c r="I17" i="5"/>
  <c r="H17" i="5"/>
  <c r="G17" i="5"/>
  <c r="F17" i="5"/>
  <c r="AB16" i="5"/>
  <c r="AA16" i="5"/>
  <c r="W16" i="5"/>
  <c r="V16" i="5"/>
  <c r="U16" i="5"/>
  <c r="T16" i="5"/>
  <c r="S16" i="5"/>
  <c r="R16" i="5"/>
  <c r="Q16" i="5"/>
  <c r="P16" i="5"/>
  <c r="M16" i="5"/>
  <c r="L16" i="5"/>
  <c r="J16" i="5"/>
  <c r="I16" i="5"/>
  <c r="H16" i="5"/>
  <c r="G16" i="5"/>
  <c r="F16" i="5"/>
  <c r="K16" i="5" s="1"/>
  <c r="AB15" i="5"/>
  <c r="AA15" i="5"/>
  <c r="W15" i="5"/>
  <c r="V15" i="5"/>
  <c r="U15" i="5"/>
  <c r="T15" i="5"/>
  <c r="S15" i="5"/>
  <c r="R15" i="5"/>
  <c r="Q15" i="5"/>
  <c r="P15" i="5"/>
  <c r="M15" i="5"/>
  <c r="L15" i="5"/>
  <c r="J15" i="5"/>
  <c r="I15" i="5"/>
  <c r="H15" i="5"/>
  <c r="G15" i="5"/>
  <c r="F15" i="5"/>
  <c r="AB14" i="5"/>
  <c r="AA14" i="5"/>
  <c r="W14" i="5"/>
  <c r="V14" i="5"/>
  <c r="U14" i="5"/>
  <c r="T14" i="5"/>
  <c r="S14" i="5"/>
  <c r="R14" i="5"/>
  <c r="Q14" i="5"/>
  <c r="P14" i="5"/>
  <c r="M14" i="5"/>
  <c r="L14" i="5"/>
  <c r="J14" i="5"/>
  <c r="I14" i="5"/>
  <c r="H14" i="5"/>
  <c r="G14" i="5"/>
  <c r="F14" i="5"/>
  <c r="AB13" i="5"/>
  <c r="AA13" i="5"/>
  <c r="W13" i="5"/>
  <c r="V13" i="5"/>
  <c r="U13" i="5"/>
  <c r="T13" i="5"/>
  <c r="S13" i="5"/>
  <c r="R13" i="5"/>
  <c r="Q13" i="5"/>
  <c r="P13" i="5"/>
  <c r="M13" i="5"/>
  <c r="L13" i="5"/>
  <c r="J13" i="5"/>
  <c r="I13" i="5"/>
  <c r="H13" i="5"/>
  <c r="G13" i="5"/>
  <c r="F13" i="5"/>
  <c r="AB12" i="5"/>
  <c r="AA12" i="5"/>
  <c r="W12" i="5"/>
  <c r="V12" i="5"/>
  <c r="U12" i="5"/>
  <c r="T12" i="5"/>
  <c r="S12" i="5"/>
  <c r="R12" i="5"/>
  <c r="Q12" i="5"/>
  <c r="P12" i="5"/>
  <c r="M12" i="5"/>
  <c r="L12" i="5"/>
  <c r="J12" i="5"/>
  <c r="I12" i="5"/>
  <c r="H12" i="5"/>
  <c r="G12" i="5"/>
  <c r="F12" i="5"/>
  <c r="AB11" i="5"/>
  <c r="AA11" i="5"/>
  <c r="W11" i="5"/>
  <c r="V11" i="5"/>
  <c r="U11" i="5"/>
  <c r="T11" i="5"/>
  <c r="S11" i="5"/>
  <c r="R11" i="5"/>
  <c r="Q11" i="5"/>
  <c r="P11" i="5"/>
  <c r="M11" i="5"/>
  <c r="L11" i="5"/>
  <c r="J11" i="5"/>
  <c r="I11" i="5"/>
  <c r="H11" i="5"/>
  <c r="G11" i="5"/>
  <c r="F11" i="5"/>
  <c r="AB10" i="5"/>
  <c r="AA10" i="5"/>
  <c r="W10" i="5"/>
  <c r="V10" i="5"/>
  <c r="U10" i="5"/>
  <c r="T10" i="5"/>
  <c r="S10" i="5"/>
  <c r="R10" i="5"/>
  <c r="Q10" i="5"/>
  <c r="P10" i="5"/>
  <c r="M10" i="5"/>
  <c r="L10" i="5"/>
  <c r="J10" i="5"/>
  <c r="I10" i="5"/>
  <c r="H10" i="5"/>
  <c r="G10" i="5"/>
  <c r="F10" i="5"/>
  <c r="AB9" i="5"/>
  <c r="AA9" i="5"/>
  <c r="W9" i="5"/>
  <c r="V9" i="5"/>
  <c r="U9" i="5"/>
  <c r="T9" i="5"/>
  <c r="S9" i="5"/>
  <c r="R9" i="5"/>
  <c r="Q9" i="5"/>
  <c r="P9" i="5"/>
  <c r="M9" i="5"/>
  <c r="L9" i="5"/>
  <c r="J9" i="5"/>
  <c r="I9" i="5"/>
  <c r="H9" i="5"/>
  <c r="G9" i="5"/>
  <c r="F9" i="5"/>
  <c r="AB8" i="5"/>
  <c r="AA8" i="5"/>
  <c r="W8" i="5"/>
  <c r="V8" i="5"/>
  <c r="U8" i="5"/>
  <c r="T8" i="5"/>
  <c r="S8" i="5"/>
  <c r="R8" i="5"/>
  <c r="Q8" i="5"/>
  <c r="P8" i="5"/>
  <c r="M8" i="5"/>
  <c r="L8" i="5"/>
  <c r="J8" i="5"/>
  <c r="I8" i="5"/>
  <c r="H8" i="5"/>
  <c r="G8" i="5"/>
  <c r="F8" i="5"/>
  <c r="K8" i="5" s="1"/>
  <c r="AB7" i="5"/>
  <c r="AA7" i="5"/>
  <c r="W7" i="5"/>
  <c r="V7" i="5"/>
  <c r="U7" i="5"/>
  <c r="T7" i="5"/>
  <c r="S7" i="5"/>
  <c r="R7" i="5"/>
  <c r="Q7" i="5"/>
  <c r="P7" i="5"/>
  <c r="M7" i="5"/>
  <c r="L7" i="5"/>
  <c r="J7" i="5"/>
  <c r="I7" i="5"/>
  <c r="H7" i="5"/>
  <c r="G7" i="5"/>
  <c r="F7" i="5"/>
  <c r="AB6" i="5"/>
  <c r="AA6" i="5"/>
  <c r="W6" i="5"/>
  <c r="V6" i="5"/>
  <c r="U6" i="5"/>
  <c r="T6" i="5"/>
  <c r="S6" i="5"/>
  <c r="R6" i="5"/>
  <c r="Q6" i="5"/>
  <c r="P6" i="5"/>
  <c r="M6" i="5"/>
  <c r="L6" i="5"/>
  <c r="J6" i="5"/>
  <c r="I6" i="5"/>
  <c r="H6" i="5"/>
  <c r="G6" i="5"/>
  <c r="F6" i="5"/>
  <c r="AB5" i="5"/>
  <c r="AA5" i="5"/>
  <c r="W5" i="5"/>
  <c r="V5" i="5"/>
  <c r="U5" i="5"/>
  <c r="T5" i="5"/>
  <c r="S5" i="5"/>
  <c r="R5" i="5"/>
  <c r="Q5" i="5"/>
  <c r="P5" i="5"/>
  <c r="M5" i="5"/>
  <c r="L5" i="5"/>
  <c r="J5" i="5"/>
  <c r="I5" i="5"/>
  <c r="H5" i="5"/>
  <c r="G5" i="5"/>
  <c r="F5" i="5"/>
  <c r="AB4" i="5"/>
  <c r="AA4" i="5"/>
  <c r="W4" i="5"/>
  <c r="V4" i="5"/>
  <c r="U4" i="5"/>
  <c r="T4" i="5"/>
  <c r="S4" i="5"/>
  <c r="R4" i="5"/>
  <c r="Q4" i="5"/>
  <c r="P4" i="5"/>
  <c r="M4" i="5"/>
  <c r="L4" i="5"/>
  <c r="J4" i="5"/>
  <c r="I4" i="5"/>
  <c r="H4" i="5"/>
  <c r="G4" i="5"/>
  <c r="F4" i="5"/>
  <c r="AB3" i="5"/>
  <c r="AA3" i="5"/>
  <c r="W3" i="5"/>
  <c r="V3" i="5"/>
  <c r="U3" i="5"/>
  <c r="T3" i="5"/>
  <c r="S3" i="5"/>
  <c r="R3" i="5"/>
  <c r="Q3" i="5"/>
  <c r="P3" i="5"/>
  <c r="M3" i="5"/>
  <c r="L3" i="5"/>
  <c r="J3" i="5"/>
  <c r="I3" i="5"/>
  <c r="H3" i="5"/>
  <c r="G3" i="5"/>
  <c r="F3" i="5"/>
  <c r="AB173" i="4"/>
  <c r="AA173" i="4"/>
  <c r="W173" i="4"/>
  <c r="V173" i="4"/>
  <c r="U173" i="4"/>
  <c r="T173" i="4"/>
  <c r="S173" i="4"/>
  <c r="R173" i="4"/>
  <c r="Q173" i="4"/>
  <c r="P173" i="4"/>
  <c r="M173" i="4"/>
  <c r="L173" i="4"/>
  <c r="J173" i="4"/>
  <c r="I173" i="4"/>
  <c r="H173" i="4"/>
  <c r="G173" i="4"/>
  <c r="F173" i="4"/>
  <c r="AB172" i="4"/>
  <c r="AA172" i="4"/>
  <c r="W172" i="4"/>
  <c r="V172" i="4"/>
  <c r="U172" i="4"/>
  <c r="T172" i="4"/>
  <c r="S172" i="4"/>
  <c r="R172" i="4"/>
  <c r="Q172" i="4"/>
  <c r="P172" i="4"/>
  <c r="M172" i="4"/>
  <c r="L172" i="4"/>
  <c r="J172" i="4"/>
  <c r="I172" i="4"/>
  <c r="H172" i="4"/>
  <c r="G172" i="4"/>
  <c r="F172" i="4"/>
  <c r="K172" i="4" s="1"/>
  <c r="AB171" i="4"/>
  <c r="AA171" i="4"/>
  <c r="W171" i="4"/>
  <c r="V171" i="4"/>
  <c r="U171" i="4"/>
  <c r="T171" i="4"/>
  <c r="S171" i="4"/>
  <c r="R171" i="4"/>
  <c r="Q171" i="4"/>
  <c r="P171" i="4"/>
  <c r="M171" i="4"/>
  <c r="L171" i="4"/>
  <c r="J171" i="4"/>
  <c r="I171" i="4"/>
  <c r="H171" i="4"/>
  <c r="G171" i="4"/>
  <c r="F171" i="4"/>
  <c r="AB169" i="4"/>
  <c r="AA169" i="4"/>
  <c r="W169" i="4"/>
  <c r="V169" i="4"/>
  <c r="U169" i="4"/>
  <c r="T169" i="4"/>
  <c r="S169" i="4"/>
  <c r="R169" i="4"/>
  <c r="Q169" i="4"/>
  <c r="P169" i="4"/>
  <c r="M169" i="4"/>
  <c r="L169" i="4"/>
  <c r="J169" i="4"/>
  <c r="I169" i="4"/>
  <c r="H169" i="4"/>
  <c r="G169" i="4"/>
  <c r="F169" i="4"/>
  <c r="K169" i="4" s="1"/>
  <c r="AB168" i="4"/>
  <c r="AA168" i="4"/>
  <c r="W168" i="4"/>
  <c r="V168" i="4"/>
  <c r="U168" i="4"/>
  <c r="T168" i="4"/>
  <c r="S168" i="4"/>
  <c r="R168" i="4"/>
  <c r="Q168" i="4"/>
  <c r="P168" i="4"/>
  <c r="M168" i="4"/>
  <c r="L168" i="4"/>
  <c r="J168" i="4"/>
  <c r="I168" i="4"/>
  <c r="H168" i="4"/>
  <c r="G168" i="4"/>
  <c r="F168" i="4"/>
  <c r="AB167" i="4"/>
  <c r="AA167" i="4"/>
  <c r="W167" i="4"/>
  <c r="V167" i="4"/>
  <c r="U167" i="4"/>
  <c r="T167" i="4"/>
  <c r="S167" i="4"/>
  <c r="R167" i="4"/>
  <c r="Q167" i="4"/>
  <c r="P167" i="4"/>
  <c r="M167" i="4"/>
  <c r="L167" i="4"/>
  <c r="J167" i="4"/>
  <c r="I167" i="4"/>
  <c r="H167" i="4"/>
  <c r="G167" i="4"/>
  <c r="F167" i="4"/>
  <c r="AB166" i="4"/>
  <c r="AA166" i="4"/>
  <c r="W166" i="4"/>
  <c r="V166" i="4"/>
  <c r="U166" i="4"/>
  <c r="T166" i="4"/>
  <c r="S166" i="4"/>
  <c r="R166" i="4"/>
  <c r="Q166" i="4"/>
  <c r="P166" i="4"/>
  <c r="M166" i="4"/>
  <c r="L166" i="4"/>
  <c r="J166" i="4"/>
  <c r="I166" i="4"/>
  <c r="H166" i="4"/>
  <c r="G166" i="4"/>
  <c r="F166" i="4"/>
  <c r="AB165" i="4"/>
  <c r="AA165" i="4"/>
  <c r="W165" i="4"/>
  <c r="V165" i="4"/>
  <c r="U165" i="4"/>
  <c r="T165" i="4"/>
  <c r="S165" i="4"/>
  <c r="R165" i="4"/>
  <c r="Q165" i="4"/>
  <c r="P165" i="4"/>
  <c r="M165" i="4"/>
  <c r="L165" i="4"/>
  <c r="J165" i="4"/>
  <c r="I165" i="4"/>
  <c r="H165" i="4"/>
  <c r="G165" i="4"/>
  <c r="F165" i="4"/>
  <c r="AB163" i="4"/>
  <c r="AA163" i="4"/>
  <c r="W163" i="4"/>
  <c r="V163" i="4"/>
  <c r="U163" i="4"/>
  <c r="T163" i="4"/>
  <c r="S163" i="4"/>
  <c r="R163" i="4"/>
  <c r="Q163" i="4"/>
  <c r="P163" i="4"/>
  <c r="M163" i="4"/>
  <c r="L163" i="4"/>
  <c r="J163" i="4"/>
  <c r="I163" i="4"/>
  <c r="H163" i="4"/>
  <c r="G163" i="4"/>
  <c r="F163" i="4"/>
  <c r="AB162" i="4"/>
  <c r="AA162" i="4"/>
  <c r="W162" i="4"/>
  <c r="V162" i="4"/>
  <c r="U162" i="4"/>
  <c r="T162" i="4"/>
  <c r="S162" i="4"/>
  <c r="R162" i="4"/>
  <c r="Q162" i="4"/>
  <c r="P162" i="4"/>
  <c r="M162" i="4"/>
  <c r="L162" i="4"/>
  <c r="J162" i="4"/>
  <c r="I162" i="4"/>
  <c r="H162" i="4"/>
  <c r="G162" i="4"/>
  <c r="F162" i="4"/>
  <c r="K162" i="4" s="1"/>
  <c r="AB161" i="4"/>
  <c r="AA161" i="4"/>
  <c r="W161" i="4"/>
  <c r="V161" i="4"/>
  <c r="U161" i="4"/>
  <c r="T161" i="4"/>
  <c r="S161" i="4"/>
  <c r="R161" i="4"/>
  <c r="Q161" i="4"/>
  <c r="P161" i="4"/>
  <c r="M161" i="4"/>
  <c r="L161" i="4"/>
  <c r="J161" i="4"/>
  <c r="I161" i="4"/>
  <c r="H161" i="4"/>
  <c r="G161" i="4"/>
  <c r="F161" i="4"/>
  <c r="AB160" i="4"/>
  <c r="AA160" i="4"/>
  <c r="W160" i="4"/>
  <c r="V160" i="4"/>
  <c r="U160" i="4"/>
  <c r="T160" i="4"/>
  <c r="S160" i="4"/>
  <c r="R160" i="4"/>
  <c r="Q160" i="4"/>
  <c r="P160" i="4"/>
  <c r="M160" i="4"/>
  <c r="L160" i="4"/>
  <c r="J160" i="4"/>
  <c r="I160" i="4"/>
  <c r="H160" i="4"/>
  <c r="G160" i="4"/>
  <c r="F160" i="4"/>
  <c r="AB159" i="4"/>
  <c r="AA159" i="4"/>
  <c r="W159" i="4"/>
  <c r="V159" i="4"/>
  <c r="U159" i="4"/>
  <c r="T159" i="4"/>
  <c r="S159" i="4"/>
  <c r="R159" i="4"/>
  <c r="Q159" i="4"/>
  <c r="P159" i="4"/>
  <c r="M159" i="4"/>
  <c r="L159" i="4"/>
  <c r="J159" i="4"/>
  <c r="I159" i="4"/>
  <c r="H159" i="4"/>
  <c r="G159" i="4"/>
  <c r="F159" i="4"/>
  <c r="AB158" i="4"/>
  <c r="AA158" i="4"/>
  <c r="W158" i="4"/>
  <c r="V158" i="4"/>
  <c r="U158" i="4"/>
  <c r="T158" i="4"/>
  <c r="S158" i="4"/>
  <c r="R158" i="4"/>
  <c r="Q158" i="4"/>
  <c r="P158" i="4"/>
  <c r="M158" i="4"/>
  <c r="L158" i="4"/>
  <c r="J158" i="4"/>
  <c r="I158" i="4"/>
  <c r="H158" i="4"/>
  <c r="G158" i="4"/>
  <c r="F158" i="4"/>
  <c r="AB157" i="4"/>
  <c r="AA157" i="4"/>
  <c r="W157" i="4"/>
  <c r="V157" i="4"/>
  <c r="U157" i="4"/>
  <c r="T157" i="4"/>
  <c r="S157" i="4"/>
  <c r="R157" i="4"/>
  <c r="Q157" i="4"/>
  <c r="P157" i="4"/>
  <c r="M157" i="4"/>
  <c r="L157" i="4"/>
  <c r="J157" i="4"/>
  <c r="I157" i="4"/>
  <c r="H157" i="4"/>
  <c r="G157" i="4"/>
  <c r="F157" i="4"/>
  <c r="AB156" i="4"/>
  <c r="AA156" i="4"/>
  <c r="W156" i="4"/>
  <c r="V156" i="4"/>
  <c r="U156" i="4"/>
  <c r="T156" i="4"/>
  <c r="S156" i="4"/>
  <c r="R156" i="4"/>
  <c r="Q156" i="4"/>
  <c r="P156" i="4"/>
  <c r="M156" i="4"/>
  <c r="L156" i="4"/>
  <c r="J156" i="4"/>
  <c r="I156" i="4"/>
  <c r="H156" i="4"/>
  <c r="G156" i="4"/>
  <c r="F156" i="4"/>
  <c r="AB155" i="4"/>
  <c r="AA155" i="4"/>
  <c r="W155" i="4"/>
  <c r="V155" i="4"/>
  <c r="U155" i="4"/>
  <c r="T155" i="4"/>
  <c r="S155" i="4"/>
  <c r="R155" i="4"/>
  <c r="Q155" i="4"/>
  <c r="P155" i="4"/>
  <c r="M155" i="4"/>
  <c r="L155" i="4"/>
  <c r="J155" i="4"/>
  <c r="I155" i="4"/>
  <c r="H155" i="4"/>
  <c r="G155" i="4"/>
  <c r="F155" i="4"/>
  <c r="AB154" i="4"/>
  <c r="AA154" i="4"/>
  <c r="W154" i="4"/>
  <c r="V154" i="4"/>
  <c r="U154" i="4"/>
  <c r="T154" i="4"/>
  <c r="S154" i="4"/>
  <c r="R154" i="4"/>
  <c r="Q154" i="4"/>
  <c r="P154" i="4"/>
  <c r="M154" i="4"/>
  <c r="L154" i="4"/>
  <c r="J154" i="4"/>
  <c r="I154" i="4"/>
  <c r="H154" i="4"/>
  <c r="G154" i="4"/>
  <c r="F154" i="4"/>
  <c r="AB153" i="4"/>
  <c r="AA153" i="4"/>
  <c r="W153" i="4"/>
  <c r="V153" i="4"/>
  <c r="U153" i="4"/>
  <c r="T153" i="4"/>
  <c r="S153" i="4"/>
  <c r="R153" i="4"/>
  <c r="Q153" i="4"/>
  <c r="P153" i="4"/>
  <c r="M153" i="4"/>
  <c r="L153" i="4"/>
  <c r="J153" i="4"/>
  <c r="I153" i="4"/>
  <c r="H153" i="4"/>
  <c r="G153" i="4"/>
  <c r="F153" i="4"/>
  <c r="AB152" i="4"/>
  <c r="AA152" i="4"/>
  <c r="W152" i="4"/>
  <c r="V152" i="4"/>
  <c r="U152" i="4"/>
  <c r="T152" i="4"/>
  <c r="S152" i="4"/>
  <c r="R152" i="4"/>
  <c r="Q152" i="4"/>
  <c r="P152" i="4"/>
  <c r="M152" i="4"/>
  <c r="L152" i="4"/>
  <c r="J152" i="4"/>
  <c r="I152" i="4"/>
  <c r="H152" i="4"/>
  <c r="G152" i="4"/>
  <c r="F152" i="4"/>
  <c r="AB151" i="4"/>
  <c r="AA151" i="4"/>
  <c r="W151" i="4"/>
  <c r="V151" i="4"/>
  <c r="U151" i="4"/>
  <c r="T151" i="4"/>
  <c r="S151" i="4"/>
  <c r="R151" i="4"/>
  <c r="Q151" i="4"/>
  <c r="P151" i="4"/>
  <c r="M151" i="4"/>
  <c r="L151" i="4"/>
  <c r="J151" i="4"/>
  <c r="I151" i="4"/>
  <c r="H151" i="4"/>
  <c r="G151" i="4"/>
  <c r="F151" i="4"/>
  <c r="AB150" i="4"/>
  <c r="AA150" i="4"/>
  <c r="W150" i="4"/>
  <c r="V150" i="4"/>
  <c r="U150" i="4"/>
  <c r="T150" i="4"/>
  <c r="S150" i="4"/>
  <c r="R150" i="4"/>
  <c r="Q150" i="4"/>
  <c r="P150" i="4"/>
  <c r="M150" i="4"/>
  <c r="L150" i="4"/>
  <c r="J150" i="4"/>
  <c r="I150" i="4"/>
  <c r="H150" i="4"/>
  <c r="G150" i="4"/>
  <c r="F150" i="4"/>
  <c r="AB149" i="4"/>
  <c r="AA149" i="4"/>
  <c r="W149" i="4"/>
  <c r="V149" i="4"/>
  <c r="U149" i="4"/>
  <c r="T149" i="4"/>
  <c r="S149" i="4"/>
  <c r="R149" i="4"/>
  <c r="Q149" i="4"/>
  <c r="P149" i="4"/>
  <c r="M149" i="4"/>
  <c r="L149" i="4"/>
  <c r="J149" i="4"/>
  <c r="K149" i="4" s="1"/>
  <c r="I149" i="4"/>
  <c r="H149" i="4"/>
  <c r="G149" i="4"/>
  <c r="F149" i="4"/>
  <c r="AB148" i="4"/>
  <c r="AA148" i="4"/>
  <c r="W148" i="4"/>
  <c r="V148" i="4"/>
  <c r="U148" i="4"/>
  <c r="T148" i="4"/>
  <c r="S148" i="4"/>
  <c r="R148" i="4"/>
  <c r="Q148" i="4"/>
  <c r="P148" i="4"/>
  <c r="M148" i="4"/>
  <c r="L148" i="4"/>
  <c r="J148" i="4"/>
  <c r="I148" i="4"/>
  <c r="H148" i="4"/>
  <c r="G148" i="4"/>
  <c r="F148" i="4"/>
  <c r="AB147" i="4"/>
  <c r="AA147" i="4"/>
  <c r="W147" i="4"/>
  <c r="V147" i="4"/>
  <c r="U147" i="4"/>
  <c r="T147" i="4"/>
  <c r="S147" i="4"/>
  <c r="R147" i="4"/>
  <c r="Q147" i="4"/>
  <c r="P147" i="4"/>
  <c r="M147" i="4"/>
  <c r="L147" i="4"/>
  <c r="J147" i="4"/>
  <c r="I147" i="4"/>
  <c r="H147" i="4"/>
  <c r="G147" i="4"/>
  <c r="F147" i="4"/>
  <c r="AB146" i="4"/>
  <c r="AA146" i="4"/>
  <c r="W146" i="4"/>
  <c r="V146" i="4"/>
  <c r="U146" i="4"/>
  <c r="T146" i="4"/>
  <c r="S146" i="4"/>
  <c r="R146" i="4"/>
  <c r="Q146" i="4"/>
  <c r="P146" i="4"/>
  <c r="M146" i="4"/>
  <c r="L146" i="4"/>
  <c r="J146" i="4"/>
  <c r="I146" i="4"/>
  <c r="H146" i="4"/>
  <c r="G146" i="4"/>
  <c r="F146" i="4"/>
  <c r="K146" i="4" s="1"/>
  <c r="AB145" i="4"/>
  <c r="AA145" i="4"/>
  <c r="W145" i="4"/>
  <c r="V145" i="4"/>
  <c r="U145" i="4"/>
  <c r="T145" i="4"/>
  <c r="S145" i="4"/>
  <c r="R145" i="4"/>
  <c r="Q145" i="4"/>
  <c r="P145" i="4"/>
  <c r="M145" i="4"/>
  <c r="L145" i="4"/>
  <c r="J145" i="4"/>
  <c r="I145" i="4"/>
  <c r="H145" i="4"/>
  <c r="G145" i="4"/>
  <c r="F145" i="4"/>
  <c r="AB144" i="4"/>
  <c r="AA144" i="4"/>
  <c r="W144" i="4"/>
  <c r="V144" i="4"/>
  <c r="U144" i="4"/>
  <c r="T144" i="4"/>
  <c r="S144" i="4"/>
  <c r="R144" i="4"/>
  <c r="Q144" i="4"/>
  <c r="P144" i="4"/>
  <c r="M144" i="4"/>
  <c r="L144" i="4"/>
  <c r="J144" i="4"/>
  <c r="I144" i="4"/>
  <c r="H144" i="4"/>
  <c r="G144" i="4"/>
  <c r="F144" i="4"/>
  <c r="AB143" i="4"/>
  <c r="AA143" i="4"/>
  <c r="W143" i="4"/>
  <c r="V143" i="4"/>
  <c r="U143" i="4"/>
  <c r="T143" i="4"/>
  <c r="S143" i="4"/>
  <c r="R143" i="4"/>
  <c r="Q143" i="4"/>
  <c r="P143" i="4"/>
  <c r="M143" i="4"/>
  <c r="L143" i="4"/>
  <c r="J143" i="4"/>
  <c r="I143" i="4"/>
  <c r="H143" i="4"/>
  <c r="G143" i="4"/>
  <c r="F143" i="4"/>
  <c r="AB142" i="4"/>
  <c r="AA142" i="4"/>
  <c r="W142" i="4"/>
  <c r="V142" i="4"/>
  <c r="U142" i="4"/>
  <c r="T142" i="4"/>
  <c r="S142" i="4"/>
  <c r="R142" i="4"/>
  <c r="Q142" i="4"/>
  <c r="P142" i="4"/>
  <c r="M142" i="4"/>
  <c r="L142" i="4"/>
  <c r="J142" i="4"/>
  <c r="I142" i="4"/>
  <c r="H142" i="4"/>
  <c r="G142" i="4"/>
  <c r="F142" i="4"/>
  <c r="AB141" i="4"/>
  <c r="AA141" i="4"/>
  <c r="W141" i="4"/>
  <c r="V141" i="4"/>
  <c r="U141" i="4"/>
  <c r="T141" i="4"/>
  <c r="S141" i="4"/>
  <c r="R141" i="4"/>
  <c r="Q141" i="4"/>
  <c r="P141" i="4"/>
  <c r="M141" i="4"/>
  <c r="L141" i="4"/>
  <c r="J141" i="4"/>
  <c r="I141" i="4"/>
  <c r="H141" i="4"/>
  <c r="G141" i="4"/>
  <c r="F141" i="4"/>
  <c r="AB140" i="4"/>
  <c r="AA140" i="4"/>
  <c r="W140" i="4"/>
  <c r="V140" i="4"/>
  <c r="U140" i="4"/>
  <c r="T140" i="4"/>
  <c r="S140" i="4"/>
  <c r="R140" i="4"/>
  <c r="Q140" i="4"/>
  <c r="P140" i="4"/>
  <c r="M140" i="4"/>
  <c r="L140" i="4"/>
  <c r="J140" i="4"/>
  <c r="I140" i="4"/>
  <c r="H140" i="4"/>
  <c r="G140" i="4"/>
  <c r="F140" i="4"/>
  <c r="AB139" i="4"/>
  <c r="AA139" i="4"/>
  <c r="W139" i="4"/>
  <c r="V139" i="4"/>
  <c r="U139" i="4"/>
  <c r="T139" i="4"/>
  <c r="S139" i="4"/>
  <c r="R139" i="4"/>
  <c r="Q139" i="4"/>
  <c r="P139" i="4"/>
  <c r="M139" i="4"/>
  <c r="L139" i="4"/>
  <c r="J139" i="4"/>
  <c r="I139" i="4"/>
  <c r="H139" i="4"/>
  <c r="G139" i="4"/>
  <c r="F139" i="4"/>
  <c r="AB138" i="4"/>
  <c r="AA138" i="4"/>
  <c r="W138" i="4"/>
  <c r="V138" i="4"/>
  <c r="U138" i="4"/>
  <c r="T138" i="4"/>
  <c r="S138" i="4"/>
  <c r="R138" i="4"/>
  <c r="Q138" i="4"/>
  <c r="P138" i="4"/>
  <c r="M138" i="4"/>
  <c r="L138" i="4"/>
  <c r="J138" i="4"/>
  <c r="I138" i="4"/>
  <c r="H138" i="4"/>
  <c r="G138" i="4"/>
  <c r="F138" i="4"/>
  <c r="AB137" i="4"/>
  <c r="AA137" i="4"/>
  <c r="W137" i="4"/>
  <c r="V137" i="4"/>
  <c r="U137" i="4"/>
  <c r="T137" i="4"/>
  <c r="S137" i="4"/>
  <c r="R137" i="4"/>
  <c r="Q137" i="4"/>
  <c r="P137" i="4"/>
  <c r="M137" i="4"/>
  <c r="L137" i="4"/>
  <c r="J137" i="4"/>
  <c r="I137" i="4"/>
  <c r="H137" i="4"/>
  <c r="G137" i="4"/>
  <c r="F137" i="4"/>
  <c r="AB136" i="4"/>
  <c r="AA136" i="4"/>
  <c r="W136" i="4"/>
  <c r="V136" i="4"/>
  <c r="U136" i="4"/>
  <c r="T136" i="4"/>
  <c r="S136" i="4"/>
  <c r="R136" i="4"/>
  <c r="Q136" i="4"/>
  <c r="P136" i="4"/>
  <c r="M136" i="4"/>
  <c r="L136" i="4"/>
  <c r="J136" i="4"/>
  <c r="I136" i="4"/>
  <c r="H136" i="4"/>
  <c r="G136" i="4"/>
  <c r="F136" i="4"/>
  <c r="AB135" i="4"/>
  <c r="AA135" i="4"/>
  <c r="W135" i="4"/>
  <c r="V135" i="4"/>
  <c r="U135" i="4"/>
  <c r="T135" i="4"/>
  <c r="S135" i="4"/>
  <c r="R135" i="4"/>
  <c r="Q135" i="4"/>
  <c r="P135" i="4"/>
  <c r="M135" i="4"/>
  <c r="L135" i="4"/>
  <c r="J135" i="4"/>
  <c r="I135" i="4"/>
  <c r="H135" i="4"/>
  <c r="G135" i="4"/>
  <c r="F135" i="4"/>
  <c r="AB134" i="4"/>
  <c r="AA134" i="4"/>
  <c r="W134" i="4"/>
  <c r="V134" i="4"/>
  <c r="U134" i="4"/>
  <c r="T134" i="4"/>
  <c r="S134" i="4"/>
  <c r="R134" i="4"/>
  <c r="Q134" i="4"/>
  <c r="P134" i="4"/>
  <c r="M134" i="4"/>
  <c r="L134" i="4"/>
  <c r="J134" i="4"/>
  <c r="I134" i="4"/>
  <c r="H134" i="4"/>
  <c r="G134" i="4"/>
  <c r="F134" i="4"/>
  <c r="AB133" i="4"/>
  <c r="AA133" i="4"/>
  <c r="W133" i="4"/>
  <c r="V133" i="4"/>
  <c r="U133" i="4"/>
  <c r="T133" i="4"/>
  <c r="S133" i="4"/>
  <c r="R133" i="4"/>
  <c r="Q133" i="4"/>
  <c r="P133" i="4"/>
  <c r="M133" i="4"/>
  <c r="L133" i="4"/>
  <c r="J133" i="4"/>
  <c r="I133" i="4"/>
  <c r="H133" i="4"/>
  <c r="G133" i="4"/>
  <c r="F133" i="4"/>
  <c r="AB132" i="4"/>
  <c r="AA132" i="4"/>
  <c r="W132" i="4"/>
  <c r="V132" i="4"/>
  <c r="U132" i="4"/>
  <c r="T132" i="4"/>
  <c r="S132" i="4"/>
  <c r="R132" i="4"/>
  <c r="Q132" i="4"/>
  <c r="P132" i="4"/>
  <c r="M132" i="4"/>
  <c r="L132" i="4"/>
  <c r="J132" i="4"/>
  <c r="I132" i="4"/>
  <c r="H132" i="4"/>
  <c r="G132" i="4"/>
  <c r="F132" i="4"/>
  <c r="AB131" i="4"/>
  <c r="AA131" i="4"/>
  <c r="W131" i="4"/>
  <c r="V131" i="4"/>
  <c r="U131" i="4"/>
  <c r="T131" i="4"/>
  <c r="S131" i="4"/>
  <c r="R131" i="4"/>
  <c r="Q131" i="4"/>
  <c r="P131" i="4"/>
  <c r="M131" i="4"/>
  <c r="L131" i="4"/>
  <c r="J131" i="4"/>
  <c r="I131" i="4"/>
  <c r="H131" i="4"/>
  <c r="G131" i="4"/>
  <c r="F131" i="4"/>
  <c r="AB130" i="4"/>
  <c r="AA130" i="4"/>
  <c r="W130" i="4"/>
  <c r="V130" i="4"/>
  <c r="U130" i="4"/>
  <c r="T130" i="4"/>
  <c r="S130" i="4"/>
  <c r="R130" i="4"/>
  <c r="Q130" i="4"/>
  <c r="P130" i="4"/>
  <c r="M130" i="4"/>
  <c r="L130" i="4"/>
  <c r="J130" i="4"/>
  <c r="I130" i="4"/>
  <c r="H130" i="4"/>
  <c r="G130" i="4"/>
  <c r="F130" i="4"/>
  <c r="AB129" i="4"/>
  <c r="AA129" i="4"/>
  <c r="W129" i="4"/>
  <c r="V129" i="4"/>
  <c r="U129" i="4"/>
  <c r="T129" i="4"/>
  <c r="S129" i="4"/>
  <c r="R129" i="4"/>
  <c r="Q129" i="4"/>
  <c r="P129" i="4"/>
  <c r="M129" i="4"/>
  <c r="L129" i="4"/>
  <c r="J129" i="4"/>
  <c r="I129" i="4"/>
  <c r="H129" i="4"/>
  <c r="G129" i="4"/>
  <c r="F129" i="4"/>
  <c r="AB128" i="4"/>
  <c r="AA128" i="4"/>
  <c r="W128" i="4"/>
  <c r="V128" i="4"/>
  <c r="U128" i="4"/>
  <c r="T128" i="4"/>
  <c r="S128" i="4"/>
  <c r="R128" i="4"/>
  <c r="Q128" i="4"/>
  <c r="P128" i="4"/>
  <c r="M128" i="4"/>
  <c r="L128" i="4"/>
  <c r="J128" i="4"/>
  <c r="I128" i="4"/>
  <c r="H128" i="4"/>
  <c r="G128" i="4"/>
  <c r="F128" i="4"/>
  <c r="AB126" i="4"/>
  <c r="AA126" i="4"/>
  <c r="W126" i="4"/>
  <c r="V126" i="4"/>
  <c r="U126" i="4"/>
  <c r="T126" i="4"/>
  <c r="S126" i="4"/>
  <c r="R126" i="4"/>
  <c r="Q126" i="4"/>
  <c r="P126" i="4"/>
  <c r="M126" i="4"/>
  <c r="L126" i="4"/>
  <c r="J126" i="4"/>
  <c r="I126" i="4"/>
  <c r="H126" i="4"/>
  <c r="G126" i="4"/>
  <c r="F126" i="4"/>
  <c r="AB125" i="4"/>
  <c r="AA125" i="4"/>
  <c r="W125" i="4"/>
  <c r="V125" i="4"/>
  <c r="U125" i="4"/>
  <c r="T125" i="4"/>
  <c r="S125" i="4"/>
  <c r="R125" i="4"/>
  <c r="Q125" i="4"/>
  <c r="P125" i="4"/>
  <c r="M125" i="4"/>
  <c r="L125" i="4"/>
  <c r="J125" i="4"/>
  <c r="I125" i="4"/>
  <c r="H125" i="4"/>
  <c r="G125" i="4"/>
  <c r="F125" i="4"/>
  <c r="AB124" i="4"/>
  <c r="AA124" i="4"/>
  <c r="W124" i="4"/>
  <c r="V124" i="4"/>
  <c r="U124" i="4"/>
  <c r="T124" i="4"/>
  <c r="S124" i="4"/>
  <c r="R124" i="4"/>
  <c r="Q124" i="4"/>
  <c r="P124" i="4"/>
  <c r="M124" i="4"/>
  <c r="L124" i="4"/>
  <c r="J124" i="4"/>
  <c r="I124" i="4"/>
  <c r="H124" i="4"/>
  <c r="G124" i="4"/>
  <c r="F124" i="4"/>
  <c r="AB123" i="4"/>
  <c r="AA123" i="4"/>
  <c r="W123" i="4"/>
  <c r="V123" i="4"/>
  <c r="U123" i="4"/>
  <c r="T123" i="4"/>
  <c r="S123" i="4"/>
  <c r="R123" i="4"/>
  <c r="Q123" i="4"/>
  <c r="P123" i="4"/>
  <c r="M123" i="4"/>
  <c r="L123" i="4"/>
  <c r="J123" i="4"/>
  <c r="I123" i="4"/>
  <c r="H123" i="4"/>
  <c r="G123" i="4"/>
  <c r="F123" i="4"/>
  <c r="AB122" i="4"/>
  <c r="AA122" i="4"/>
  <c r="W122" i="4"/>
  <c r="V122" i="4"/>
  <c r="U122" i="4"/>
  <c r="T122" i="4"/>
  <c r="S122" i="4"/>
  <c r="R122" i="4"/>
  <c r="Q122" i="4"/>
  <c r="P122" i="4"/>
  <c r="M122" i="4"/>
  <c r="L122" i="4"/>
  <c r="J122" i="4"/>
  <c r="I122" i="4"/>
  <c r="H122" i="4"/>
  <c r="G122" i="4"/>
  <c r="F122" i="4"/>
  <c r="AB121" i="4"/>
  <c r="AA121" i="4"/>
  <c r="W121" i="4"/>
  <c r="V121" i="4"/>
  <c r="U121" i="4"/>
  <c r="T121" i="4"/>
  <c r="S121" i="4"/>
  <c r="R121" i="4"/>
  <c r="Q121" i="4"/>
  <c r="P121" i="4"/>
  <c r="M121" i="4"/>
  <c r="L121" i="4"/>
  <c r="J121" i="4"/>
  <c r="I121" i="4"/>
  <c r="H121" i="4"/>
  <c r="G121" i="4"/>
  <c r="F121" i="4"/>
  <c r="AB120" i="4"/>
  <c r="AA120" i="4"/>
  <c r="W120" i="4"/>
  <c r="V120" i="4"/>
  <c r="U120" i="4"/>
  <c r="T120" i="4"/>
  <c r="S120" i="4"/>
  <c r="R120" i="4"/>
  <c r="Q120" i="4"/>
  <c r="P120" i="4"/>
  <c r="M120" i="4"/>
  <c r="L120" i="4"/>
  <c r="J120" i="4"/>
  <c r="I120" i="4"/>
  <c r="H120" i="4"/>
  <c r="G120" i="4"/>
  <c r="F120" i="4"/>
  <c r="AB119" i="4"/>
  <c r="AA119" i="4"/>
  <c r="W119" i="4"/>
  <c r="V119" i="4"/>
  <c r="U119" i="4"/>
  <c r="T119" i="4"/>
  <c r="S119" i="4"/>
  <c r="R119" i="4"/>
  <c r="Q119" i="4"/>
  <c r="P119" i="4"/>
  <c r="M119" i="4"/>
  <c r="L119" i="4"/>
  <c r="J119" i="4"/>
  <c r="I119" i="4"/>
  <c r="H119" i="4"/>
  <c r="G119" i="4"/>
  <c r="F119" i="4"/>
  <c r="AB118" i="4"/>
  <c r="AA118" i="4"/>
  <c r="W118" i="4"/>
  <c r="V118" i="4"/>
  <c r="U118" i="4"/>
  <c r="T118" i="4"/>
  <c r="S118" i="4"/>
  <c r="R118" i="4"/>
  <c r="Q118" i="4"/>
  <c r="P118" i="4"/>
  <c r="M118" i="4"/>
  <c r="L118" i="4"/>
  <c r="J118" i="4"/>
  <c r="I118" i="4"/>
  <c r="H118" i="4"/>
  <c r="G118" i="4"/>
  <c r="F118" i="4"/>
  <c r="AB117" i="4"/>
  <c r="AA117" i="4"/>
  <c r="W117" i="4"/>
  <c r="V117" i="4"/>
  <c r="U117" i="4"/>
  <c r="T117" i="4"/>
  <c r="S117" i="4"/>
  <c r="R117" i="4"/>
  <c r="Q117" i="4"/>
  <c r="P117" i="4"/>
  <c r="M117" i="4"/>
  <c r="L117" i="4"/>
  <c r="J117" i="4"/>
  <c r="I117" i="4"/>
  <c r="H117" i="4"/>
  <c r="G117" i="4"/>
  <c r="F117" i="4"/>
  <c r="AB116" i="4"/>
  <c r="AA116" i="4"/>
  <c r="W116" i="4"/>
  <c r="V116" i="4"/>
  <c r="U116" i="4"/>
  <c r="T116" i="4"/>
  <c r="S116" i="4"/>
  <c r="R116" i="4"/>
  <c r="Q116" i="4"/>
  <c r="P116" i="4"/>
  <c r="M116" i="4"/>
  <c r="L116" i="4"/>
  <c r="J116" i="4"/>
  <c r="I116" i="4"/>
  <c r="H116" i="4"/>
  <c r="G116" i="4"/>
  <c r="F116" i="4"/>
  <c r="AB115" i="4"/>
  <c r="AA115" i="4"/>
  <c r="W115" i="4"/>
  <c r="V115" i="4"/>
  <c r="U115" i="4"/>
  <c r="T115" i="4"/>
  <c r="S115" i="4"/>
  <c r="R115" i="4"/>
  <c r="Q115" i="4"/>
  <c r="P115" i="4"/>
  <c r="M115" i="4"/>
  <c r="L115" i="4"/>
  <c r="J115" i="4"/>
  <c r="I115" i="4"/>
  <c r="H115" i="4"/>
  <c r="G115" i="4"/>
  <c r="F115" i="4"/>
  <c r="AB114" i="4"/>
  <c r="AA114" i="4"/>
  <c r="W114" i="4"/>
  <c r="V114" i="4"/>
  <c r="U114" i="4"/>
  <c r="T114" i="4"/>
  <c r="S114" i="4"/>
  <c r="R114" i="4"/>
  <c r="Q114" i="4"/>
  <c r="P114" i="4"/>
  <c r="M114" i="4"/>
  <c r="L114" i="4"/>
  <c r="J114" i="4"/>
  <c r="I114" i="4"/>
  <c r="H114" i="4"/>
  <c r="G114" i="4"/>
  <c r="F114" i="4"/>
  <c r="AB110" i="4"/>
  <c r="AA110" i="4"/>
  <c r="W110" i="4"/>
  <c r="V110" i="4"/>
  <c r="U110" i="4"/>
  <c r="T110" i="4"/>
  <c r="S110" i="4"/>
  <c r="R110" i="4"/>
  <c r="Q110" i="4"/>
  <c r="P110" i="4"/>
  <c r="M110" i="4"/>
  <c r="L110" i="4"/>
  <c r="J110" i="4"/>
  <c r="I110" i="4"/>
  <c r="H110" i="4"/>
  <c r="G110" i="4"/>
  <c r="F110" i="4"/>
  <c r="AB108" i="4"/>
  <c r="AA108" i="4"/>
  <c r="W108" i="4"/>
  <c r="V108" i="4"/>
  <c r="U108" i="4"/>
  <c r="T108" i="4"/>
  <c r="S108" i="4"/>
  <c r="R108" i="4"/>
  <c r="Q108" i="4"/>
  <c r="P108" i="4"/>
  <c r="M108" i="4"/>
  <c r="L108" i="4"/>
  <c r="J108" i="4"/>
  <c r="I108" i="4"/>
  <c r="H108" i="4"/>
  <c r="G108" i="4"/>
  <c r="F108" i="4"/>
  <c r="AB106" i="4"/>
  <c r="AA106" i="4"/>
  <c r="W106" i="4"/>
  <c r="V106" i="4"/>
  <c r="U106" i="4"/>
  <c r="T106" i="4"/>
  <c r="S106" i="4"/>
  <c r="R106" i="4"/>
  <c r="Q106" i="4"/>
  <c r="P106" i="4"/>
  <c r="M106" i="4"/>
  <c r="L106" i="4"/>
  <c r="J106" i="4"/>
  <c r="I106" i="4"/>
  <c r="H106" i="4"/>
  <c r="G106" i="4"/>
  <c r="F106" i="4"/>
  <c r="K106" i="4" s="1"/>
  <c r="AB105" i="4"/>
  <c r="AA105" i="4"/>
  <c r="W105" i="4"/>
  <c r="V105" i="4"/>
  <c r="U105" i="4"/>
  <c r="T105" i="4"/>
  <c r="S105" i="4"/>
  <c r="R105" i="4"/>
  <c r="Q105" i="4"/>
  <c r="P105" i="4"/>
  <c r="M105" i="4"/>
  <c r="L105" i="4"/>
  <c r="J105" i="4"/>
  <c r="I105" i="4"/>
  <c r="H105" i="4"/>
  <c r="G105" i="4"/>
  <c r="F105" i="4"/>
  <c r="AB104" i="4"/>
  <c r="AA104" i="4"/>
  <c r="W104" i="4"/>
  <c r="V104" i="4"/>
  <c r="U104" i="4"/>
  <c r="T104" i="4"/>
  <c r="S104" i="4"/>
  <c r="R104" i="4"/>
  <c r="Q104" i="4"/>
  <c r="P104" i="4"/>
  <c r="M104" i="4"/>
  <c r="L104" i="4"/>
  <c r="J104" i="4"/>
  <c r="I104" i="4"/>
  <c r="H104" i="4"/>
  <c r="G104" i="4"/>
  <c r="F104" i="4"/>
  <c r="AB103" i="4"/>
  <c r="AA103" i="4"/>
  <c r="W103" i="4"/>
  <c r="V103" i="4"/>
  <c r="U103" i="4"/>
  <c r="T103" i="4"/>
  <c r="S103" i="4"/>
  <c r="R103" i="4"/>
  <c r="Q103" i="4"/>
  <c r="P103" i="4"/>
  <c r="M103" i="4"/>
  <c r="L103" i="4"/>
  <c r="J103" i="4"/>
  <c r="I103" i="4"/>
  <c r="H103" i="4"/>
  <c r="G103" i="4"/>
  <c r="F103" i="4"/>
  <c r="AB102" i="4"/>
  <c r="AA102" i="4"/>
  <c r="W102" i="4"/>
  <c r="V102" i="4"/>
  <c r="U102" i="4"/>
  <c r="T102" i="4"/>
  <c r="S102" i="4"/>
  <c r="R102" i="4"/>
  <c r="Q102" i="4"/>
  <c r="P102" i="4"/>
  <c r="M102" i="4"/>
  <c r="L102" i="4"/>
  <c r="J102" i="4"/>
  <c r="I102" i="4"/>
  <c r="H102" i="4"/>
  <c r="G102" i="4"/>
  <c r="F102" i="4"/>
  <c r="AB101" i="4"/>
  <c r="AA101" i="4"/>
  <c r="W101" i="4"/>
  <c r="V101" i="4"/>
  <c r="U101" i="4"/>
  <c r="T101" i="4"/>
  <c r="S101" i="4"/>
  <c r="R101" i="4"/>
  <c r="Q101" i="4"/>
  <c r="P101" i="4"/>
  <c r="M101" i="4"/>
  <c r="L101" i="4"/>
  <c r="J101" i="4"/>
  <c r="I101" i="4"/>
  <c r="H101" i="4"/>
  <c r="G101" i="4"/>
  <c r="F101" i="4"/>
  <c r="AB100" i="4"/>
  <c r="AA100" i="4"/>
  <c r="W100" i="4"/>
  <c r="V100" i="4"/>
  <c r="U100" i="4"/>
  <c r="T100" i="4"/>
  <c r="S100" i="4"/>
  <c r="R100" i="4"/>
  <c r="Q100" i="4"/>
  <c r="P100" i="4"/>
  <c r="M100" i="4"/>
  <c r="L100" i="4"/>
  <c r="J100" i="4"/>
  <c r="I100" i="4"/>
  <c r="H100" i="4"/>
  <c r="G100" i="4"/>
  <c r="F100" i="4"/>
  <c r="K100" i="4" s="1"/>
  <c r="AB99" i="4"/>
  <c r="AA99" i="4"/>
  <c r="W99" i="4"/>
  <c r="V99" i="4"/>
  <c r="U99" i="4"/>
  <c r="T99" i="4"/>
  <c r="S99" i="4"/>
  <c r="R99" i="4"/>
  <c r="Q99" i="4"/>
  <c r="P99" i="4"/>
  <c r="M99" i="4"/>
  <c r="L99" i="4"/>
  <c r="J99" i="4"/>
  <c r="I99" i="4"/>
  <c r="H99" i="4"/>
  <c r="G99" i="4"/>
  <c r="F99" i="4"/>
  <c r="AB98" i="4"/>
  <c r="AA98" i="4"/>
  <c r="W98" i="4"/>
  <c r="V98" i="4"/>
  <c r="U98" i="4"/>
  <c r="T98" i="4"/>
  <c r="S98" i="4"/>
  <c r="R98" i="4"/>
  <c r="Q98" i="4"/>
  <c r="P98" i="4"/>
  <c r="M98" i="4"/>
  <c r="L98" i="4"/>
  <c r="J98" i="4"/>
  <c r="I98" i="4"/>
  <c r="H98" i="4"/>
  <c r="G98" i="4"/>
  <c r="F98" i="4"/>
  <c r="AB97" i="4"/>
  <c r="AA97" i="4"/>
  <c r="W97" i="4"/>
  <c r="V97" i="4"/>
  <c r="U97" i="4"/>
  <c r="T97" i="4"/>
  <c r="S97" i="4"/>
  <c r="R97" i="4"/>
  <c r="Q97" i="4"/>
  <c r="P97" i="4"/>
  <c r="M97" i="4"/>
  <c r="L97" i="4"/>
  <c r="J97" i="4"/>
  <c r="I97" i="4"/>
  <c r="H97" i="4"/>
  <c r="G97" i="4"/>
  <c r="F97" i="4"/>
  <c r="AB96" i="4"/>
  <c r="AA96" i="4"/>
  <c r="W96" i="4"/>
  <c r="V96" i="4"/>
  <c r="U96" i="4"/>
  <c r="T96" i="4"/>
  <c r="S96" i="4"/>
  <c r="R96" i="4"/>
  <c r="Q96" i="4"/>
  <c r="P96" i="4"/>
  <c r="M96" i="4"/>
  <c r="L96" i="4"/>
  <c r="J96" i="4"/>
  <c r="I96" i="4"/>
  <c r="H96" i="4"/>
  <c r="G96" i="4"/>
  <c r="F96" i="4"/>
  <c r="AB95" i="4"/>
  <c r="AA95" i="4"/>
  <c r="W95" i="4"/>
  <c r="V95" i="4"/>
  <c r="U95" i="4"/>
  <c r="T95" i="4"/>
  <c r="S95" i="4"/>
  <c r="R95" i="4"/>
  <c r="Q95" i="4"/>
  <c r="P95" i="4"/>
  <c r="M95" i="4"/>
  <c r="L95" i="4"/>
  <c r="J95" i="4"/>
  <c r="I95" i="4"/>
  <c r="K95" i="4" s="1"/>
  <c r="H95" i="4"/>
  <c r="G95" i="4"/>
  <c r="F95" i="4"/>
  <c r="AB94" i="4"/>
  <c r="AA94" i="4"/>
  <c r="W94" i="4"/>
  <c r="V94" i="4"/>
  <c r="U94" i="4"/>
  <c r="T94" i="4"/>
  <c r="S94" i="4"/>
  <c r="R94" i="4"/>
  <c r="Q94" i="4"/>
  <c r="P94" i="4"/>
  <c r="M94" i="4"/>
  <c r="L94" i="4"/>
  <c r="J94" i="4"/>
  <c r="I94" i="4"/>
  <c r="H94" i="4"/>
  <c r="G94" i="4"/>
  <c r="F94" i="4"/>
  <c r="AB93" i="4"/>
  <c r="AA93" i="4"/>
  <c r="W93" i="4"/>
  <c r="V93" i="4"/>
  <c r="U93" i="4"/>
  <c r="T93" i="4"/>
  <c r="S93" i="4"/>
  <c r="R93" i="4"/>
  <c r="Q93" i="4"/>
  <c r="P93" i="4"/>
  <c r="M93" i="4"/>
  <c r="L93" i="4"/>
  <c r="J93" i="4"/>
  <c r="I93" i="4"/>
  <c r="H93" i="4"/>
  <c r="G93" i="4"/>
  <c r="F93" i="4"/>
  <c r="AB92" i="4"/>
  <c r="AA92" i="4"/>
  <c r="W92" i="4"/>
  <c r="V92" i="4"/>
  <c r="U92" i="4"/>
  <c r="T92" i="4"/>
  <c r="S92" i="4"/>
  <c r="R92" i="4"/>
  <c r="Q92" i="4"/>
  <c r="P92" i="4"/>
  <c r="M92" i="4"/>
  <c r="L92" i="4"/>
  <c r="J92" i="4"/>
  <c r="I92" i="4"/>
  <c r="H92" i="4"/>
  <c r="G92" i="4"/>
  <c r="F92" i="4"/>
  <c r="K92" i="4" s="1"/>
  <c r="AB90" i="4"/>
  <c r="AA90" i="4"/>
  <c r="W90" i="4"/>
  <c r="V90" i="4"/>
  <c r="U90" i="4"/>
  <c r="T90" i="4"/>
  <c r="S90" i="4"/>
  <c r="R90" i="4"/>
  <c r="Q90" i="4"/>
  <c r="P90" i="4"/>
  <c r="M90" i="4"/>
  <c r="L90" i="4"/>
  <c r="J90" i="4"/>
  <c r="I90" i="4"/>
  <c r="H90" i="4"/>
  <c r="G90" i="4"/>
  <c r="F90" i="4"/>
  <c r="AB89" i="4"/>
  <c r="AA89" i="4"/>
  <c r="W89" i="4"/>
  <c r="V89" i="4"/>
  <c r="U89" i="4"/>
  <c r="T89" i="4"/>
  <c r="S89" i="4"/>
  <c r="R89" i="4"/>
  <c r="Q89" i="4"/>
  <c r="P89" i="4"/>
  <c r="M89" i="4"/>
  <c r="L89" i="4"/>
  <c r="J89" i="4"/>
  <c r="I89" i="4"/>
  <c r="H89" i="4"/>
  <c r="G89" i="4"/>
  <c r="F89" i="4"/>
  <c r="AB88" i="4"/>
  <c r="AA88" i="4"/>
  <c r="W88" i="4"/>
  <c r="V88" i="4"/>
  <c r="U88" i="4"/>
  <c r="T88" i="4"/>
  <c r="S88" i="4"/>
  <c r="R88" i="4"/>
  <c r="Q88" i="4"/>
  <c r="P88" i="4"/>
  <c r="M88" i="4"/>
  <c r="L88" i="4"/>
  <c r="J88" i="4"/>
  <c r="I88" i="4"/>
  <c r="H88" i="4"/>
  <c r="G88" i="4"/>
  <c r="F88" i="4"/>
  <c r="AB87" i="4"/>
  <c r="AA87" i="4"/>
  <c r="W87" i="4"/>
  <c r="V87" i="4"/>
  <c r="U87" i="4"/>
  <c r="T87" i="4"/>
  <c r="S87" i="4"/>
  <c r="R87" i="4"/>
  <c r="Q87" i="4"/>
  <c r="P87" i="4"/>
  <c r="M87" i="4"/>
  <c r="L87" i="4"/>
  <c r="J87" i="4"/>
  <c r="I87" i="4"/>
  <c r="H87" i="4"/>
  <c r="K87" i="4" s="1"/>
  <c r="G87" i="4"/>
  <c r="F87" i="4"/>
  <c r="AB86" i="4"/>
  <c r="AA86" i="4"/>
  <c r="W86" i="4"/>
  <c r="V86" i="4"/>
  <c r="U86" i="4"/>
  <c r="T86" i="4"/>
  <c r="S86" i="4"/>
  <c r="R86" i="4"/>
  <c r="Q86" i="4"/>
  <c r="P86" i="4"/>
  <c r="M86" i="4"/>
  <c r="L86" i="4"/>
  <c r="J86" i="4"/>
  <c r="I86" i="4"/>
  <c r="H86" i="4"/>
  <c r="G86" i="4"/>
  <c r="F86" i="4"/>
  <c r="AB85" i="4"/>
  <c r="AA85" i="4"/>
  <c r="W85" i="4"/>
  <c r="V85" i="4"/>
  <c r="U85" i="4"/>
  <c r="T85" i="4"/>
  <c r="S85" i="4"/>
  <c r="R85" i="4"/>
  <c r="Q85" i="4"/>
  <c r="P85" i="4"/>
  <c r="M85" i="4"/>
  <c r="L85" i="4"/>
  <c r="J85" i="4"/>
  <c r="I85" i="4"/>
  <c r="H85" i="4"/>
  <c r="G85" i="4"/>
  <c r="F85" i="4"/>
  <c r="AB84" i="4"/>
  <c r="AA84" i="4"/>
  <c r="W84" i="4"/>
  <c r="V84" i="4"/>
  <c r="U84" i="4"/>
  <c r="T84" i="4"/>
  <c r="S84" i="4"/>
  <c r="R84" i="4"/>
  <c r="Q84" i="4"/>
  <c r="P84" i="4"/>
  <c r="M84" i="4"/>
  <c r="L84" i="4"/>
  <c r="J84" i="4"/>
  <c r="I84" i="4"/>
  <c r="H84" i="4"/>
  <c r="G84" i="4"/>
  <c r="F84" i="4"/>
  <c r="AB83" i="4"/>
  <c r="AA83" i="4"/>
  <c r="W83" i="4"/>
  <c r="V83" i="4"/>
  <c r="U83" i="4"/>
  <c r="T83" i="4"/>
  <c r="S83" i="4"/>
  <c r="R83" i="4"/>
  <c r="Q83" i="4"/>
  <c r="P83" i="4"/>
  <c r="M83" i="4"/>
  <c r="L83" i="4"/>
  <c r="J83" i="4"/>
  <c r="I83" i="4"/>
  <c r="H83" i="4"/>
  <c r="G83" i="4"/>
  <c r="F83" i="4"/>
  <c r="AB82" i="4"/>
  <c r="AA82" i="4"/>
  <c r="W82" i="4"/>
  <c r="V82" i="4"/>
  <c r="U82" i="4"/>
  <c r="T82" i="4"/>
  <c r="S82" i="4"/>
  <c r="R82" i="4"/>
  <c r="Q82" i="4"/>
  <c r="P82" i="4"/>
  <c r="M82" i="4"/>
  <c r="L82" i="4"/>
  <c r="J82" i="4"/>
  <c r="I82" i="4"/>
  <c r="H82" i="4"/>
  <c r="G82" i="4"/>
  <c r="F82" i="4"/>
  <c r="AB81" i="4"/>
  <c r="AA81" i="4"/>
  <c r="W81" i="4"/>
  <c r="V81" i="4"/>
  <c r="U81" i="4"/>
  <c r="T81" i="4"/>
  <c r="S81" i="4"/>
  <c r="R81" i="4"/>
  <c r="Q81" i="4"/>
  <c r="P81" i="4"/>
  <c r="M81" i="4"/>
  <c r="L81" i="4"/>
  <c r="J81" i="4"/>
  <c r="I81" i="4"/>
  <c r="H81" i="4"/>
  <c r="G81" i="4"/>
  <c r="F81" i="4"/>
  <c r="AB80" i="4"/>
  <c r="AA80" i="4"/>
  <c r="W80" i="4"/>
  <c r="V80" i="4"/>
  <c r="U80" i="4"/>
  <c r="T80" i="4"/>
  <c r="S80" i="4"/>
  <c r="R80" i="4"/>
  <c r="Q80" i="4"/>
  <c r="P80" i="4"/>
  <c r="M80" i="4"/>
  <c r="L80" i="4"/>
  <c r="J80" i="4"/>
  <c r="I80" i="4"/>
  <c r="H80" i="4"/>
  <c r="G80" i="4"/>
  <c r="F80" i="4"/>
  <c r="AB79" i="4"/>
  <c r="AA79" i="4"/>
  <c r="W79" i="4"/>
  <c r="V79" i="4"/>
  <c r="U79" i="4"/>
  <c r="T79" i="4"/>
  <c r="S79" i="4"/>
  <c r="R79" i="4"/>
  <c r="Q79" i="4"/>
  <c r="P79" i="4"/>
  <c r="M79" i="4"/>
  <c r="L79" i="4"/>
  <c r="J79" i="4"/>
  <c r="I79" i="4"/>
  <c r="H79" i="4"/>
  <c r="G79" i="4"/>
  <c r="F79" i="4"/>
  <c r="AB78" i="4"/>
  <c r="AA78" i="4"/>
  <c r="W78" i="4"/>
  <c r="V78" i="4"/>
  <c r="U78" i="4"/>
  <c r="T78" i="4"/>
  <c r="S78" i="4"/>
  <c r="R78" i="4"/>
  <c r="Q78" i="4"/>
  <c r="P78" i="4"/>
  <c r="M78" i="4"/>
  <c r="L78" i="4"/>
  <c r="J78" i="4"/>
  <c r="K78" i="4" s="1"/>
  <c r="I78" i="4"/>
  <c r="H78" i="4"/>
  <c r="G78" i="4"/>
  <c r="F78" i="4"/>
  <c r="AB77" i="4"/>
  <c r="AA77" i="4"/>
  <c r="W77" i="4"/>
  <c r="V77" i="4"/>
  <c r="U77" i="4"/>
  <c r="T77" i="4"/>
  <c r="S77" i="4"/>
  <c r="R77" i="4"/>
  <c r="Q77" i="4"/>
  <c r="P77" i="4"/>
  <c r="M77" i="4"/>
  <c r="L77" i="4"/>
  <c r="J77" i="4"/>
  <c r="I77" i="4"/>
  <c r="H77" i="4"/>
  <c r="G77" i="4"/>
  <c r="F77" i="4"/>
  <c r="K77" i="4" s="1"/>
  <c r="AB75" i="4"/>
  <c r="AA75" i="4"/>
  <c r="W75" i="4"/>
  <c r="V75" i="4"/>
  <c r="U75" i="4"/>
  <c r="T75" i="4"/>
  <c r="S75" i="4"/>
  <c r="R75" i="4"/>
  <c r="Q75" i="4"/>
  <c r="P75" i="4"/>
  <c r="M75" i="4"/>
  <c r="L75" i="4"/>
  <c r="J75" i="4"/>
  <c r="I75" i="4"/>
  <c r="H75" i="4"/>
  <c r="G75" i="4"/>
  <c r="F75" i="4"/>
  <c r="AB74" i="4"/>
  <c r="AA74" i="4"/>
  <c r="W74" i="4"/>
  <c r="V74" i="4"/>
  <c r="U74" i="4"/>
  <c r="T74" i="4"/>
  <c r="S74" i="4"/>
  <c r="R74" i="4"/>
  <c r="Q74" i="4"/>
  <c r="P74" i="4"/>
  <c r="M74" i="4"/>
  <c r="L74" i="4"/>
  <c r="J74" i="4"/>
  <c r="I74" i="4"/>
  <c r="H74" i="4"/>
  <c r="G74" i="4"/>
  <c r="F74" i="4"/>
  <c r="K74" i="4" s="1"/>
  <c r="AB72" i="4"/>
  <c r="AA72" i="4"/>
  <c r="W72" i="4"/>
  <c r="V72" i="4"/>
  <c r="U72" i="4"/>
  <c r="T72" i="4"/>
  <c r="S72" i="4"/>
  <c r="R72" i="4"/>
  <c r="Q72" i="4"/>
  <c r="P72" i="4"/>
  <c r="M72" i="4"/>
  <c r="L72" i="4"/>
  <c r="J72" i="4"/>
  <c r="I72" i="4"/>
  <c r="H72" i="4"/>
  <c r="G72" i="4"/>
  <c r="F72" i="4"/>
  <c r="AB71" i="4"/>
  <c r="AA71" i="4"/>
  <c r="W71" i="4"/>
  <c r="V71" i="4"/>
  <c r="U71" i="4"/>
  <c r="T71" i="4"/>
  <c r="S71" i="4"/>
  <c r="R71" i="4"/>
  <c r="Q71" i="4"/>
  <c r="P71" i="4"/>
  <c r="M71" i="4"/>
  <c r="L71" i="4"/>
  <c r="J71" i="4"/>
  <c r="I71" i="4"/>
  <c r="H71" i="4"/>
  <c r="G71" i="4"/>
  <c r="F71" i="4"/>
  <c r="AB70" i="4"/>
  <c r="AA70" i="4"/>
  <c r="W70" i="4"/>
  <c r="V70" i="4"/>
  <c r="U70" i="4"/>
  <c r="T70" i="4"/>
  <c r="S70" i="4"/>
  <c r="R70" i="4"/>
  <c r="Q70" i="4"/>
  <c r="P70" i="4"/>
  <c r="M70" i="4"/>
  <c r="L70" i="4"/>
  <c r="J70" i="4"/>
  <c r="I70" i="4"/>
  <c r="H70" i="4"/>
  <c r="G70" i="4"/>
  <c r="F70" i="4"/>
  <c r="AB68" i="4"/>
  <c r="AA68" i="4"/>
  <c r="W68" i="4"/>
  <c r="V68" i="4"/>
  <c r="U68" i="4"/>
  <c r="T68" i="4"/>
  <c r="S68" i="4"/>
  <c r="R68" i="4"/>
  <c r="Q68" i="4"/>
  <c r="P68" i="4"/>
  <c r="M68" i="4"/>
  <c r="L68" i="4"/>
  <c r="J68" i="4"/>
  <c r="I68" i="4"/>
  <c r="H68" i="4"/>
  <c r="G68" i="4"/>
  <c r="F68" i="4"/>
  <c r="AB67" i="4"/>
  <c r="AA67" i="4"/>
  <c r="W67" i="4"/>
  <c r="V67" i="4"/>
  <c r="U67" i="4"/>
  <c r="T67" i="4"/>
  <c r="S67" i="4"/>
  <c r="R67" i="4"/>
  <c r="Q67" i="4"/>
  <c r="P67" i="4"/>
  <c r="M67" i="4"/>
  <c r="L67" i="4"/>
  <c r="J67" i="4"/>
  <c r="I67" i="4"/>
  <c r="H67" i="4"/>
  <c r="G67" i="4"/>
  <c r="F67" i="4"/>
  <c r="AB66" i="4"/>
  <c r="AA66" i="4"/>
  <c r="W66" i="4"/>
  <c r="V66" i="4"/>
  <c r="U66" i="4"/>
  <c r="T66" i="4"/>
  <c r="S66" i="4"/>
  <c r="R66" i="4"/>
  <c r="Q66" i="4"/>
  <c r="P66" i="4"/>
  <c r="M66" i="4"/>
  <c r="L66" i="4"/>
  <c r="J66" i="4"/>
  <c r="I66" i="4"/>
  <c r="H66" i="4"/>
  <c r="G66" i="4"/>
  <c r="F66" i="4"/>
  <c r="K66" i="4" s="1"/>
  <c r="AB65" i="4"/>
  <c r="AA65" i="4"/>
  <c r="W65" i="4"/>
  <c r="V65" i="4"/>
  <c r="U65" i="4"/>
  <c r="T65" i="4"/>
  <c r="S65" i="4"/>
  <c r="R65" i="4"/>
  <c r="Q65" i="4"/>
  <c r="P65" i="4"/>
  <c r="M65" i="4"/>
  <c r="L65" i="4"/>
  <c r="J65" i="4"/>
  <c r="I65" i="4"/>
  <c r="H65" i="4"/>
  <c r="G65" i="4"/>
  <c r="F65" i="4"/>
  <c r="AB64" i="4"/>
  <c r="AA64" i="4"/>
  <c r="W64" i="4"/>
  <c r="V64" i="4"/>
  <c r="U64" i="4"/>
  <c r="T64" i="4"/>
  <c r="S64" i="4"/>
  <c r="R64" i="4"/>
  <c r="Q64" i="4"/>
  <c r="P64" i="4"/>
  <c r="M64" i="4"/>
  <c r="L64" i="4"/>
  <c r="J64" i="4"/>
  <c r="I64" i="4"/>
  <c r="H64" i="4"/>
  <c r="G64" i="4"/>
  <c r="F64" i="4"/>
  <c r="AB63" i="4"/>
  <c r="AA63" i="4"/>
  <c r="W63" i="4"/>
  <c r="V63" i="4"/>
  <c r="U63" i="4"/>
  <c r="T63" i="4"/>
  <c r="S63" i="4"/>
  <c r="R63" i="4"/>
  <c r="Q63" i="4"/>
  <c r="P63" i="4"/>
  <c r="M63" i="4"/>
  <c r="L63" i="4"/>
  <c r="J63" i="4"/>
  <c r="I63" i="4"/>
  <c r="H63" i="4"/>
  <c r="G63" i="4"/>
  <c r="F63" i="4"/>
  <c r="AB62" i="4"/>
  <c r="AA62" i="4"/>
  <c r="W62" i="4"/>
  <c r="V62" i="4"/>
  <c r="U62" i="4"/>
  <c r="T62" i="4"/>
  <c r="S62" i="4"/>
  <c r="R62" i="4"/>
  <c r="Q62" i="4"/>
  <c r="P62" i="4"/>
  <c r="M62" i="4"/>
  <c r="L62" i="4"/>
  <c r="J62" i="4"/>
  <c r="I62" i="4"/>
  <c r="H62" i="4"/>
  <c r="G62" i="4"/>
  <c r="F62" i="4"/>
  <c r="AB61" i="4"/>
  <c r="AA61" i="4"/>
  <c r="W61" i="4"/>
  <c r="V61" i="4"/>
  <c r="U61" i="4"/>
  <c r="T61" i="4"/>
  <c r="S61" i="4"/>
  <c r="R61" i="4"/>
  <c r="Q61" i="4"/>
  <c r="P61" i="4"/>
  <c r="M61" i="4"/>
  <c r="L61" i="4"/>
  <c r="J61" i="4"/>
  <c r="I61" i="4"/>
  <c r="H61" i="4"/>
  <c r="G61" i="4"/>
  <c r="F61" i="4"/>
  <c r="AB60" i="4"/>
  <c r="AA60" i="4"/>
  <c r="W60" i="4"/>
  <c r="V60" i="4"/>
  <c r="U60" i="4"/>
  <c r="T60" i="4"/>
  <c r="S60" i="4"/>
  <c r="R60" i="4"/>
  <c r="Q60" i="4"/>
  <c r="P60" i="4"/>
  <c r="M60" i="4"/>
  <c r="L60" i="4"/>
  <c r="J60" i="4"/>
  <c r="I60" i="4"/>
  <c r="H60" i="4"/>
  <c r="G60" i="4"/>
  <c r="F60" i="4"/>
  <c r="AB59" i="4"/>
  <c r="AA59" i="4"/>
  <c r="W59" i="4"/>
  <c r="V59" i="4"/>
  <c r="U59" i="4"/>
  <c r="T59" i="4"/>
  <c r="S59" i="4"/>
  <c r="R59" i="4"/>
  <c r="Q59" i="4"/>
  <c r="P59" i="4"/>
  <c r="M59" i="4"/>
  <c r="L59" i="4"/>
  <c r="J59" i="4"/>
  <c r="I59" i="4"/>
  <c r="H59" i="4"/>
  <c r="G59" i="4"/>
  <c r="F59" i="4"/>
  <c r="AB58" i="4"/>
  <c r="AA58" i="4"/>
  <c r="W58" i="4"/>
  <c r="V58" i="4"/>
  <c r="U58" i="4"/>
  <c r="T58" i="4"/>
  <c r="S58" i="4"/>
  <c r="R58" i="4"/>
  <c r="Q58" i="4"/>
  <c r="P58" i="4"/>
  <c r="M58" i="4"/>
  <c r="L58" i="4"/>
  <c r="J58" i="4"/>
  <c r="I58" i="4"/>
  <c r="H58" i="4"/>
  <c r="G58" i="4"/>
  <c r="F58" i="4"/>
  <c r="K58" i="4" s="1"/>
  <c r="AB57" i="4"/>
  <c r="AA57" i="4"/>
  <c r="W57" i="4"/>
  <c r="V57" i="4"/>
  <c r="U57" i="4"/>
  <c r="T57" i="4"/>
  <c r="S57" i="4"/>
  <c r="R57" i="4"/>
  <c r="Q57" i="4"/>
  <c r="P57" i="4"/>
  <c r="M57" i="4"/>
  <c r="L57" i="4"/>
  <c r="J57" i="4"/>
  <c r="I57" i="4"/>
  <c r="H57" i="4"/>
  <c r="G57" i="4"/>
  <c r="F57" i="4"/>
  <c r="AB56" i="4"/>
  <c r="AA56" i="4"/>
  <c r="W56" i="4"/>
  <c r="V56" i="4"/>
  <c r="U56" i="4"/>
  <c r="T56" i="4"/>
  <c r="S56" i="4"/>
  <c r="R56" i="4"/>
  <c r="Q56" i="4"/>
  <c r="P56" i="4"/>
  <c r="M56" i="4"/>
  <c r="L56" i="4"/>
  <c r="J56" i="4"/>
  <c r="I56" i="4"/>
  <c r="H56" i="4"/>
  <c r="G56" i="4"/>
  <c r="F56" i="4"/>
  <c r="AB55" i="4"/>
  <c r="AA55" i="4"/>
  <c r="W55" i="4"/>
  <c r="V55" i="4"/>
  <c r="U55" i="4"/>
  <c r="T55" i="4"/>
  <c r="S55" i="4"/>
  <c r="R55" i="4"/>
  <c r="Q55" i="4"/>
  <c r="P55" i="4"/>
  <c r="M55" i="4"/>
  <c r="L55" i="4"/>
  <c r="J55" i="4"/>
  <c r="I55" i="4"/>
  <c r="H55" i="4"/>
  <c r="G55" i="4"/>
  <c r="F55" i="4"/>
  <c r="AB54" i="4"/>
  <c r="AA54" i="4"/>
  <c r="W54" i="4"/>
  <c r="V54" i="4"/>
  <c r="U54" i="4"/>
  <c r="T54" i="4"/>
  <c r="S54" i="4"/>
  <c r="R54" i="4"/>
  <c r="Q54" i="4"/>
  <c r="P54" i="4"/>
  <c r="M54" i="4"/>
  <c r="L54" i="4"/>
  <c r="J54" i="4"/>
  <c r="I54" i="4"/>
  <c r="H54" i="4"/>
  <c r="G54" i="4"/>
  <c r="F54" i="4"/>
  <c r="AB53" i="4"/>
  <c r="AA53" i="4"/>
  <c r="W53" i="4"/>
  <c r="V53" i="4"/>
  <c r="U53" i="4"/>
  <c r="T53" i="4"/>
  <c r="S53" i="4"/>
  <c r="R53" i="4"/>
  <c r="Q53" i="4"/>
  <c r="P53" i="4"/>
  <c r="M53" i="4"/>
  <c r="L53" i="4"/>
  <c r="J53" i="4"/>
  <c r="I53" i="4"/>
  <c r="H53" i="4"/>
  <c r="G53" i="4"/>
  <c r="F53" i="4"/>
  <c r="AB52" i="4"/>
  <c r="AA52" i="4"/>
  <c r="W52" i="4"/>
  <c r="V52" i="4"/>
  <c r="U52" i="4"/>
  <c r="T52" i="4"/>
  <c r="S52" i="4"/>
  <c r="R52" i="4"/>
  <c r="Q52" i="4"/>
  <c r="P52" i="4"/>
  <c r="M52" i="4"/>
  <c r="L52" i="4"/>
  <c r="J52" i="4"/>
  <c r="I52" i="4"/>
  <c r="H52" i="4"/>
  <c r="G52" i="4"/>
  <c r="F52" i="4"/>
  <c r="AB51" i="4"/>
  <c r="AA51" i="4"/>
  <c r="W51" i="4"/>
  <c r="V51" i="4"/>
  <c r="U51" i="4"/>
  <c r="T51" i="4"/>
  <c r="S51" i="4"/>
  <c r="R51" i="4"/>
  <c r="Q51" i="4"/>
  <c r="P51" i="4"/>
  <c r="M51" i="4"/>
  <c r="L51" i="4"/>
  <c r="J51" i="4"/>
  <c r="I51" i="4"/>
  <c r="H51" i="4"/>
  <c r="G51" i="4"/>
  <c r="F51" i="4"/>
  <c r="AB50" i="4"/>
  <c r="AA50" i="4"/>
  <c r="W50" i="4"/>
  <c r="V50" i="4"/>
  <c r="U50" i="4"/>
  <c r="T50" i="4"/>
  <c r="S50" i="4"/>
  <c r="R50" i="4"/>
  <c r="Q50" i="4"/>
  <c r="P50" i="4"/>
  <c r="M50" i="4"/>
  <c r="L50" i="4"/>
  <c r="J50" i="4"/>
  <c r="I50" i="4"/>
  <c r="H50" i="4"/>
  <c r="G50" i="4"/>
  <c r="F50" i="4"/>
  <c r="AB49" i="4"/>
  <c r="AA49" i="4"/>
  <c r="W49" i="4"/>
  <c r="V49" i="4"/>
  <c r="U49" i="4"/>
  <c r="T49" i="4"/>
  <c r="S49" i="4"/>
  <c r="R49" i="4"/>
  <c r="Q49" i="4"/>
  <c r="P49" i="4"/>
  <c r="M49" i="4"/>
  <c r="L49" i="4"/>
  <c r="J49" i="4"/>
  <c r="I49" i="4"/>
  <c r="H49" i="4"/>
  <c r="G49" i="4"/>
  <c r="F49" i="4"/>
  <c r="AB48" i="4"/>
  <c r="AA48" i="4"/>
  <c r="W48" i="4"/>
  <c r="V48" i="4"/>
  <c r="U48" i="4"/>
  <c r="T48" i="4"/>
  <c r="S48" i="4"/>
  <c r="R48" i="4"/>
  <c r="Q48" i="4"/>
  <c r="P48" i="4"/>
  <c r="M48" i="4"/>
  <c r="L48" i="4"/>
  <c r="J48" i="4"/>
  <c r="I48" i="4"/>
  <c r="H48" i="4"/>
  <c r="G48" i="4"/>
  <c r="F48" i="4"/>
  <c r="AB47" i="4"/>
  <c r="AA47" i="4"/>
  <c r="W47" i="4"/>
  <c r="V47" i="4"/>
  <c r="U47" i="4"/>
  <c r="T47" i="4"/>
  <c r="S47" i="4"/>
  <c r="R47" i="4"/>
  <c r="Q47" i="4"/>
  <c r="P47" i="4"/>
  <c r="M47" i="4"/>
  <c r="L47" i="4"/>
  <c r="J47" i="4"/>
  <c r="I47" i="4"/>
  <c r="H47" i="4"/>
  <c r="G47" i="4"/>
  <c r="F47" i="4"/>
  <c r="AB46" i="4"/>
  <c r="AA46" i="4"/>
  <c r="W46" i="4"/>
  <c r="V46" i="4"/>
  <c r="U46" i="4"/>
  <c r="T46" i="4"/>
  <c r="S46" i="4"/>
  <c r="R46" i="4"/>
  <c r="Q46" i="4"/>
  <c r="P46" i="4"/>
  <c r="M46" i="4"/>
  <c r="L46" i="4"/>
  <c r="J46" i="4"/>
  <c r="I46" i="4"/>
  <c r="H46" i="4"/>
  <c r="G46" i="4"/>
  <c r="F46" i="4"/>
  <c r="AB45" i="4"/>
  <c r="AA45" i="4"/>
  <c r="W45" i="4"/>
  <c r="V45" i="4"/>
  <c r="U45" i="4"/>
  <c r="T45" i="4"/>
  <c r="S45" i="4"/>
  <c r="R45" i="4"/>
  <c r="Q45" i="4"/>
  <c r="P45" i="4"/>
  <c r="M45" i="4"/>
  <c r="L45" i="4"/>
  <c r="J45" i="4"/>
  <c r="I45" i="4"/>
  <c r="H45" i="4"/>
  <c r="G45" i="4"/>
  <c r="F45" i="4"/>
  <c r="AB44" i="4"/>
  <c r="AA44" i="4"/>
  <c r="W44" i="4"/>
  <c r="V44" i="4"/>
  <c r="U44" i="4"/>
  <c r="T44" i="4"/>
  <c r="S44" i="4"/>
  <c r="R44" i="4"/>
  <c r="Q44" i="4"/>
  <c r="P44" i="4"/>
  <c r="M44" i="4"/>
  <c r="L44" i="4"/>
  <c r="J44" i="4"/>
  <c r="I44" i="4"/>
  <c r="H44" i="4"/>
  <c r="G44" i="4"/>
  <c r="F44" i="4"/>
  <c r="AB43" i="4"/>
  <c r="AA43" i="4"/>
  <c r="W43" i="4"/>
  <c r="V43" i="4"/>
  <c r="U43" i="4"/>
  <c r="T43" i="4"/>
  <c r="S43" i="4"/>
  <c r="R43" i="4"/>
  <c r="Q43" i="4"/>
  <c r="P43" i="4"/>
  <c r="M43" i="4"/>
  <c r="L43" i="4"/>
  <c r="J43" i="4"/>
  <c r="I43" i="4"/>
  <c r="H43" i="4"/>
  <c r="G43" i="4"/>
  <c r="F43" i="4"/>
  <c r="AB42" i="4"/>
  <c r="AA42" i="4"/>
  <c r="W42" i="4"/>
  <c r="V42" i="4"/>
  <c r="U42" i="4"/>
  <c r="T42" i="4"/>
  <c r="S42" i="4"/>
  <c r="R42" i="4"/>
  <c r="Q42" i="4"/>
  <c r="P42" i="4"/>
  <c r="M42" i="4"/>
  <c r="L42" i="4"/>
  <c r="J42" i="4"/>
  <c r="I42" i="4"/>
  <c r="H42" i="4"/>
  <c r="G42" i="4"/>
  <c r="F42" i="4"/>
  <c r="AB41" i="4"/>
  <c r="AA41" i="4"/>
  <c r="W41" i="4"/>
  <c r="V41" i="4"/>
  <c r="U41" i="4"/>
  <c r="T41" i="4"/>
  <c r="S41" i="4"/>
  <c r="R41" i="4"/>
  <c r="Q41" i="4"/>
  <c r="P41" i="4"/>
  <c r="M41" i="4"/>
  <c r="L41" i="4"/>
  <c r="J41" i="4"/>
  <c r="I41" i="4"/>
  <c r="H41" i="4"/>
  <c r="G41" i="4"/>
  <c r="F41" i="4"/>
  <c r="AB40" i="4"/>
  <c r="AA40" i="4"/>
  <c r="W40" i="4"/>
  <c r="V40" i="4"/>
  <c r="U40" i="4"/>
  <c r="T40" i="4"/>
  <c r="S40" i="4"/>
  <c r="R40" i="4"/>
  <c r="Q40" i="4"/>
  <c r="P40" i="4"/>
  <c r="M40" i="4"/>
  <c r="L40" i="4"/>
  <c r="J40" i="4"/>
  <c r="I40" i="4"/>
  <c r="H40" i="4"/>
  <c r="G40" i="4"/>
  <c r="F40" i="4"/>
  <c r="AB39" i="4"/>
  <c r="AA39" i="4"/>
  <c r="W39" i="4"/>
  <c r="V39" i="4"/>
  <c r="U39" i="4"/>
  <c r="T39" i="4"/>
  <c r="S39" i="4"/>
  <c r="R39" i="4"/>
  <c r="Q39" i="4"/>
  <c r="P39" i="4"/>
  <c r="M39" i="4"/>
  <c r="L39" i="4"/>
  <c r="J39" i="4"/>
  <c r="I39" i="4"/>
  <c r="H39" i="4"/>
  <c r="G39" i="4"/>
  <c r="F39" i="4"/>
  <c r="AB38" i="4"/>
  <c r="AA38" i="4"/>
  <c r="W38" i="4"/>
  <c r="V38" i="4"/>
  <c r="U38" i="4"/>
  <c r="T38" i="4"/>
  <c r="S38" i="4"/>
  <c r="R38" i="4"/>
  <c r="Q38" i="4"/>
  <c r="P38" i="4"/>
  <c r="M38" i="4"/>
  <c r="L38" i="4"/>
  <c r="J38" i="4"/>
  <c r="I38" i="4"/>
  <c r="H38" i="4"/>
  <c r="G38" i="4"/>
  <c r="F38" i="4"/>
  <c r="AB37" i="4"/>
  <c r="AA37" i="4"/>
  <c r="W37" i="4"/>
  <c r="V37" i="4"/>
  <c r="U37" i="4"/>
  <c r="T37" i="4"/>
  <c r="S37" i="4"/>
  <c r="R37" i="4"/>
  <c r="Q37" i="4"/>
  <c r="P37" i="4"/>
  <c r="M37" i="4"/>
  <c r="L37" i="4"/>
  <c r="J37" i="4"/>
  <c r="I37" i="4"/>
  <c r="H37" i="4"/>
  <c r="G37" i="4"/>
  <c r="F37" i="4"/>
  <c r="AB36" i="4"/>
  <c r="AA36" i="4"/>
  <c r="W36" i="4"/>
  <c r="V36" i="4"/>
  <c r="U36" i="4"/>
  <c r="T36" i="4"/>
  <c r="S36" i="4"/>
  <c r="R36" i="4"/>
  <c r="Q36" i="4"/>
  <c r="P36" i="4"/>
  <c r="M36" i="4"/>
  <c r="L36" i="4"/>
  <c r="J36" i="4"/>
  <c r="I36" i="4"/>
  <c r="H36" i="4"/>
  <c r="G36" i="4"/>
  <c r="F36" i="4"/>
  <c r="AB35" i="4"/>
  <c r="AA35" i="4"/>
  <c r="W35" i="4"/>
  <c r="V35" i="4"/>
  <c r="U35" i="4"/>
  <c r="T35" i="4"/>
  <c r="S35" i="4"/>
  <c r="R35" i="4"/>
  <c r="Q35" i="4"/>
  <c r="P35" i="4"/>
  <c r="M35" i="4"/>
  <c r="L35" i="4"/>
  <c r="J35" i="4"/>
  <c r="I35" i="4"/>
  <c r="H35" i="4"/>
  <c r="G35" i="4"/>
  <c r="F35" i="4"/>
  <c r="AB34" i="4"/>
  <c r="AA34" i="4"/>
  <c r="W34" i="4"/>
  <c r="V34" i="4"/>
  <c r="U34" i="4"/>
  <c r="T34" i="4"/>
  <c r="S34" i="4"/>
  <c r="R34" i="4"/>
  <c r="Q34" i="4"/>
  <c r="P34" i="4"/>
  <c r="M34" i="4"/>
  <c r="L34" i="4"/>
  <c r="J34" i="4"/>
  <c r="I34" i="4"/>
  <c r="H34" i="4"/>
  <c r="G34" i="4"/>
  <c r="F34" i="4"/>
  <c r="AB33" i="4"/>
  <c r="AA33" i="4"/>
  <c r="W33" i="4"/>
  <c r="V33" i="4"/>
  <c r="U33" i="4"/>
  <c r="T33" i="4"/>
  <c r="S33" i="4"/>
  <c r="R33" i="4"/>
  <c r="Q33" i="4"/>
  <c r="P33" i="4"/>
  <c r="M33" i="4"/>
  <c r="L33" i="4"/>
  <c r="J33" i="4"/>
  <c r="I33" i="4"/>
  <c r="H33" i="4"/>
  <c r="G33" i="4"/>
  <c r="F33" i="4"/>
  <c r="AB32" i="4"/>
  <c r="AA32" i="4"/>
  <c r="W32" i="4"/>
  <c r="V32" i="4"/>
  <c r="U32" i="4"/>
  <c r="T32" i="4"/>
  <c r="S32" i="4"/>
  <c r="R32" i="4"/>
  <c r="Q32" i="4"/>
  <c r="P32" i="4"/>
  <c r="M32" i="4"/>
  <c r="L32" i="4"/>
  <c r="J32" i="4"/>
  <c r="I32" i="4"/>
  <c r="H32" i="4"/>
  <c r="G32" i="4"/>
  <c r="F32" i="4"/>
  <c r="K32" i="4" s="1"/>
  <c r="AB31" i="4"/>
  <c r="AA31" i="4"/>
  <c r="W31" i="4"/>
  <c r="V31" i="4"/>
  <c r="U31" i="4"/>
  <c r="T31" i="4"/>
  <c r="S31" i="4"/>
  <c r="R31" i="4"/>
  <c r="Q31" i="4"/>
  <c r="P31" i="4"/>
  <c r="M31" i="4"/>
  <c r="L31" i="4"/>
  <c r="J31" i="4"/>
  <c r="I31" i="4"/>
  <c r="H31" i="4"/>
  <c r="G31" i="4"/>
  <c r="F31" i="4"/>
  <c r="AB30" i="4"/>
  <c r="AA30" i="4"/>
  <c r="W30" i="4"/>
  <c r="V30" i="4"/>
  <c r="U30" i="4"/>
  <c r="T30" i="4"/>
  <c r="S30" i="4"/>
  <c r="R30" i="4"/>
  <c r="Q30" i="4"/>
  <c r="P30" i="4"/>
  <c r="M30" i="4"/>
  <c r="L30" i="4"/>
  <c r="J30" i="4"/>
  <c r="I30" i="4"/>
  <c r="H30" i="4"/>
  <c r="G30" i="4"/>
  <c r="F30" i="4"/>
  <c r="AB29" i="4"/>
  <c r="AA29" i="4"/>
  <c r="W29" i="4"/>
  <c r="V29" i="4"/>
  <c r="U29" i="4"/>
  <c r="T29" i="4"/>
  <c r="S29" i="4"/>
  <c r="R29" i="4"/>
  <c r="Q29" i="4"/>
  <c r="P29" i="4"/>
  <c r="M29" i="4"/>
  <c r="L29" i="4"/>
  <c r="J29" i="4"/>
  <c r="I29" i="4"/>
  <c r="H29" i="4"/>
  <c r="G29" i="4"/>
  <c r="F29" i="4"/>
  <c r="AB28" i="4"/>
  <c r="AA28" i="4"/>
  <c r="W28" i="4"/>
  <c r="V28" i="4"/>
  <c r="U28" i="4"/>
  <c r="T28" i="4"/>
  <c r="S28" i="4"/>
  <c r="R28" i="4"/>
  <c r="Q28" i="4"/>
  <c r="P28" i="4"/>
  <c r="M28" i="4"/>
  <c r="L28" i="4"/>
  <c r="J28" i="4"/>
  <c r="I28" i="4"/>
  <c r="H28" i="4"/>
  <c r="G28" i="4"/>
  <c r="F28" i="4"/>
  <c r="AB27" i="4"/>
  <c r="AA27" i="4"/>
  <c r="W27" i="4"/>
  <c r="V27" i="4"/>
  <c r="U27" i="4"/>
  <c r="T27" i="4"/>
  <c r="S27" i="4"/>
  <c r="R27" i="4"/>
  <c r="Q27" i="4"/>
  <c r="P27" i="4"/>
  <c r="M27" i="4"/>
  <c r="L27" i="4"/>
  <c r="J27" i="4"/>
  <c r="K27" i="4" s="1"/>
  <c r="I27" i="4"/>
  <c r="H27" i="4"/>
  <c r="G27" i="4"/>
  <c r="F27" i="4"/>
  <c r="AB26" i="4"/>
  <c r="AA26" i="4"/>
  <c r="W26" i="4"/>
  <c r="V26" i="4"/>
  <c r="U26" i="4"/>
  <c r="T26" i="4"/>
  <c r="S26" i="4"/>
  <c r="R26" i="4"/>
  <c r="Q26" i="4"/>
  <c r="P26" i="4"/>
  <c r="M26" i="4"/>
  <c r="L26" i="4"/>
  <c r="J26" i="4"/>
  <c r="I26" i="4"/>
  <c r="H26" i="4"/>
  <c r="G26" i="4"/>
  <c r="F26" i="4"/>
  <c r="AB25" i="4"/>
  <c r="AA25" i="4"/>
  <c r="W25" i="4"/>
  <c r="V25" i="4"/>
  <c r="U25" i="4"/>
  <c r="T25" i="4"/>
  <c r="S25" i="4"/>
  <c r="R25" i="4"/>
  <c r="Q25" i="4"/>
  <c r="P25" i="4"/>
  <c r="M25" i="4"/>
  <c r="L25" i="4"/>
  <c r="J25" i="4"/>
  <c r="I25" i="4"/>
  <c r="H25" i="4"/>
  <c r="G25" i="4"/>
  <c r="F25" i="4"/>
  <c r="AB24" i="4"/>
  <c r="AA24" i="4"/>
  <c r="W24" i="4"/>
  <c r="V24" i="4"/>
  <c r="U24" i="4"/>
  <c r="T24" i="4"/>
  <c r="S24" i="4"/>
  <c r="R24" i="4"/>
  <c r="Q24" i="4"/>
  <c r="P24" i="4"/>
  <c r="M24" i="4"/>
  <c r="L24" i="4"/>
  <c r="J24" i="4"/>
  <c r="I24" i="4"/>
  <c r="H24" i="4"/>
  <c r="G24" i="4"/>
  <c r="F24" i="4"/>
  <c r="K24" i="4" s="1"/>
  <c r="AB23" i="4"/>
  <c r="AA23" i="4"/>
  <c r="W23" i="4"/>
  <c r="V23" i="4"/>
  <c r="U23" i="4"/>
  <c r="T23" i="4"/>
  <c r="S23" i="4"/>
  <c r="R23" i="4"/>
  <c r="Q23" i="4"/>
  <c r="P23" i="4"/>
  <c r="M23" i="4"/>
  <c r="L23" i="4"/>
  <c r="J23" i="4"/>
  <c r="I23" i="4"/>
  <c r="H23" i="4"/>
  <c r="G23" i="4"/>
  <c r="F23" i="4"/>
  <c r="AB22" i="4"/>
  <c r="AA22" i="4"/>
  <c r="W22" i="4"/>
  <c r="V22" i="4"/>
  <c r="U22" i="4"/>
  <c r="T22" i="4"/>
  <c r="S22" i="4"/>
  <c r="R22" i="4"/>
  <c r="Q22" i="4"/>
  <c r="P22" i="4"/>
  <c r="M22" i="4"/>
  <c r="L22" i="4"/>
  <c r="J22" i="4"/>
  <c r="I22" i="4"/>
  <c r="H22" i="4"/>
  <c r="G22" i="4"/>
  <c r="F22" i="4"/>
  <c r="AB21" i="4"/>
  <c r="AA21" i="4"/>
  <c r="W21" i="4"/>
  <c r="V21" i="4"/>
  <c r="U21" i="4"/>
  <c r="T21" i="4"/>
  <c r="S21" i="4"/>
  <c r="R21" i="4"/>
  <c r="Q21" i="4"/>
  <c r="P21" i="4"/>
  <c r="M21" i="4"/>
  <c r="L21" i="4"/>
  <c r="J21" i="4"/>
  <c r="I21" i="4"/>
  <c r="H21" i="4"/>
  <c r="G21" i="4"/>
  <c r="F21" i="4"/>
  <c r="AB20" i="4"/>
  <c r="AA20" i="4"/>
  <c r="W20" i="4"/>
  <c r="V20" i="4"/>
  <c r="U20" i="4"/>
  <c r="T20" i="4"/>
  <c r="S20" i="4"/>
  <c r="R20" i="4"/>
  <c r="Q20" i="4"/>
  <c r="P20" i="4"/>
  <c r="M20" i="4"/>
  <c r="L20" i="4"/>
  <c r="J20" i="4"/>
  <c r="I20" i="4"/>
  <c r="H20" i="4"/>
  <c r="G20" i="4"/>
  <c r="F20" i="4"/>
  <c r="AB19" i="4"/>
  <c r="AA19" i="4"/>
  <c r="W19" i="4"/>
  <c r="V19" i="4"/>
  <c r="U19" i="4"/>
  <c r="T19" i="4"/>
  <c r="S19" i="4"/>
  <c r="R19" i="4"/>
  <c r="Q19" i="4"/>
  <c r="P19" i="4"/>
  <c r="M19" i="4"/>
  <c r="L19" i="4"/>
  <c r="J19" i="4"/>
  <c r="K19" i="4" s="1"/>
  <c r="I19" i="4"/>
  <c r="H19" i="4"/>
  <c r="G19" i="4"/>
  <c r="F19" i="4"/>
  <c r="AB18" i="4"/>
  <c r="AA18" i="4"/>
  <c r="W18" i="4"/>
  <c r="V18" i="4"/>
  <c r="U18" i="4"/>
  <c r="T18" i="4"/>
  <c r="S18" i="4"/>
  <c r="R18" i="4"/>
  <c r="Q18" i="4"/>
  <c r="P18" i="4"/>
  <c r="M18" i="4"/>
  <c r="L18" i="4"/>
  <c r="J18" i="4"/>
  <c r="I18" i="4"/>
  <c r="H18" i="4"/>
  <c r="G18" i="4"/>
  <c r="F18" i="4"/>
  <c r="K18" i="4" s="1"/>
  <c r="AB17" i="4"/>
  <c r="AA17" i="4"/>
  <c r="W17" i="4"/>
  <c r="V17" i="4"/>
  <c r="U17" i="4"/>
  <c r="T17" i="4"/>
  <c r="S17" i="4"/>
  <c r="R17" i="4"/>
  <c r="Q17" i="4"/>
  <c r="P17" i="4"/>
  <c r="M17" i="4"/>
  <c r="L17" i="4"/>
  <c r="J17" i="4"/>
  <c r="I17" i="4"/>
  <c r="H17" i="4"/>
  <c r="G17" i="4"/>
  <c r="F17" i="4"/>
  <c r="AB16" i="4"/>
  <c r="AA16" i="4"/>
  <c r="W16" i="4"/>
  <c r="V16" i="4"/>
  <c r="U16" i="4"/>
  <c r="T16" i="4"/>
  <c r="S16" i="4"/>
  <c r="R16" i="4"/>
  <c r="Q16" i="4"/>
  <c r="P16" i="4"/>
  <c r="M16" i="4"/>
  <c r="L16" i="4"/>
  <c r="J16" i="4"/>
  <c r="I16" i="4"/>
  <c r="H16" i="4"/>
  <c r="G16" i="4"/>
  <c r="F16" i="4"/>
  <c r="K16" i="4" s="1"/>
  <c r="AB15" i="4"/>
  <c r="AA15" i="4"/>
  <c r="W15" i="4"/>
  <c r="V15" i="4"/>
  <c r="U15" i="4"/>
  <c r="T15" i="4"/>
  <c r="S15" i="4"/>
  <c r="R15" i="4"/>
  <c r="Q15" i="4"/>
  <c r="P15" i="4"/>
  <c r="M15" i="4"/>
  <c r="L15" i="4"/>
  <c r="J15" i="4"/>
  <c r="I15" i="4"/>
  <c r="H15" i="4"/>
  <c r="G15" i="4"/>
  <c r="F15" i="4"/>
  <c r="AB14" i="4"/>
  <c r="AA14" i="4"/>
  <c r="W14" i="4"/>
  <c r="V14" i="4"/>
  <c r="U14" i="4"/>
  <c r="T14" i="4"/>
  <c r="S14" i="4"/>
  <c r="R14" i="4"/>
  <c r="Q14" i="4"/>
  <c r="P14" i="4"/>
  <c r="M14" i="4"/>
  <c r="L14" i="4"/>
  <c r="J14" i="4"/>
  <c r="I14" i="4"/>
  <c r="H14" i="4"/>
  <c r="G14" i="4"/>
  <c r="F14" i="4"/>
  <c r="AB13" i="4"/>
  <c r="AA13" i="4"/>
  <c r="W13" i="4"/>
  <c r="V13" i="4"/>
  <c r="U13" i="4"/>
  <c r="T13" i="4"/>
  <c r="S13" i="4"/>
  <c r="R13" i="4"/>
  <c r="Q13" i="4"/>
  <c r="P13" i="4"/>
  <c r="M13" i="4"/>
  <c r="L13" i="4"/>
  <c r="J13" i="4"/>
  <c r="I13" i="4"/>
  <c r="H13" i="4"/>
  <c r="G13" i="4"/>
  <c r="F13" i="4"/>
  <c r="AB12" i="4"/>
  <c r="AA12" i="4"/>
  <c r="W12" i="4"/>
  <c r="V12" i="4"/>
  <c r="U12" i="4"/>
  <c r="T12" i="4"/>
  <c r="S12" i="4"/>
  <c r="R12" i="4"/>
  <c r="Q12" i="4"/>
  <c r="P12" i="4"/>
  <c r="M12" i="4"/>
  <c r="L12" i="4"/>
  <c r="J12" i="4"/>
  <c r="I12" i="4"/>
  <c r="H12" i="4"/>
  <c r="G12" i="4"/>
  <c r="F12" i="4"/>
  <c r="AB11" i="4"/>
  <c r="AA11" i="4"/>
  <c r="W11" i="4"/>
  <c r="V11" i="4"/>
  <c r="U11" i="4"/>
  <c r="T11" i="4"/>
  <c r="S11" i="4"/>
  <c r="R11" i="4"/>
  <c r="Q11" i="4"/>
  <c r="P11" i="4"/>
  <c r="M11" i="4"/>
  <c r="L11" i="4"/>
  <c r="K11" i="4"/>
  <c r="J11" i="4"/>
  <c r="I11" i="4"/>
  <c r="H11" i="4"/>
  <c r="G11" i="4"/>
  <c r="F11" i="4"/>
  <c r="AB10" i="4"/>
  <c r="AA10" i="4"/>
  <c r="W10" i="4"/>
  <c r="V10" i="4"/>
  <c r="U10" i="4"/>
  <c r="T10" i="4"/>
  <c r="S10" i="4"/>
  <c r="R10" i="4"/>
  <c r="Q10" i="4"/>
  <c r="P10" i="4"/>
  <c r="M10" i="4"/>
  <c r="L10" i="4"/>
  <c r="J10" i="4"/>
  <c r="I10" i="4"/>
  <c r="H10" i="4"/>
  <c r="G10" i="4"/>
  <c r="F10" i="4"/>
  <c r="K10" i="4" s="1"/>
  <c r="AB9" i="4"/>
  <c r="AA9" i="4"/>
  <c r="W9" i="4"/>
  <c r="V9" i="4"/>
  <c r="U9" i="4"/>
  <c r="T9" i="4"/>
  <c r="S9" i="4"/>
  <c r="R9" i="4"/>
  <c r="Q9" i="4"/>
  <c r="P9" i="4"/>
  <c r="M9" i="4"/>
  <c r="L9" i="4"/>
  <c r="J9" i="4"/>
  <c r="I9" i="4"/>
  <c r="H9" i="4"/>
  <c r="G9" i="4"/>
  <c r="F9" i="4"/>
  <c r="AB8" i="4"/>
  <c r="AA8" i="4"/>
  <c r="W8" i="4"/>
  <c r="V8" i="4"/>
  <c r="U8" i="4"/>
  <c r="T8" i="4"/>
  <c r="S8" i="4"/>
  <c r="R8" i="4"/>
  <c r="Q8" i="4"/>
  <c r="P8" i="4"/>
  <c r="M8" i="4"/>
  <c r="L8" i="4"/>
  <c r="J8" i="4"/>
  <c r="I8" i="4"/>
  <c r="H8" i="4"/>
  <c r="G8" i="4"/>
  <c r="F8" i="4"/>
  <c r="K8" i="4" s="1"/>
  <c r="AB7" i="4"/>
  <c r="AA7" i="4"/>
  <c r="W7" i="4"/>
  <c r="V7" i="4"/>
  <c r="U7" i="4"/>
  <c r="T7" i="4"/>
  <c r="S7" i="4"/>
  <c r="R7" i="4"/>
  <c r="Q7" i="4"/>
  <c r="P7" i="4"/>
  <c r="M7" i="4"/>
  <c r="L7" i="4"/>
  <c r="J7" i="4"/>
  <c r="I7" i="4"/>
  <c r="H7" i="4"/>
  <c r="G7" i="4"/>
  <c r="K7" i="4" s="1"/>
  <c r="F7" i="4"/>
  <c r="AB5" i="4"/>
  <c r="AA5" i="4"/>
  <c r="W5" i="4"/>
  <c r="V5" i="4"/>
  <c r="U5" i="4"/>
  <c r="T5" i="4"/>
  <c r="S5" i="4"/>
  <c r="R5" i="4"/>
  <c r="Q5" i="4"/>
  <c r="P5" i="4"/>
  <c r="M5" i="4"/>
  <c r="L5" i="4"/>
  <c r="J5" i="4"/>
  <c r="I5" i="4"/>
  <c r="H5" i="4"/>
  <c r="G5" i="4"/>
  <c r="F5" i="4"/>
  <c r="AB4" i="4"/>
  <c r="AA4" i="4"/>
  <c r="W4" i="4"/>
  <c r="V4" i="4"/>
  <c r="U4" i="4"/>
  <c r="T4" i="4"/>
  <c r="S4" i="4"/>
  <c r="R4" i="4"/>
  <c r="Q4" i="4"/>
  <c r="P4" i="4"/>
  <c r="M4" i="4"/>
  <c r="L4" i="4"/>
  <c r="J4" i="4"/>
  <c r="I4" i="4"/>
  <c r="H4" i="4"/>
  <c r="G4" i="4"/>
  <c r="F4" i="4"/>
  <c r="AB3" i="4"/>
  <c r="AA3" i="4"/>
  <c r="W3" i="4"/>
  <c r="V3" i="4"/>
  <c r="U3" i="4"/>
  <c r="T3" i="4"/>
  <c r="S3" i="4"/>
  <c r="R3" i="4"/>
  <c r="Q3" i="4"/>
  <c r="P3" i="4"/>
  <c r="M3" i="4"/>
  <c r="L3" i="4"/>
  <c r="J3" i="4"/>
  <c r="I3" i="4"/>
  <c r="H3" i="4"/>
  <c r="G3" i="4"/>
  <c r="F3" i="4"/>
  <c r="AB173" i="3"/>
  <c r="AA173" i="3"/>
  <c r="W173" i="3"/>
  <c r="V173" i="3"/>
  <c r="U173" i="3"/>
  <c r="T173" i="3"/>
  <c r="S173" i="3"/>
  <c r="R173" i="3"/>
  <c r="Q173" i="3"/>
  <c r="P173" i="3"/>
  <c r="M173" i="3"/>
  <c r="L173" i="3"/>
  <c r="J173" i="3"/>
  <c r="I173" i="3"/>
  <c r="H173" i="3"/>
  <c r="G173" i="3"/>
  <c r="F173" i="3"/>
  <c r="AB172" i="3"/>
  <c r="AA172" i="3"/>
  <c r="W172" i="3"/>
  <c r="V172" i="3"/>
  <c r="U172" i="3"/>
  <c r="T172" i="3"/>
  <c r="S172" i="3"/>
  <c r="R172" i="3"/>
  <c r="Q172" i="3"/>
  <c r="P172" i="3"/>
  <c r="M172" i="3"/>
  <c r="L172" i="3"/>
  <c r="J172" i="3"/>
  <c r="I172" i="3"/>
  <c r="H172" i="3"/>
  <c r="G172" i="3"/>
  <c r="F172" i="3"/>
  <c r="AB171" i="3"/>
  <c r="AA171" i="3"/>
  <c r="W171" i="3"/>
  <c r="V171" i="3"/>
  <c r="U171" i="3"/>
  <c r="T171" i="3"/>
  <c r="S171" i="3"/>
  <c r="R171" i="3"/>
  <c r="Q171" i="3"/>
  <c r="P171" i="3"/>
  <c r="M171" i="3"/>
  <c r="L171" i="3"/>
  <c r="J171" i="3"/>
  <c r="I171" i="3"/>
  <c r="H171" i="3"/>
  <c r="G171" i="3"/>
  <c r="F171" i="3"/>
  <c r="AB169" i="3"/>
  <c r="AA169" i="3"/>
  <c r="W169" i="3"/>
  <c r="V169" i="3"/>
  <c r="U169" i="3"/>
  <c r="T169" i="3"/>
  <c r="S169" i="3"/>
  <c r="R169" i="3"/>
  <c r="Q169" i="3"/>
  <c r="P169" i="3"/>
  <c r="M169" i="3"/>
  <c r="L169" i="3"/>
  <c r="J169" i="3"/>
  <c r="I169" i="3"/>
  <c r="H169" i="3"/>
  <c r="G169" i="3"/>
  <c r="K169" i="3" s="1"/>
  <c r="F169" i="3"/>
  <c r="AB168" i="3"/>
  <c r="AA168" i="3"/>
  <c r="W168" i="3"/>
  <c r="V168" i="3"/>
  <c r="U168" i="3"/>
  <c r="T168" i="3"/>
  <c r="S168" i="3"/>
  <c r="R168" i="3"/>
  <c r="Q168" i="3"/>
  <c r="P168" i="3"/>
  <c r="M168" i="3"/>
  <c r="L168" i="3"/>
  <c r="J168" i="3"/>
  <c r="I168" i="3"/>
  <c r="H168" i="3"/>
  <c r="G168" i="3"/>
  <c r="F168" i="3"/>
  <c r="AB167" i="3"/>
  <c r="AA167" i="3"/>
  <c r="W167" i="3"/>
  <c r="V167" i="3"/>
  <c r="U167" i="3"/>
  <c r="T167" i="3"/>
  <c r="S167" i="3"/>
  <c r="R167" i="3"/>
  <c r="Q167" i="3"/>
  <c r="P167" i="3"/>
  <c r="M167" i="3"/>
  <c r="L167" i="3"/>
  <c r="J167" i="3"/>
  <c r="I167" i="3"/>
  <c r="H167" i="3"/>
  <c r="G167" i="3"/>
  <c r="F167" i="3"/>
  <c r="AB166" i="3"/>
  <c r="AA166" i="3"/>
  <c r="W166" i="3"/>
  <c r="V166" i="3"/>
  <c r="U166" i="3"/>
  <c r="T166" i="3"/>
  <c r="S166" i="3"/>
  <c r="R166" i="3"/>
  <c r="Q166" i="3"/>
  <c r="P166" i="3"/>
  <c r="M166" i="3"/>
  <c r="L166" i="3"/>
  <c r="J166" i="3"/>
  <c r="I166" i="3"/>
  <c r="H166" i="3"/>
  <c r="G166" i="3"/>
  <c r="F166" i="3"/>
  <c r="AB165" i="3"/>
  <c r="AA165" i="3"/>
  <c r="W165" i="3"/>
  <c r="V165" i="3"/>
  <c r="U165" i="3"/>
  <c r="T165" i="3"/>
  <c r="S165" i="3"/>
  <c r="R165" i="3"/>
  <c r="Q165" i="3"/>
  <c r="P165" i="3"/>
  <c r="M165" i="3"/>
  <c r="L165" i="3"/>
  <c r="J165" i="3"/>
  <c r="I165" i="3"/>
  <c r="H165" i="3"/>
  <c r="G165" i="3"/>
  <c r="F165" i="3"/>
  <c r="AB163" i="3"/>
  <c r="AA163" i="3"/>
  <c r="W163" i="3"/>
  <c r="V163" i="3"/>
  <c r="U163" i="3"/>
  <c r="T163" i="3"/>
  <c r="S163" i="3"/>
  <c r="R163" i="3"/>
  <c r="Q163" i="3"/>
  <c r="P163" i="3"/>
  <c r="M163" i="3"/>
  <c r="L163" i="3"/>
  <c r="J163" i="3"/>
  <c r="I163" i="3"/>
  <c r="H163" i="3"/>
  <c r="G163" i="3"/>
  <c r="F163" i="3"/>
  <c r="AB162" i="3"/>
  <c r="AA162" i="3"/>
  <c r="W162" i="3"/>
  <c r="V162" i="3"/>
  <c r="U162" i="3"/>
  <c r="T162" i="3"/>
  <c r="S162" i="3"/>
  <c r="R162" i="3"/>
  <c r="Q162" i="3"/>
  <c r="P162" i="3"/>
  <c r="M162" i="3"/>
  <c r="L162" i="3"/>
  <c r="J162" i="3"/>
  <c r="I162" i="3"/>
  <c r="H162" i="3"/>
  <c r="G162" i="3"/>
  <c r="F162" i="3"/>
  <c r="AB161" i="3"/>
  <c r="AA161" i="3"/>
  <c r="W161" i="3"/>
  <c r="V161" i="3"/>
  <c r="U161" i="3"/>
  <c r="T161" i="3"/>
  <c r="S161" i="3"/>
  <c r="R161" i="3"/>
  <c r="Q161" i="3"/>
  <c r="P161" i="3"/>
  <c r="M161" i="3"/>
  <c r="L161" i="3"/>
  <c r="J161" i="3"/>
  <c r="I161" i="3"/>
  <c r="H161" i="3"/>
  <c r="G161" i="3"/>
  <c r="F161" i="3"/>
  <c r="AB159" i="3"/>
  <c r="AA159" i="3"/>
  <c r="W159" i="3"/>
  <c r="V159" i="3"/>
  <c r="U159" i="3"/>
  <c r="T159" i="3"/>
  <c r="S159" i="3"/>
  <c r="R159" i="3"/>
  <c r="Q159" i="3"/>
  <c r="P159" i="3"/>
  <c r="M159" i="3"/>
  <c r="L159" i="3"/>
  <c r="J159" i="3"/>
  <c r="I159" i="3"/>
  <c r="H159" i="3"/>
  <c r="G159" i="3"/>
  <c r="F159" i="3"/>
  <c r="AB158" i="3"/>
  <c r="AA158" i="3"/>
  <c r="W158" i="3"/>
  <c r="V158" i="3"/>
  <c r="U158" i="3"/>
  <c r="T158" i="3"/>
  <c r="S158" i="3"/>
  <c r="R158" i="3"/>
  <c r="Q158" i="3"/>
  <c r="P158" i="3"/>
  <c r="M158" i="3"/>
  <c r="L158" i="3"/>
  <c r="J158" i="3"/>
  <c r="I158" i="3"/>
  <c r="H158" i="3"/>
  <c r="G158" i="3"/>
  <c r="F158" i="3"/>
  <c r="AB157" i="3"/>
  <c r="AA157" i="3"/>
  <c r="W157" i="3"/>
  <c r="V157" i="3"/>
  <c r="U157" i="3"/>
  <c r="T157" i="3"/>
  <c r="S157" i="3"/>
  <c r="R157" i="3"/>
  <c r="Q157" i="3"/>
  <c r="P157" i="3"/>
  <c r="M157" i="3"/>
  <c r="L157" i="3"/>
  <c r="J157" i="3"/>
  <c r="I157" i="3"/>
  <c r="H157" i="3"/>
  <c r="G157" i="3"/>
  <c r="F157" i="3"/>
  <c r="AB156" i="3"/>
  <c r="AA156" i="3"/>
  <c r="W156" i="3"/>
  <c r="V156" i="3"/>
  <c r="U156" i="3"/>
  <c r="T156" i="3"/>
  <c r="S156" i="3"/>
  <c r="R156" i="3"/>
  <c r="Q156" i="3"/>
  <c r="P156" i="3"/>
  <c r="M156" i="3"/>
  <c r="L156" i="3"/>
  <c r="J156" i="3"/>
  <c r="I156" i="3"/>
  <c r="H156" i="3"/>
  <c r="G156" i="3"/>
  <c r="F156" i="3"/>
  <c r="AB155" i="3"/>
  <c r="AA155" i="3"/>
  <c r="W155" i="3"/>
  <c r="V155" i="3"/>
  <c r="U155" i="3"/>
  <c r="T155" i="3"/>
  <c r="S155" i="3"/>
  <c r="R155" i="3"/>
  <c r="Q155" i="3"/>
  <c r="P155" i="3"/>
  <c r="M155" i="3"/>
  <c r="L155" i="3"/>
  <c r="J155" i="3"/>
  <c r="I155" i="3"/>
  <c r="H155" i="3"/>
  <c r="G155" i="3"/>
  <c r="F155" i="3"/>
  <c r="AB154" i="3"/>
  <c r="AA154" i="3"/>
  <c r="W154" i="3"/>
  <c r="V154" i="3"/>
  <c r="U154" i="3"/>
  <c r="T154" i="3"/>
  <c r="S154" i="3"/>
  <c r="R154" i="3"/>
  <c r="Q154" i="3"/>
  <c r="P154" i="3"/>
  <c r="M154" i="3"/>
  <c r="L154" i="3"/>
  <c r="J154" i="3"/>
  <c r="I154" i="3"/>
  <c r="H154" i="3"/>
  <c r="G154" i="3"/>
  <c r="F154" i="3"/>
  <c r="AB153" i="3"/>
  <c r="AA153" i="3"/>
  <c r="W153" i="3"/>
  <c r="V153" i="3"/>
  <c r="U153" i="3"/>
  <c r="T153" i="3"/>
  <c r="S153" i="3"/>
  <c r="R153" i="3"/>
  <c r="Q153" i="3"/>
  <c r="P153" i="3"/>
  <c r="M153" i="3"/>
  <c r="L153" i="3"/>
  <c r="J153" i="3"/>
  <c r="I153" i="3"/>
  <c r="H153" i="3"/>
  <c r="G153" i="3"/>
  <c r="F153" i="3"/>
  <c r="AB152" i="3"/>
  <c r="AA152" i="3"/>
  <c r="W152" i="3"/>
  <c r="V152" i="3"/>
  <c r="U152" i="3"/>
  <c r="T152" i="3"/>
  <c r="S152" i="3"/>
  <c r="R152" i="3"/>
  <c r="Q152" i="3"/>
  <c r="P152" i="3"/>
  <c r="M152" i="3"/>
  <c r="L152" i="3"/>
  <c r="J152" i="3"/>
  <c r="I152" i="3"/>
  <c r="H152" i="3"/>
  <c r="G152" i="3"/>
  <c r="F152" i="3"/>
  <c r="AB151" i="3"/>
  <c r="AA151" i="3"/>
  <c r="W151" i="3"/>
  <c r="V151" i="3"/>
  <c r="U151" i="3"/>
  <c r="T151" i="3"/>
  <c r="S151" i="3"/>
  <c r="R151" i="3"/>
  <c r="Q151" i="3"/>
  <c r="P151" i="3"/>
  <c r="M151" i="3"/>
  <c r="L151" i="3"/>
  <c r="J151" i="3"/>
  <c r="I151" i="3"/>
  <c r="H151" i="3"/>
  <c r="G151" i="3"/>
  <c r="F151" i="3"/>
  <c r="AB150" i="3"/>
  <c r="AA150" i="3"/>
  <c r="W150" i="3"/>
  <c r="V150" i="3"/>
  <c r="U150" i="3"/>
  <c r="T150" i="3"/>
  <c r="S150" i="3"/>
  <c r="R150" i="3"/>
  <c r="Q150" i="3"/>
  <c r="P150" i="3"/>
  <c r="M150" i="3"/>
  <c r="L150" i="3"/>
  <c r="J150" i="3"/>
  <c r="I150" i="3"/>
  <c r="H150" i="3"/>
  <c r="G150" i="3"/>
  <c r="F150" i="3"/>
  <c r="AB149" i="3"/>
  <c r="AA149" i="3"/>
  <c r="W149" i="3"/>
  <c r="V149" i="3"/>
  <c r="U149" i="3"/>
  <c r="T149" i="3"/>
  <c r="S149" i="3"/>
  <c r="R149" i="3"/>
  <c r="Q149" i="3"/>
  <c r="P149" i="3"/>
  <c r="M149" i="3"/>
  <c r="L149" i="3"/>
  <c r="J149" i="3"/>
  <c r="I149" i="3"/>
  <c r="H149" i="3"/>
  <c r="G149" i="3"/>
  <c r="F149" i="3"/>
  <c r="AB148" i="3"/>
  <c r="AA148" i="3"/>
  <c r="W148" i="3"/>
  <c r="V148" i="3"/>
  <c r="U148" i="3"/>
  <c r="T148" i="3"/>
  <c r="S148" i="3"/>
  <c r="R148" i="3"/>
  <c r="Q148" i="3"/>
  <c r="P148" i="3"/>
  <c r="M148" i="3"/>
  <c r="L148" i="3"/>
  <c r="J148" i="3"/>
  <c r="I148" i="3"/>
  <c r="H148" i="3"/>
  <c r="G148" i="3"/>
  <c r="F148" i="3"/>
  <c r="AB147" i="3"/>
  <c r="AA147" i="3"/>
  <c r="W147" i="3"/>
  <c r="V147" i="3"/>
  <c r="U147" i="3"/>
  <c r="T147" i="3"/>
  <c r="S147" i="3"/>
  <c r="R147" i="3"/>
  <c r="Q147" i="3"/>
  <c r="P147" i="3"/>
  <c r="M147" i="3"/>
  <c r="L147" i="3"/>
  <c r="J147" i="3"/>
  <c r="I147" i="3"/>
  <c r="H147" i="3"/>
  <c r="G147" i="3"/>
  <c r="F147" i="3"/>
  <c r="AB146" i="3"/>
  <c r="AA146" i="3"/>
  <c r="W146" i="3"/>
  <c r="V146" i="3"/>
  <c r="U146" i="3"/>
  <c r="T146" i="3"/>
  <c r="S146" i="3"/>
  <c r="R146" i="3"/>
  <c r="Q146" i="3"/>
  <c r="P146" i="3"/>
  <c r="M146" i="3"/>
  <c r="L146" i="3"/>
  <c r="J146" i="3"/>
  <c r="I146" i="3"/>
  <c r="H146" i="3"/>
  <c r="G146" i="3"/>
  <c r="F146" i="3"/>
  <c r="AB145" i="3"/>
  <c r="AA145" i="3"/>
  <c r="W145" i="3"/>
  <c r="V145" i="3"/>
  <c r="U145" i="3"/>
  <c r="T145" i="3"/>
  <c r="S145" i="3"/>
  <c r="R145" i="3"/>
  <c r="Q145" i="3"/>
  <c r="P145" i="3"/>
  <c r="M145" i="3"/>
  <c r="L145" i="3"/>
  <c r="J145" i="3"/>
  <c r="I145" i="3"/>
  <c r="H145" i="3"/>
  <c r="G145" i="3"/>
  <c r="F145" i="3"/>
  <c r="AB143" i="3"/>
  <c r="AA143" i="3"/>
  <c r="W143" i="3"/>
  <c r="V143" i="3"/>
  <c r="U143" i="3"/>
  <c r="T143" i="3"/>
  <c r="S143" i="3"/>
  <c r="R143" i="3"/>
  <c r="Q143" i="3"/>
  <c r="P143" i="3"/>
  <c r="M143" i="3"/>
  <c r="L143" i="3"/>
  <c r="J143" i="3"/>
  <c r="I143" i="3"/>
  <c r="H143" i="3"/>
  <c r="G143" i="3"/>
  <c r="F143" i="3"/>
  <c r="AB142" i="3"/>
  <c r="AA142" i="3"/>
  <c r="W142" i="3"/>
  <c r="V142" i="3"/>
  <c r="U142" i="3"/>
  <c r="T142" i="3"/>
  <c r="S142" i="3"/>
  <c r="R142" i="3"/>
  <c r="Q142" i="3"/>
  <c r="P142" i="3"/>
  <c r="M142" i="3"/>
  <c r="L142" i="3"/>
  <c r="J142" i="3"/>
  <c r="I142" i="3"/>
  <c r="H142" i="3"/>
  <c r="G142" i="3"/>
  <c r="F142" i="3"/>
  <c r="AB141" i="3"/>
  <c r="AA141" i="3"/>
  <c r="W141" i="3"/>
  <c r="V141" i="3"/>
  <c r="U141" i="3"/>
  <c r="T141" i="3"/>
  <c r="S141" i="3"/>
  <c r="R141" i="3"/>
  <c r="Q141" i="3"/>
  <c r="P141" i="3"/>
  <c r="M141" i="3"/>
  <c r="L141" i="3"/>
  <c r="J141" i="3"/>
  <c r="I141" i="3"/>
  <c r="H141" i="3"/>
  <c r="G141" i="3"/>
  <c r="F141" i="3"/>
  <c r="AB140" i="3"/>
  <c r="AA140" i="3"/>
  <c r="W140" i="3"/>
  <c r="V140" i="3"/>
  <c r="U140" i="3"/>
  <c r="T140" i="3"/>
  <c r="S140" i="3"/>
  <c r="R140" i="3"/>
  <c r="Q140" i="3"/>
  <c r="P140" i="3"/>
  <c r="M140" i="3"/>
  <c r="L140" i="3"/>
  <c r="J140" i="3"/>
  <c r="I140" i="3"/>
  <c r="H140" i="3"/>
  <c r="G140" i="3"/>
  <c r="F140" i="3"/>
  <c r="AB139" i="3"/>
  <c r="AA139" i="3"/>
  <c r="W139" i="3"/>
  <c r="V139" i="3"/>
  <c r="U139" i="3"/>
  <c r="T139" i="3"/>
  <c r="S139" i="3"/>
  <c r="R139" i="3"/>
  <c r="Q139" i="3"/>
  <c r="P139" i="3"/>
  <c r="M139" i="3"/>
  <c r="L139" i="3"/>
  <c r="J139" i="3"/>
  <c r="I139" i="3"/>
  <c r="H139" i="3"/>
  <c r="G139" i="3"/>
  <c r="F139" i="3"/>
  <c r="AB138" i="3"/>
  <c r="AA138" i="3"/>
  <c r="W138" i="3"/>
  <c r="V138" i="3"/>
  <c r="U138" i="3"/>
  <c r="T138" i="3"/>
  <c r="S138" i="3"/>
  <c r="R138" i="3"/>
  <c r="Q138" i="3"/>
  <c r="P138" i="3"/>
  <c r="M138" i="3"/>
  <c r="L138" i="3"/>
  <c r="J138" i="3"/>
  <c r="I138" i="3"/>
  <c r="H138" i="3"/>
  <c r="G138" i="3"/>
  <c r="F138" i="3"/>
  <c r="AB137" i="3"/>
  <c r="AA137" i="3"/>
  <c r="W137" i="3"/>
  <c r="V137" i="3"/>
  <c r="U137" i="3"/>
  <c r="T137" i="3"/>
  <c r="S137" i="3"/>
  <c r="R137" i="3"/>
  <c r="Q137" i="3"/>
  <c r="P137" i="3"/>
  <c r="M137" i="3"/>
  <c r="L137" i="3"/>
  <c r="J137" i="3"/>
  <c r="I137" i="3"/>
  <c r="H137" i="3"/>
  <c r="G137" i="3"/>
  <c r="F137" i="3"/>
  <c r="AB136" i="3"/>
  <c r="AA136" i="3"/>
  <c r="W136" i="3"/>
  <c r="V136" i="3"/>
  <c r="U136" i="3"/>
  <c r="T136" i="3"/>
  <c r="S136" i="3"/>
  <c r="R136" i="3"/>
  <c r="Q136" i="3"/>
  <c r="P136" i="3"/>
  <c r="M136" i="3"/>
  <c r="L136" i="3"/>
  <c r="J136" i="3"/>
  <c r="I136" i="3"/>
  <c r="H136" i="3"/>
  <c r="G136" i="3"/>
  <c r="F136" i="3"/>
  <c r="AB135" i="3"/>
  <c r="AA135" i="3"/>
  <c r="W135" i="3"/>
  <c r="V135" i="3"/>
  <c r="U135" i="3"/>
  <c r="T135" i="3"/>
  <c r="S135" i="3"/>
  <c r="R135" i="3"/>
  <c r="Q135" i="3"/>
  <c r="P135" i="3"/>
  <c r="M135" i="3"/>
  <c r="L135" i="3"/>
  <c r="J135" i="3"/>
  <c r="I135" i="3"/>
  <c r="H135" i="3"/>
  <c r="G135" i="3"/>
  <c r="F135" i="3"/>
  <c r="AB134" i="3"/>
  <c r="AA134" i="3"/>
  <c r="W134" i="3"/>
  <c r="V134" i="3"/>
  <c r="U134" i="3"/>
  <c r="T134" i="3"/>
  <c r="S134" i="3"/>
  <c r="R134" i="3"/>
  <c r="Q134" i="3"/>
  <c r="P134" i="3"/>
  <c r="M134" i="3"/>
  <c r="L134" i="3"/>
  <c r="J134" i="3"/>
  <c r="I134" i="3"/>
  <c r="H134" i="3"/>
  <c r="G134" i="3"/>
  <c r="F134" i="3"/>
  <c r="K134" i="3" s="1"/>
  <c r="AB133" i="3"/>
  <c r="AA133" i="3"/>
  <c r="W133" i="3"/>
  <c r="V133" i="3"/>
  <c r="U133" i="3"/>
  <c r="T133" i="3"/>
  <c r="S133" i="3"/>
  <c r="R133" i="3"/>
  <c r="Q133" i="3"/>
  <c r="P133" i="3"/>
  <c r="M133" i="3"/>
  <c r="L133" i="3"/>
  <c r="J133" i="3"/>
  <c r="I133" i="3"/>
  <c r="H133" i="3"/>
  <c r="G133" i="3"/>
  <c r="F133" i="3"/>
  <c r="AB132" i="3"/>
  <c r="AA132" i="3"/>
  <c r="W132" i="3"/>
  <c r="V132" i="3"/>
  <c r="U132" i="3"/>
  <c r="T132" i="3"/>
  <c r="S132" i="3"/>
  <c r="R132" i="3"/>
  <c r="Q132" i="3"/>
  <c r="P132" i="3"/>
  <c r="M132" i="3"/>
  <c r="L132" i="3"/>
  <c r="J132" i="3"/>
  <c r="I132" i="3"/>
  <c r="H132" i="3"/>
  <c r="G132" i="3"/>
  <c r="F132" i="3"/>
  <c r="AB131" i="3"/>
  <c r="AA131" i="3"/>
  <c r="W131" i="3"/>
  <c r="V131" i="3"/>
  <c r="U131" i="3"/>
  <c r="T131" i="3"/>
  <c r="S131" i="3"/>
  <c r="R131" i="3"/>
  <c r="Q131" i="3"/>
  <c r="P131" i="3"/>
  <c r="M131" i="3"/>
  <c r="L131" i="3"/>
  <c r="J131" i="3"/>
  <c r="I131" i="3"/>
  <c r="H131" i="3"/>
  <c r="G131" i="3"/>
  <c r="F131" i="3"/>
  <c r="AB130" i="3"/>
  <c r="AA130" i="3"/>
  <c r="W130" i="3"/>
  <c r="V130" i="3"/>
  <c r="U130" i="3"/>
  <c r="T130" i="3"/>
  <c r="S130" i="3"/>
  <c r="R130" i="3"/>
  <c r="Q130" i="3"/>
  <c r="P130" i="3"/>
  <c r="M130" i="3"/>
  <c r="L130" i="3"/>
  <c r="J130" i="3"/>
  <c r="I130" i="3"/>
  <c r="H130" i="3"/>
  <c r="G130" i="3"/>
  <c r="F130" i="3"/>
  <c r="AB129" i="3"/>
  <c r="AA129" i="3"/>
  <c r="W129" i="3"/>
  <c r="V129" i="3"/>
  <c r="U129" i="3"/>
  <c r="T129" i="3"/>
  <c r="S129" i="3"/>
  <c r="R129" i="3"/>
  <c r="Q129" i="3"/>
  <c r="P129" i="3"/>
  <c r="M129" i="3"/>
  <c r="L129" i="3"/>
  <c r="J129" i="3"/>
  <c r="K129" i="3" s="1"/>
  <c r="I129" i="3"/>
  <c r="H129" i="3"/>
  <c r="G129" i="3"/>
  <c r="F129" i="3"/>
  <c r="AB128" i="3"/>
  <c r="AA128" i="3"/>
  <c r="W128" i="3"/>
  <c r="V128" i="3"/>
  <c r="U128" i="3"/>
  <c r="T128" i="3"/>
  <c r="S128" i="3"/>
  <c r="R128" i="3"/>
  <c r="Q128" i="3"/>
  <c r="P128" i="3"/>
  <c r="M128" i="3"/>
  <c r="L128" i="3"/>
  <c r="J128" i="3"/>
  <c r="I128" i="3"/>
  <c r="H128" i="3"/>
  <c r="G128" i="3"/>
  <c r="F128" i="3"/>
  <c r="AB126" i="3"/>
  <c r="AA126" i="3"/>
  <c r="W126" i="3"/>
  <c r="V126" i="3"/>
  <c r="U126" i="3"/>
  <c r="T126" i="3"/>
  <c r="S126" i="3"/>
  <c r="R126" i="3"/>
  <c r="Q126" i="3"/>
  <c r="P126" i="3"/>
  <c r="M126" i="3"/>
  <c r="L126" i="3"/>
  <c r="J126" i="3"/>
  <c r="I126" i="3"/>
  <c r="H126" i="3"/>
  <c r="G126" i="3"/>
  <c r="F126" i="3"/>
  <c r="AB125" i="3"/>
  <c r="AA125" i="3"/>
  <c r="W125" i="3"/>
  <c r="V125" i="3"/>
  <c r="U125" i="3"/>
  <c r="T125" i="3"/>
  <c r="S125" i="3"/>
  <c r="R125" i="3"/>
  <c r="Q125" i="3"/>
  <c r="P125" i="3"/>
  <c r="M125" i="3"/>
  <c r="L125" i="3"/>
  <c r="J125" i="3"/>
  <c r="I125" i="3"/>
  <c r="H125" i="3"/>
  <c r="G125" i="3"/>
  <c r="F125" i="3"/>
  <c r="AB124" i="3"/>
  <c r="AA124" i="3"/>
  <c r="W124" i="3"/>
  <c r="V124" i="3"/>
  <c r="U124" i="3"/>
  <c r="T124" i="3"/>
  <c r="S124" i="3"/>
  <c r="R124" i="3"/>
  <c r="Q124" i="3"/>
  <c r="P124" i="3"/>
  <c r="M124" i="3"/>
  <c r="L124" i="3"/>
  <c r="J124" i="3"/>
  <c r="I124" i="3"/>
  <c r="H124" i="3"/>
  <c r="G124" i="3"/>
  <c r="F124" i="3"/>
  <c r="AB123" i="3"/>
  <c r="AA123" i="3"/>
  <c r="W123" i="3"/>
  <c r="V123" i="3"/>
  <c r="U123" i="3"/>
  <c r="T123" i="3"/>
  <c r="S123" i="3"/>
  <c r="R123" i="3"/>
  <c r="Q123" i="3"/>
  <c r="P123" i="3"/>
  <c r="M123" i="3"/>
  <c r="L123" i="3"/>
  <c r="J123" i="3"/>
  <c r="I123" i="3"/>
  <c r="H123" i="3"/>
  <c r="G123" i="3"/>
  <c r="F123" i="3"/>
  <c r="AB122" i="3"/>
  <c r="AA122" i="3"/>
  <c r="W122" i="3"/>
  <c r="V122" i="3"/>
  <c r="U122" i="3"/>
  <c r="T122" i="3"/>
  <c r="S122" i="3"/>
  <c r="R122" i="3"/>
  <c r="Q122" i="3"/>
  <c r="P122" i="3"/>
  <c r="M122" i="3"/>
  <c r="L122" i="3"/>
  <c r="J122" i="3"/>
  <c r="I122" i="3"/>
  <c r="H122" i="3"/>
  <c r="G122" i="3"/>
  <c r="F122" i="3"/>
  <c r="AB121" i="3"/>
  <c r="AA121" i="3"/>
  <c r="W121" i="3"/>
  <c r="V121" i="3"/>
  <c r="U121" i="3"/>
  <c r="T121" i="3"/>
  <c r="S121" i="3"/>
  <c r="R121" i="3"/>
  <c r="Q121" i="3"/>
  <c r="P121" i="3"/>
  <c r="M121" i="3"/>
  <c r="L121" i="3"/>
  <c r="J121" i="3"/>
  <c r="I121" i="3"/>
  <c r="H121" i="3"/>
  <c r="G121" i="3"/>
  <c r="F121" i="3"/>
  <c r="AB120" i="3"/>
  <c r="AA120" i="3"/>
  <c r="W120" i="3"/>
  <c r="V120" i="3"/>
  <c r="U120" i="3"/>
  <c r="T120" i="3"/>
  <c r="S120" i="3"/>
  <c r="R120" i="3"/>
  <c r="Q120" i="3"/>
  <c r="P120" i="3"/>
  <c r="M120" i="3"/>
  <c r="L120" i="3"/>
  <c r="J120" i="3"/>
  <c r="K120" i="3" s="1"/>
  <c r="I120" i="3"/>
  <c r="H120" i="3"/>
  <c r="G120" i="3"/>
  <c r="F120" i="3"/>
  <c r="AB119" i="3"/>
  <c r="AA119" i="3"/>
  <c r="W119" i="3"/>
  <c r="V119" i="3"/>
  <c r="U119" i="3"/>
  <c r="T119" i="3"/>
  <c r="S119" i="3"/>
  <c r="R119" i="3"/>
  <c r="Q119" i="3"/>
  <c r="P119" i="3"/>
  <c r="M119" i="3"/>
  <c r="L119" i="3"/>
  <c r="J119" i="3"/>
  <c r="I119" i="3"/>
  <c r="H119" i="3"/>
  <c r="G119" i="3"/>
  <c r="F119" i="3"/>
  <c r="K119" i="3" s="1"/>
  <c r="AB118" i="3"/>
  <c r="AA118" i="3"/>
  <c r="W118" i="3"/>
  <c r="V118" i="3"/>
  <c r="U118" i="3"/>
  <c r="T118" i="3"/>
  <c r="S118" i="3"/>
  <c r="R118" i="3"/>
  <c r="Q118" i="3"/>
  <c r="P118" i="3"/>
  <c r="M118" i="3"/>
  <c r="L118" i="3"/>
  <c r="J118" i="3"/>
  <c r="I118" i="3"/>
  <c r="H118" i="3"/>
  <c r="G118" i="3"/>
  <c r="F118" i="3"/>
  <c r="AB116" i="3"/>
  <c r="AA116" i="3"/>
  <c r="W116" i="3"/>
  <c r="V116" i="3"/>
  <c r="U116" i="3"/>
  <c r="T116" i="3"/>
  <c r="S116" i="3"/>
  <c r="R116" i="3"/>
  <c r="Q116" i="3"/>
  <c r="P116" i="3"/>
  <c r="M116" i="3"/>
  <c r="L116" i="3"/>
  <c r="J116" i="3"/>
  <c r="I116" i="3"/>
  <c r="H116" i="3"/>
  <c r="G116" i="3"/>
  <c r="F116" i="3"/>
  <c r="K116" i="3" s="1"/>
  <c r="AB115" i="3"/>
  <c r="AA115" i="3"/>
  <c r="W115" i="3"/>
  <c r="V115" i="3"/>
  <c r="U115" i="3"/>
  <c r="T115" i="3"/>
  <c r="S115" i="3"/>
  <c r="R115" i="3"/>
  <c r="Q115" i="3"/>
  <c r="P115" i="3"/>
  <c r="M115" i="3"/>
  <c r="L115" i="3"/>
  <c r="J115" i="3"/>
  <c r="I115" i="3"/>
  <c r="H115" i="3"/>
  <c r="G115" i="3"/>
  <c r="F115" i="3"/>
  <c r="AB114" i="3"/>
  <c r="AA114" i="3"/>
  <c r="W114" i="3"/>
  <c r="V114" i="3"/>
  <c r="U114" i="3"/>
  <c r="T114" i="3"/>
  <c r="S114" i="3"/>
  <c r="R114" i="3"/>
  <c r="Q114" i="3"/>
  <c r="P114" i="3"/>
  <c r="M114" i="3"/>
  <c r="L114" i="3"/>
  <c r="J114" i="3"/>
  <c r="I114" i="3"/>
  <c r="H114" i="3"/>
  <c r="G114" i="3"/>
  <c r="F114" i="3"/>
  <c r="AB110" i="3"/>
  <c r="AA110" i="3"/>
  <c r="W110" i="3"/>
  <c r="V110" i="3"/>
  <c r="U110" i="3"/>
  <c r="T110" i="3"/>
  <c r="S110" i="3"/>
  <c r="R110" i="3"/>
  <c r="Q110" i="3"/>
  <c r="P110" i="3"/>
  <c r="M110" i="3"/>
  <c r="L110" i="3"/>
  <c r="J110" i="3"/>
  <c r="I110" i="3"/>
  <c r="H110" i="3"/>
  <c r="G110" i="3"/>
  <c r="F110" i="3"/>
  <c r="AB108" i="3"/>
  <c r="AA108" i="3"/>
  <c r="W108" i="3"/>
  <c r="V108" i="3"/>
  <c r="U108" i="3"/>
  <c r="T108" i="3"/>
  <c r="S108" i="3"/>
  <c r="R108" i="3"/>
  <c r="Q108" i="3"/>
  <c r="P108" i="3"/>
  <c r="M108" i="3"/>
  <c r="L108" i="3"/>
  <c r="J108" i="3"/>
  <c r="I108" i="3"/>
  <c r="H108" i="3"/>
  <c r="G108" i="3"/>
  <c r="F108" i="3"/>
  <c r="AB106" i="3"/>
  <c r="AA106" i="3"/>
  <c r="W106" i="3"/>
  <c r="V106" i="3"/>
  <c r="U106" i="3"/>
  <c r="T106" i="3"/>
  <c r="S106" i="3"/>
  <c r="R106" i="3"/>
  <c r="Q106" i="3"/>
  <c r="P106" i="3"/>
  <c r="M106" i="3"/>
  <c r="L106" i="3"/>
  <c r="K106" i="3"/>
  <c r="J106" i="3"/>
  <c r="I106" i="3"/>
  <c r="H106" i="3"/>
  <c r="G106" i="3"/>
  <c r="F106" i="3"/>
  <c r="AB105" i="3"/>
  <c r="AA105" i="3"/>
  <c r="W105" i="3"/>
  <c r="V105" i="3"/>
  <c r="U105" i="3"/>
  <c r="T105" i="3"/>
  <c r="S105" i="3"/>
  <c r="R105" i="3"/>
  <c r="Q105" i="3"/>
  <c r="P105" i="3"/>
  <c r="M105" i="3"/>
  <c r="L105" i="3"/>
  <c r="J105" i="3"/>
  <c r="I105" i="3"/>
  <c r="H105" i="3"/>
  <c r="G105" i="3"/>
  <c r="F105" i="3"/>
  <c r="K105" i="3" s="1"/>
  <c r="AB104" i="3"/>
  <c r="AA104" i="3"/>
  <c r="W104" i="3"/>
  <c r="V104" i="3"/>
  <c r="U104" i="3"/>
  <c r="T104" i="3"/>
  <c r="S104" i="3"/>
  <c r="R104" i="3"/>
  <c r="Q104" i="3"/>
  <c r="P104" i="3"/>
  <c r="M104" i="3"/>
  <c r="L104" i="3"/>
  <c r="J104" i="3"/>
  <c r="I104" i="3"/>
  <c r="H104" i="3"/>
  <c r="G104" i="3"/>
  <c r="F104" i="3"/>
  <c r="AB103" i="3"/>
  <c r="AA103" i="3"/>
  <c r="W103" i="3"/>
  <c r="V103" i="3"/>
  <c r="U103" i="3"/>
  <c r="T103" i="3"/>
  <c r="S103" i="3"/>
  <c r="R103" i="3"/>
  <c r="Q103" i="3"/>
  <c r="P103" i="3"/>
  <c r="M103" i="3"/>
  <c r="L103" i="3"/>
  <c r="J103" i="3"/>
  <c r="I103" i="3"/>
  <c r="H103" i="3"/>
  <c r="G103" i="3"/>
  <c r="F103" i="3"/>
  <c r="K103" i="3" s="1"/>
  <c r="AB101" i="3"/>
  <c r="AA101" i="3"/>
  <c r="W101" i="3"/>
  <c r="V101" i="3"/>
  <c r="U101" i="3"/>
  <c r="T101" i="3"/>
  <c r="S101" i="3"/>
  <c r="R101" i="3"/>
  <c r="Q101" i="3"/>
  <c r="P101" i="3"/>
  <c r="M101" i="3"/>
  <c r="L101" i="3"/>
  <c r="J101" i="3"/>
  <c r="I101" i="3"/>
  <c r="H101" i="3"/>
  <c r="G101" i="3"/>
  <c r="F101" i="3"/>
  <c r="AB100" i="3"/>
  <c r="AA100" i="3"/>
  <c r="W100" i="3"/>
  <c r="V100" i="3"/>
  <c r="U100" i="3"/>
  <c r="T100" i="3"/>
  <c r="S100" i="3"/>
  <c r="R100" i="3"/>
  <c r="Q100" i="3"/>
  <c r="P100" i="3"/>
  <c r="M100" i="3"/>
  <c r="L100" i="3"/>
  <c r="J100" i="3"/>
  <c r="I100" i="3"/>
  <c r="H100" i="3"/>
  <c r="G100" i="3"/>
  <c r="F100" i="3"/>
  <c r="AB99" i="3"/>
  <c r="AA99" i="3"/>
  <c r="W99" i="3"/>
  <c r="V99" i="3"/>
  <c r="U99" i="3"/>
  <c r="T99" i="3"/>
  <c r="S99" i="3"/>
  <c r="R99" i="3"/>
  <c r="Q99" i="3"/>
  <c r="P99" i="3"/>
  <c r="M99" i="3"/>
  <c r="L99" i="3"/>
  <c r="J99" i="3"/>
  <c r="I99" i="3"/>
  <c r="H99" i="3"/>
  <c r="G99" i="3"/>
  <c r="F99" i="3"/>
  <c r="AB98" i="3"/>
  <c r="AA98" i="3"/>
  <c r="W98" i="3"/>
  <c r="V98" i="3"/>
  <c r="U98" i="3"/>
  <c r="T98" i="3"/>
  <c r="S98" i="3"/>
  <c r="R98" i="3"/>
  <c r="Q98" i="3"/>
  <c r="P98" i="3"/>
  <c r="M98" i="3"/>
  <c r="L98" i="3"/>
  <c r="J98" i="3"/>
  <c r="I98" i="3"/>
  <c r="H98" i="3"/>
  <c r="G98" i="3"/>
  <c r="F98" i="3"/>
  <c r="AB96" i="3"/>
  <c r="AA96" i="3"/>
  <c r="W96" i="3"/>
  <c r="V96" i="3"/>
  <c r="U96" i="3"/>
  <c r="T96" i="3"/>
  <c r="S96" i="3"/>
  <c r="R96" i="3"/>
  <c r="Q96" i="3"/>
  <c r="P96" i="3"/>
  <c r="M96" i="3"/>
  <c r="L96" i="3"/>
  <c r="J96" i="3"/>
  <c r="I96" i="3"/>
  <c r="H96" i="3"/>
  <c r="G96" i="3"/>
  <c r="F96" i="3"/>
  <c r="K96" i="3" s="1"/>
  <c r="AB95" i="3"/>
  <c r="AA95" i="3"/>
  <c r="W95" i="3"/>
  <c r="V95" i="3"/>
  <c r="U95" i="3"/>
  <c r="T95" i="3"/>
  <c r="S95" i="3"/>
  <c r="R95" i="3"/>
  <c r="Q95" i="3"/>
  <c r="P95" i="3"/>
  <c r="M95" i="3"/>
  <c r="L95" i="3"/>
  <c r="J95" i="3"/>
  <c r="I95" i="3"/>
  <c r="H95" i="3"/>
  <c r="G95" i="3"/>
  <c r="F95" i="3"/>
  <c r="AB94" i="3"/>
  <c r="AA94" i="3"/>
  <c r="W94" i="3"/>
  <c r="V94" i="3"/>
  <c r="U94" i="3"/>
  <c r="T94" i="3"/>
  <c r="S94" i="3"/>
  <c r="R94" i="3"/>
  <c r="Q94" i="3"/>
  <c r="P94" i="3"/>
  <c r="M94" i="3"/>
  <c r="L94" i="3"/>
  <c r="J94" i="3"/>
  <c r="I94" i="3"/>
  <c r="H94" i="3"/>
  <c r="G94" i="3"/>
  <c r="F94" i="3"/>
  <c r="AB93" i="3"/>
  <c r="AA93" i="3"/>
  <c r="W93" i="3"/>
  <c r="V93" i="3"/>
  <c r="U93" i="3"/>
  <c r="T93" i="3"/>
  <c r="S93" i="3"/>
  <c r="R93" i="3"/>
  <c r="Q93" i="3"/>
  <c r="P93" i="3"/>
  <c r="M93" i="3"/>
  <c r="L93" i="3"/>
  <c r="J93" i="3"/>
  <c r="I93" i="3"/>
  <c r="H93" i="3"/>
  <c r="G93" i="3"/>
  <c r="F93" i="3"/>
  <c r="AB92" i="3"/>
  <c r="AA92" i="3"/>
  <c r="W92" i="3"/>
  <c r="V92" i="3"/>
  <c r="U92" i="3"/>
  <c r="T92" i="3"/>
  <c r="S92" i="3"/>
  <c r="R92" i="3"/>
  <c r="Q92" i="3"/>
  <c r="P92" i="3"/>
  <c r="M92" i="3"/>
  <c r="L92" i="3"/>
  <c r="J92" i="3"/>
  <c r="I92" i="3"/>
  <c r="H92" i="3"/>
  <c r="G92" i="3"/>
  <c r="F92" i="3"/>
  <c r="AB90" i="3"/>
  <c r="AA90" i="3"/>
  <c r="W90" i="3"/>
  <c r="V90" i="3"/>
  <c r="U90" i="3"/>
  <c r="T90" i="3"/>
  <c r="S90" i="3"/>
  <c r="R90" i="3"/>
  <c r="Q90" i="3"/>
  <c r="P90" i="3"/>
  <c r="M90" i="3"/>
  <c r="L90" i="3"/>
  <c r="J90" i="3"/>
  <c r="I90" i="3"/>
  <c r="H90" i="3"/>
  <c r="G90" i="3"/>
  <c r="F90" i="3"/>
  <c r="AB89" i="3"/>
  <c r="AA89" i="3"/>
  <c r="W89" i="3"/>
  <c r="V89" i="3"/>
  <c r="U89" i="3"/>
  <c r="T89" i="3"/>
  <c r="S89" i="3"/>
  <c r="R89" i="3"/>
  <c r="Q89" i="3"/>
  <c r="P89" i="3"/>
  <c r="M89" i="3"/>
  <c r="L89" i="3"/>
  <c r="J89" i="3"/>
  <c r="I89" i="3"/>
  <c r="H89" i="3"/>
  <c r="G89" i="3"/>
  <c r="F89" i="3"/>
  <c r="AB88" i="3"/>
  <c r="AA88" i="3"/>
  <c r="W88" i="3"/>
  <c r="V88" i="3"/>
  <c r="U88" i="3"/>
  <c r="T88" i="3"/>
  <c r="S88" i="3"/>
  <c r="R88" i="3"/>
  <c r="Q88" i="3"/>
  <c r="P88" i="3"/>
  <c r="M88" i="3"/>
  <c r="L88" i="3"/>
  <c r="J88" i="3"/>
  <c r="I88" i="3"/>
  <c r="H88" i="3"/>
  <c r="G88" i="3"/>
  <c r="F88" i="3"/>
  <c r="AB87" i="3"/>
  <c r="AA87" i="3"/>
  <c r="W87" i="3"/>
  <c r="V87" i="3"/>
  <c r="U87" i="3"/>
  <c r="T87" i="3"/>
  <c r="S87" i="3"/>
  <c r="R87" i="3"/>
  <c r="Q87" i="3"/>
  <c r="P87" i="3"/>
  <c r="M87" i="3"/>
  <c r="L87" i="3"/>
  <c r="J87" i="3"/>
  <c r="I87" i="3"/>
  <c r="H87" i="3"/>
  <c r="G87" i="3"/>
  <c r="F87" i="3"/>
  <c r="K87" i="3" s="1"/>
  <c r="AB86" i="3"/>
  <c r="AA86" i="3"/>
  <c r="W86" i="3"/>
  <c r="V86" i="3"/>
  <c r="U86" i="3"/>
  <c r="T86" i="3"/>
  <c r="S86" i="3"/>
  <c r="R86" i="3"/>
  <c r="Q86" i="3"/>
  <c r="P86" i="3"/>
  <c r="M86" i="3"/>
  <c r="L86" i="3"/>
  <c r="J86" i="3"/>
  <c r="I86" i="3"/>
  <c r="H86" i="3"/>
  <c r="G86" i="3"/>
  <c r="F86" i="3"/>
  <c r="AB85" i="3"/>
  <c r="AA85" i="3"/>
  <c r="W85" i="3"/>
  <c r="V85" i="3"/>
  <c r="U85" i="3"/>
  <c r="T85" i="3"/>
  <c r="S85" i="3"/>
  <c r="R85" i="3"/>
  <c r="Q85" i="3"/>
  <c r="P85" i="3"/>
  <c r="M85" i="3"/>
  <c r="L85" i="3"/>
  <c r="J85" i="3"/>
  <c r="I85" i="3"/>
  <c r="H85" i="3"/>
  <c r="G85" i="3"/>
  <c r="F85" i="3"/>
  <c r="AB84" i="3"/>
  <c r="AA84" i="3"/>
  <c r="W84" i="3"/>
  <c r="V84" i="3"/>
  <c r="U84" i="3"/>
  <c r="T84" i="3"/>
  <c r="S84" i="3"/>
  <c r="R84" i="3"/>
  <c r="Q84" i="3"/>
  <c r="P84" i="3"/>
  <c r="M84" i="3"/>
  <c r="L84" i="3"/>
  <c r="J84" i="3"/>
  <c r="I84" i="3"/>
  <c r="H84" i="3"/>
  <c r="G84" i="3"/>
  <c r="F84" i="3"/>
  <c r="AB83" i="3"/>
  <c r="AA83" i="3"/>
  <c r="W83" i="3"/>
  <c r="V83" i="3"/>
  <c r="U83" i="3"/>
  <c r="T83" i="3"/>
  <c r="S83" i="3"/>
  <c r="R83" i="3"/>
  <c r="Q83" i="3"/>
  <c r="P83" i="3"/>
  <c r="M83" i="3"/>
  <c r="L83" i="3"/>
  <c r="J83" i="3"/>
  <c r="I83" i="3"/>
  <c r="H83" i="3"/>
  <c r="G83" i="3"/>
  <c r="F83" i="3"/>
  <c r="AB82" i="3"/>
  <c r="AA82" i="3"/>
  <c r="W82" i="3"/>
  <c r="V82" i="3"/>
  <c r="U82" i="3"/>
  <c r="T82" i="3"/>
  <c r="S82" i="3"/>
  <c r="R82" i="3"/>
  <c r="Q82" i="3"/>
  <c r="P82" i="3"/>
  <c r="M82" i="3"/>
  <c r="L82" i="3"/>
  <c r="J82" i="3"/>
  <c r="I82" i="3"/>
  <c r="H82" i="3"/>
  <c r="G82" i="3"/>
  <c r="F82" i="3"/>
  <c r="AB81" i="3"/>
  <c r="AA81" i="3"/>
  <c r="W81" i="3"/>
  <c r="V81" i="3"/>
  <c r="U81" i="3"/>
  <c r="T81" i="3"/>
  <c r="S81" i="3"/>
  <c r="R81" i="3"/>
  <c r="Q81" i="3"/>
  <c r="P81" i="3"/>
  <c r="M81" i="3"/>
  <c r="L81" i="3"/>
  <c r="J81" i="3"/>
  <c r="I81" i="3"/>
  <c r="H81" i="3"/>
  <c r="G81" i="3"/>
  <c r="F81" i="3"/>
  <c r="AB80" i="3"/>
  <c r="AA80" i="3"/>
  <c r="W80" i="3"/>
  <c r="V80" i="3"/>
  <c r="U80" i="3"/>
  <c r="T80" i="3"/>
  <c r="S80" i="3"/>
  <c r="R80" i="3"/>
  <c r="Q80" i="3"/>
  <c r="P80" i="3"/>
  <c r="M80" i="3"/>
  <c r="L80" i="3"/>
  <c r="J80" i="3"/>
  <c r="I80" i="3"/>
  <c r="H80" i="3"/>
  <c r="G80" i="3"/>
  <c r="F80" i="3"/>
  <c r="AB79" i="3"/>
  <c r="AA79" i="3"/>
  <c r="W79" i="3"/>
  <c r="V79" i="3"/>
  <c r="U79" i="3"/>
  <c r="T79" i="3"/>
  <c r="S79" i="3"/>
  <c r="R79" i="3"/>
  <c r="Q79" i="3"/>
  <c r="P79" i="3"/>
  <c r="M79" i="3"/>
  <c r="L79" i="3"/>
  <c r="J79" i="3"/>
  <c r="I79" i="3"/>
  <c r="H79" i="3"/>
  <c r="G79" i="3"/>
  <c r="F79" i="3"/>
  <c r="K79" i="3" s="1"/>
  <c r="AB78" i="3"/>
  <c r="AA78" i="3"/>
  <c r="W78" i="3"/>
  <c r="V78" i="3"/>
  <c r="U78" i="3"/>
  <c r="T78" i="3"/>
  <c r="S78" i="3"/>
  <c r="R78" i="3"/>
  <c r="Q78" i="3"/>
  <c r="P78" i="3"/>
  <c r="M78" i="3"/>
  <c r="L78" i="3"/>
  <c r="J78" i="3"/>
  <c r="I78" i="3"/>
  <c r="H78" i="3"/>
  <c r="G78" i="3"/>
  <c r="F78" i="3"/>
  <c r="AB77" i="3"/>
  <c r="AA77" i="3"/>
  <c r="W77" i="3"/>
  <c r="V77" i="3"/>
  <c r="U77" i="3"/>
  <c r="T77" i="3"/>
  <c r="S77" i="3"/>
  <c r="R77" i="3"/>
  <c r="Q77" i="3"/>
  <c r="P77" i="3"/>
  <c r="M77" i="3"/>
  <c r="L77" i="3"/>
  <c r="J77" i="3"/>
  <c r="I77" i="3"/>
  <c r="H77" i="3"/>
  <c r="G77" i="3"/>
  <c r="F77" i="3"/>
  <c r="AB74" i="3"/>
  <c r="AA74" i="3"/>
  <c r="W74" i="3"/>
  <c r="V74" i="3"/>
  <c r="U74" i="3"/>
  <c r="T74" i="3"/>
  <c r="S74" i="3"/>
  <c r="R74" i="3"/>
  <c r="Q74" i="3"/>
  <c r="P74" i="3"/>
  <c r="M74" i="3"/>
  <c r="L74" i="3"/>
  <c r="J74" i="3"/>
  <c r="I74" i="3"/>
  <c r="H74" i="3"/>
  <c r="G74" i="3"/>
  <c r="F74" i="3"/>
  <c r="AB72" i="3"/>
  <c r="AA72" i="3"/>
  <c r="W72" i="3"/>
  <c r="V72" i="3"/>
  <c r="U72" i="3"/>
  <c r="T72" i="3"/>
  <c r="S72" i="3"/>
  <c r="R72" i="3"/>
  <c r="Q72" i="3"/>
  <c r="P72" i="3"/>
  <c r="M72" i="3"/>
  <c r="L72" i="3"/>
  <c r="J72" i="3"/>
  <c r="I72" i="3"/>
  <c r="H72" i="3"/>
  <c r="G72" i="3"/>
  <c r="F72" i="3"/>
  <c r="AB71" i="3"/>
  <c r="AA71" i="3"/>
  <c r="W71" i="3"/>
  <c r="V71" i="3"/>
  <c r="U71" i="3"/>
  <c r="T71" i="3"/>
  <c r="S71" i="3"/>
  <c r="R71" i="3"/>
  <c r="Q71" i="3"/>
  <c r="P71" i="3"/>
  <c r="M71" i="3"/>
  <c r="L71" i="3"/>
  <c r="J71" i="3"/>
  <c r="I71" i="3"/>
  <c r="H71" i="3"/>
  <c r="G71" i="3"/>
  <c r="F71" i="3"/>
  <c r="AB70" i="3"/>
  <c r="AA70" i="3"/>
  <c r="W70" i="3"/>
  <c r="V70" i="3"/>
  <c r="U70" i="3"/>
  <c r="T70" i="3"/>
  <c r="S70" i="3"/>
  <c r="R70" i="3"/>
  <c r="Q70" i="3"/>
  <c r="P70" i="3"/>
  <c r="M70" i="3"/>
  <c r="L70" i="3"/>
  <c r="J70" i="3"/>
  <c r="I70" i="3"/>
  <c r="H70" i="3"/>
  <c r="G70" i="3"/>
  <c r="F70" i="3"/>
  <c r="AB68" i="3"/>
  <c r="AA68" i="3"/>
  <c r="W68" i="3"/>
  <c r="V68" i="3"/>
  <c r="U68" i="3"/>
  <c r="T68" i="3"/>
  <c r="S68" i="3"/>
  <c r="R68" i="3"/>
  <c r="Q68" i="3"/>
  <c r="P68" i="3"/>
  <c r="M68" i="3"/>
  <c r="L68" i="3"/>
  <c r="J68" i="3"/>
  <c r="I68" i="3"/>
  <c r="H68" i="3"/>
  <c r="G68" i="3"/>
  <c r="F68" i="3"/>
  <c r="AB67" i="3"/>
  <c r="AA67" i="3"/>
  <c r="W67" i="3"/>
  <c r="V67" i="3"/>
  <c r="U67" i="3"/>
  <c r="T67" i="3"/>
  <c r="S67" i="3"/>
  <c r="R67" i="3"/>
  <c r="Q67" i="3"/>
  <c r="P67" i="3"/>
  <c r="M67" i="3"/>
  <c r="L67" i="3"/>
  <c r="J67" i="3"/>
  <c r="I67" i="3"/>
  <c r="H67" i="3"/>
  <c r="G67" i="3"/>
  <c r="F67" i="3"/>
  <c r="AB66" i="3"/>
  <c r="AA66" i="3"/>
  <c r="W66" i="3"/>
  <c r="V66" i="3"/>
  <c r="U66" i="3"/>
  <c r="T66" i="3"/>
  <c r="S66" i="3"/>
  <c r="R66" i="3"/>
  <c r="Q66" i="3"/>
  <c r="P66" i="3"/>
  <c r="M66" i="3"/>
  <c r="L66" i="3"/>
  <c r="J66" i="3"/>
  <c r="I66" i="3"/>
  <c r="H66" i="3"/>
  <c r="G66" i="3"/>
  <c r="F66" i="3"/>
  <c r="AB65" i="3"/>
  <c r="AA65" i="3"/>
  <c r="W65" i="3"/>
  <c r="V65" i="3"/>
  <c r="U65" i="3"/>
  <c r="T65" i="3"/>
  <c r="S65" i="3"/>
  <c r="R65" i="3"/>
  <c r="Q65" i="3"/>
  <c r="P65" i="3"/>
  <c r="M65" i="3"/>
  <c r="L65" i="3"/>
  <c r="J65" i="3"/>
  <c r="I65" i="3"/>
  <c r="H65" i="3"/>
  <c r="G65" i="3"/>
  <c r="F65" i="3"/>
  <c r="AB64" i="3"/>
  <c r="AA64" i="3"/>
  <c r="W64" i="3"/>
  <c r="V64" i="3"/>
  <c r="U64" i="3"/>
  <c r="T64" i="3"/>
  <c r="S64" i="3"/>
  <c r="R64" i="3"/>
  <c r="Q64" i="3"/>
  <c r="P64" i="3"/>
  <c r="M64" i="3"/>
  <c r="L64" i="3"/>
  <c r="J64" i="3"/>
  <c r="I64" i="3"/>
  <c r="H64" i="3"/>
  <c r="G64" i="3"/>
  <c r="F64" i="3"/>
  <c r="AB63" i="3"/>
  <c r="AA63" i="3"/>
  <c r="W63" i="3"/>
  <c r="V63" i="3"/>
  <c r="U63" i="3"/>
  <c r="T63" i="3"/>
  <c r="S63" i="3"/>
  <c r="R63" i="3"/>
  <c r="Q63" i="3"/>
  <c r="P63" i="3"/>
  <c r="M63" i="3"/>
  <c r="L63" i="3"/>
  <c r="J63" i="3"/>
  <c r="I63" i="3"/>
  <c r="H63" i="3"/>
  <c r="G63" i="3"/>
  <c r="F63" i="3"/>
  <c r="AB62" i="3"/>
  <c r="AA62" i="3"/>
  <c r="W62" i="3"/>
  <c r="V62" i="3"/>
  <c r="U62" i="3"/>
  <c r="T62" i="3"/>
  <c r="S62" i="3"/>
  <c r="R62" i="3"/>
  <c r="Q62" i="3"/>
  <c r="P62" i="3"/>
  <c r="M62" i="3"/>
  <c r="L62" i="3"/>
  <c r="J62" i="3"/>
  <c r="I62" i="3"/>
  <c r="H62" i="3"/>
  <c r="G62" i="3"/>
  <c r="F62" i="3"/>
  <c r="AB61" i="3"/>
  <c r="AA61" i="3"/>
  <c r="W61" i="3"/>
  <c r="V61" i="3"/>
  <c r="U61" i="3"/>
  <c r="T61" i="3"/>
  <c r="S61" i="3"/>
  <c r="R61" i="3"/>
  <c r="Q61" i="3"/>
  <c r="P61" i="3"/>
  <c r="M61" i="3"/>
  <c r="L61" i="3"/>
  <c r="J61" i="3"/>
  <c r="I61" i="3"/>
  <c r="H61" i="3"/>
  <c r="G61" i="3"/>
  <c r="F61" i="3"/>
  <c r="AB60" i="3"/>
  <c r="AA60" i="3"/>
  <c r="W60" i="3"/>
  <c r="V60" i="3"/>
  <c r="U60" i="3"/>
  <c r="T60" i="3"/>
  <c r="S60" i="3"/>
  <c r="R60" i="3"/>
  <c r="Q60" i="3"/>
  <c r="P60" i="3"/>
  <c r="M60" i="3"/>
  <c r="L60" i="3"/>
  <c r="J60" i="3"/>
  <c r="I60" i="3"/>
  <c r="H60" i="3"/>
  <c r="G60" i="3"/>
  <c r="F60" i="3"/>
  <c r="AB59" i="3"/>
  <c r="AA59" i="3"/>
  <c r="W59" i="3"/>
  <c r="V59" i="3"/>
  <c r="U59" i="3"/>
  <c r="T59" i="3"/>
  <c r="S59" i="3"/>
  <c r="R59" i="3"/>
  <c r="Q59" i="3"/>
  <c r="P59" i="3"/>
  <c r="M59" i="3"/>
  <c r="L59" i="3"/>
  <c r="J59" i="3"/>
  <c r="I59" i="3"/>
  <c r="H59" i="3"/>
  <c r="G59" i="3"/>
  <c r="F59" i="3"/>
  <c r="AB58" i="3"/>
  <c r="AA58" i="3"/>
  <c r="W58" i="3"/>
  <c r="V58" i="3"/>
  <c r="U58" i="3"/>
  <c r="T58" i="3"/>
  <c r="S58" i="3"/>
  <c r="R58" i="3"/>
  <c r="Q58" i="3"/>
  <c r="P58" i="3"/>
  <c r="M58" i="3"/>
  <c r="L58" i="3"/>
  <c r="J58" i="3"/>
  <c r="I58" i="3"/>
  <c r="H58" i="3"/>
  <c r="G58" i="3"/>
  <c r="F58" i="3"/>
  <c r="AB57" i="3"/>
  <c r="AA57" i="3"/>
  <c r="W57" i="3"/>
  <c r="V57" i="3"/>
  <c r="U57" i="3"/>
  <c r="T57" i="3"/>
  <c r="S57" i="3"/>
  <c r="R57" i="3"/>
  <c r="Q57" i="3"/>
  <c r="P57" i="3"/>
  <c r="M57" i="3"/>
  <c r="L57" i="3"/>
  <c r="J57" i="3"/>
  <c r="I57" i="3"/>
  <c r="H57" i="3"/>
  <c r="G57" i="3"/>
  <c r="F57" i="3"/>
  <c r="AB56" i="3"/>
  <c r="AA56" i="3"/>
  <c r="W56" i="3"/>
  <c r="V56" i="3"/>
  <c r="U56" i="3"/>
  <c r="T56" i="3"/>
  <c r="S56" i="3"/>
  <c r="R56" i="3"/>
  <c r="Q56" i="3"/>
  <c r="P56" i="3"/>
  <c r="M56" i="3"/>
  <c r="L56" i="3"/>
  <c r="J56" i="3"/>
  <c r="I56" i="3"/>
  <c r="H56" i="3"/>
  <c r="G56" i="3"/>
  <c r="F56" i="3"/>
  <c r="K56" i="3" s="1"/>
  <c r="AB55" i="3"/>
  <c r="AA55" i="3"/>
  <c r="W55" i="3"/>
  <c r="V55" i="3"/>
  <c r="U55" i="3"/>
  <c r="T55" i="3"/>
  <c r="S55" i="3"/>
  <c r="R55" i="3"/>
  <c r="Q55" i="3"/>
  <c r="P55" i="3"/>
  <c r="M55" i="3"/>
  <c r="L55" i="3"/>
  <c r="J55" i="3"/>
  <c r="I55" i="3"/>
  <c r="H55" i="3"/>
  <c r="G55" i="3"/>
  <c r="F55" i="3"/>
  <c r="AB54" i="3"/>
  <c r="AA54" i="3"/>
  <c r="W54" i="3"/>
  <c r="V54" i="3"/>
  <c r="U54" i="3"/>
  <c r="T54" i="3"/>
  <c r="S54" i="3"/>
  <c r="R54" i="3"/>
  <c r="Q54" i="3"/>
  <c r="P54" i="3"/>
  <c r="M54" i="3"/>
  <c r="L54" i="3"/>
  <c r="J54" i="3"/>
  <c r="I54" i="3"/>
  <c r="H54" i="3"/>
  <c r="G54" i="3"/>
  <c r="F54" i="3"/>
  <c r="AB52" i="3"/>
  <c r="AA52" i="3"/>
  <c r="W52" i="3"/>
  <c r="V52" i="3"/>
  <c r="U52" i="3"/>
  <c r="T52" i="3"/>
  <c r="S52" i="3"/>
  <c r="R52" i="3"/>
  <c r="Q52" i="3"/>
  <c r="P52" i="3"/>
  <c r="M52" i="3"/>
  <c r="L52" i="3"/>
  <c r="J52" i="3"/>
  <c r="I52" i="3"/>
  <c r="H52" i="3"/>
  <c r="G52" i="3"/>
  <c r="F52" i="3"/>
  <c r="AB51" i="3"/>
  <c r="AA51" i="3"/>
  <c r="W51" i="3"/>
  <c r="V51" i="3"/>
  <c r="U51" i="3"/>
  <c r="T51" i="3"/>
  <c r="S51" i="3"/>
  <c r="R51" i="3"/>
  <c r="Q51" i="3"/>
  <c r="P51" i="3"/>
  <c r="M51" i="3"/>
  <c r="L51" i="3"/>
  <c r="J51" i="3"/>
  <c r="I51" i="3"/>
  <c r="H51" i="3"/>
  <c r="G51" i="3"/>
  <c r="F51" i="3"/>
  <c r="AB50" i="3"/>
  <c r="AA50" i="3"/>
  <c r="W50" i="3"/>
  <c r="V50" i="3"/>
  <c r="U50" i="3"/>
  <c r="T50" i="3"/>
  <c r="S50" i="3"/>
  <c r="R50" i="3"/>
  <c r="Q50" i="3"/>
  <c r="P50" i="3"/>
  <c r="M50" i="3"/>
  <c r="L50" i="3"/>
  <c r="J50" i="3"/>
  <c r="I50" i="3"/>
  <c r="H50" i="3"/>
  <c r="G50" i="3"/>
  <c r="F50" i="3"/>
  <c r="AB49" i="3"/>
  <c r="AA49" i="3"/>
  <c r="W49" i="3"/>
  <c r="V49" i="3"/>
  <c r="U49" i="3"/>
  <c r="T49" i="3"/>
  <c r="S49" i="3"/>
  <c r="R49" i="3"/>
  <c r="Q49" i="3"/>
  <c r="P49" i="3"/>
  <c r="M49" i="3"/>
  <c r="L49" i="3"/>
  <c r="J49" i="3"/>
  <c r="I49" i="3"/>
  <c r="H49" i="3"/>
  <c r="G49" i="3"/>
  <c r="F49" i="3"/>
  <c r="AB47" i="3"/>
  <c r="AA47" i="3"/>
  <c r="W47" i="3"/>
  <c r="V47" i="3"/>
  <c r="U47" i="3"/>
  <c r="T47" i="3"/>
  <c r="S47" i="3"/>
  <c r="R47" i="3"/>
  <c r="Q47" i="3"/>
  <c r="P47" i="3"/>
  <c r="M47" i="3"/>
  <c r="L47" i="3"/>
  <c r="J47" i="3"/>
  <c r="I47" i="3"/>
  <c r="H47" i="3"/>
  <c r="G47" i="3"/>
  <c r="F47" i="3"/>
  <c r="K47" i="3" s="1"/>
  <c r="AB46" i="3"/>
  <c r="AA46" i="3"/>
  <c r="W46" i="3"/>
  <c r="V46" i="3"/>
  <c r="U46" i="3"/>
  <c r="T46" i="3"/>
  <c r="S46" i="3"/>
  <c r="R46" i="3"/>
  <c r="Q46" i="3"/>
  <c r="P46" i="3"/>
  <c r="M46" i="3"/>
  <c r="L46" i="3"/>
  <c r="J46" i="3"/>
  <c r="I46" i="3"/>
  <c r="H46" i="3"/>
  <c r="G46" i="3"/>
  <c r="F46" i="3"/>
  <c r="AB45" i="3"/>
  <c r="AA45" i="3"/>
  <c r="W45" i="3"/>
  <c r="V45" i="3"/>
  <c r="U45" i="3"/>
  <c r="T45" i="3"/>
  <c r="S45" i="3"/>
  <c r="R45" i="3"/>
  <c r="Q45" i="3"/>
  <c r="P45" i="3"/>
  <c r="M45" i="3"/>
  <c r="L45" i="3"/>
  <c r="J45" i="3"/>
  <c r="I45" i="3"/>
  <c r="H45" i="3"/>
  <c r="G45" i="3"/>
  <c r="F45" i="3"/>
  <c r="AB44" i="3"/>
  <c r="AA44" i="3"/>
  <c r="W44" i="3"/>
  <c r="V44" i="3"/>
  <c r="U44" i="3"/>
  <c r="T44" i="3"/>
  <c r="S44" i="3"/>
  <c r="R44" i="3"/>
  <c r="Q44" i="3"/>
  <c r="P44" i="3"/>
  <c r="M44" i="3"/>
  <c r="L44" i="3"/>
  <c r="J44" i="3"/>
  <c r="I44" i="3"/>
  <c r="H44" i="3"/>
  <c r="G44" i="3"/>
  <c r="F44" i="3"/>
  <c r="AB43" i="3"/>
  <c r="AA43" i="3"/>
  <c r="W43" i="3"/>
  <c r="V43" i="3"/>
  <c r="U43" i="3"/>
  <c r="T43" i="3"/>
  <c r="S43" i="3"/>
  <c r="R43" i="3"/>
  <c r="Q43" i="3"/>
  <c r="P43" i="3"/>
  <c r="M43" i="3"/>
  <c r="L43" i="3"/>
  <c r="J43" i="3"/>
  <c r="I43" i="3"/>
  <c r="H43" i="3"/>
  <c r="G43" i="3"/>
  <c r="F43" i="3"/>
  <c r="AB42" i="3"/>
  <c r="AA42" i="3"/>
  <c r="W42" i="3"/>
  <c r="V42" i="3"/>
  <c r="U42" i="3"/>
  <c r="T42" i="3"/>
  <c r="S42" i="3"/>
  <c r="R42" i="3"/>
  <c r="Q42" i="3"/>
  <c r="P42" i="3"/>
  <c r="M42" i="3"/>
  <c r="L42" i="3"/>
  <c r="J42" i="3"/>
  <c r="I42" i="3"/>
  <c r="H42" i="3"/>
  <c r="G42" i="3"/>
  <c r="F42" i="3"/>
  <c r="AB41" i="3"/>
  <c r="AA41" i="3"/>
  <c r="W41" i="3"/>
  <c r="V41" i="3"/>
  <c r="U41" i="3"/>
  <c r="T41" i="3"/>
  <c r="S41" i="3"/>
  <c r="R41" i="3"/>
  <c r="Q41" i="3"/>
  <c r="P41" i="3"/>
  <c r="M41" i="3"/>
  <c r="L41" i="3"/>
  <c r="J41" i="3"/>
  <c r="I41" i="3"/>
  <c r="H41" i="3"/>
  <c r="G41" i="3"/>
  <c r="F41" i="3"/>
  <c r="AB40" i="3"/>
  <c r="AA40" i="3"/>
  <c r="W40" i="3"/>
  <c r="V40" i="3"/>
  <c r="U40" i="3"/>
  <c r="T40" i="3"/>
  <c r="S40" i="3"/>
  <c r="R40" i="3"/>
  <c r="Q40" i="3"/>
  <c r="P40" i="3"/>
  <c r="M40" i="3"/>
  <c r="L40" i="3"/>
  <c r="J40" i="3"/>
  <c r="I40" i="3"/>
  <c r="H40" i="3"/>
  <c r="G40" i="3"/>
  <c r="F40" i="3"/>
  <c r="AB39" i="3"/>
  <c r="AA39" i="3"/>
  <c r="W39" i="3"/>
  <c r="V39" i="3"/>
  <c r="U39" i="3"/>
  <c r="T39" i="3"/>
  <c r="S39" i="3"/>
  <c r="R39" i="3"/>
  <c r="Q39" i="3"/>
  <c r="P39" i="3"/>
  <c r="M39" i="3"/>
  <c r="L39" i="3"/>
  <c r="J39" i="3"/>
  <c r="I39" i="3"/>
  <c r="H39" i="3"/>
  <c r="G39" i="3"/>
  <c r="F39" i="3"/>
  <c r="K39" i="3" s="1"/>
  <c r="AB38" i="3"/>
  <c r="AA38" i="3"/>
  <c r="W38" i="3"/>
  <c r="V38" i="3"/>
  <c r="U38" i="3"/>
  <c r="T38" i="3"/>
  <c r="S38" i="3"/>
  <c r="R38" i="3"/>
  <c r="Q38" i="3"/>
  <c r="P38" i="3"/>
  <c r="M38" i="3"/>
  <c r="L38" i="3"/>
  <c r="J38" i="3"/>
  <c r="I38" i="3"/>
  <c r="H38" i="3"/>
  <c r="G38" i="3"/>
  <c r="F38" i="3"/>
  <c r="AB37" i="3"/>
  <c r="AA37" i="3"/>
  <c r="W37" i="3"/>
  <c r="V37" i="3"/>
  <c r="U37" i="3"/>
  <c r="T37" i="3"/>
  <c r="S37" i="3"/>
  <c r="R37" i="3"/>
  <c r="Q37" i="3"/>
  <c r="P37" i="3"/>
  <c r="M37" i="3"/>
  <c r="L37" i="3"/>
  <c r="J37" i="3"/>
  <c r="I37" i="3"/>
  <c r="H37" i="3"/>
  <c r="G37" i="3"/>
  <c r="F37" i="3"/>
  <c r="AB36" i="3"/>
  <c r="AA36" i="3"/>
  <c r="W36" i="3"/>
  <c r="V36" i="3"/>
  <c r="U36" i="3"/>
  <c r="T36" i="3"/>
  <c r="S36" i="3"/>
  <c r="R36" i="3"/>
  <c r="Q36" i="3"/>
  <c r="P36" i="3"/>
  <c r="M36" i="3"/>
  <c r="L36" i="3"/>
  <c r="J36" i="3"/>
  <c r="I36" i="3"/>
  <c r="H36" i="3"/>
  <c r="G36" i="3"/>
  <c r="F36" i="3"/>
  <c r="AB35" i="3"/>
  <c r="AA35" i="3"/>
  <c r="W35" i="3"/>
  <c r="V35" i="3"/>
  <c r="U35" i="3"/>
  <c r="T35" i="3"/>
  <c r="S35" i="3"/>
  <c r="R35" i="3"/>
  <c r="Q35" i="3"/>
  <c r="P35" i="3"/>
  <c r="M35" i="3"/>
  <c r="L35" i="3"/>
  <c r="J35" i="3"/>
  <c r="I35" i="3"/>
  <c r="H35" i="3"/>
  <c r="G35" i="3"/>
  <c r="F35" i="3"/>
  <c r="AB34" i="3"/>
  <c r="AA34" i="3"/>
  <c r="W34" i="3"/>
  <c r="V34" i="3"/>
  <c r="U34" i="3"/>
  <c r="T34" i="3"/>
  <c r="S34" i="3"/>
  <c r="R34" i="3"/>
  <c r="Q34" i="3"/>
  <c r="P34" i="3"/>
  <c r="M34" i="3"/>
  <c r="L34" i="3"/>
  <c r="J34" i="3"/>
  <c r="I34" i="3"/>
  <c r="H34" i="3"/>
  <c r="G34" i="3"/>
  <c r="F34" i="3"/>
  <c r="AB32" i="3"/>
  <c r="AA32" i="3"/>
  <c r="W32" i="3"/>
  <c r="V32" i="3"/>
  <c r="U32" i="3"/>
  <c r="T32" i="3"/>
  <c r="S32" i="3"/>
  <c r="R32" i="3"/>
  <c r="Q32" i="3"/>
  <c r="P32" i="3"/>
  <c r="M32" i="3"/>
  <c r="L32" i="3"/>
  <c r="J32" i="3"/>
  <c r="I32" i="3"/>
  <c r="H32" i="3"/>
  <c r="G32" i="3"/>
  <c r="F32" i="3"/>
  <c r="K32" i="3" s="1"/>
  <c r="AB31" i="3"/>
  <c r="AA31" i="3"/>
  <c r="W31" i="3"/>
  <c r="V31" i="3"/>
  <c r="U31" i="3"/>
  <c r="T31" i="3"/>
  <c r="S31" i="3"/>
  <c r="R31" i="3"/>
  <c r="Q31" i="3"/>
  <c r="P31" i="3"/>
  <c r="M31" i="3"/>
  <c r="L31" i="3"/>
  <c r="J31" i="3"/>
  <c r="I31" i="3"/>
  <c r="H31" i="3"/>
  <c r="G31" i="3"/>
  <c r="F31" i="3"/>
  <c r="AB30" i="3"/>
  <c r="AA30" i="3"/>
  <c r="W30" i="3"/>
  <c r="V30" i="3"/>
  <c r="U30" i="3"/>
  <c r="T30" i="3"/>
  <c r="S30" i="3"/>
  <c r="R30" i="3"/>
  <c r="Q30" i="3"/>
  <c r="P30" i="3"/>
  <c r="M30" i="3"/>
  <c r="L30" i="3"/>
  <c r="J30" i="3"/>
  <c r="I30" i="3"/>
  <c r="H30" i="3"/>
  <c r="G30" i="3"/>
  <c r="F30" i="3"/>
  <c r="AB29" i="3"/>
  <c r="AA29" i="3"/>
  <c r="W29" i="3"/>
  <c r="V29" i="3"/>
  <c r="U29" i="3"/>
  <c r="T29" i="3"/>
  <c r="S29" i="3"/>
  <c r="R29" i="3"/>
  <c r="Q29" i="3"/>
  <c r="P29" i="3"/>
  <c r="M29" i="3"/>
  <c r="L29" i="3"/>
  <c r="J29" i="3"/>
  <c r="I29" i="3"/>
  <c r="H29" i="3"/>
  <c r="G29" i="3"/>
  <c r="F29" i="3"/>
  <c r="AB28" i="3"/>
  <c r="AA28" i="3"/>
  <c r="W28" i="3"/>
  <c r="V28" i="3"/>
  <c r="U28" i="3"/>
  <c r="T28" i="3"/>
  <c r="S28" i="3"/>
  <c r="R28" i="3"/>
  <c r="Q28" i="3"/>
  <c r="P28" i="3"/>
  <c r="M28" i="3"/>
  <c r="L28" i="3"/>
  <c r="J28" i="3"/>
  <c r="I28" i="3"/>
  <c r="H28" i="3"/>
  <c r="G28" i="3"/>
  <c r="F28" i="3"/>
  <c r="AB27" i="3"/>
  <c r="AA27" i="3"/>
  <c r="W27" i="3"/>
  <c r="V27" i="3"/>
  <c r="U27" i="3"/>
  <c r="T27" i="3"/>
  <c r="S27" i="3"/>
  <c r="R27" i="3"/>
  <c r="Q27" i="3"/>
  <c r="P27" i="3"/>
  <c r="M27" i="3"/>
  <c r="L27" i="3"/>
  <c r="J27" i="3"/>
  <c r="I27" i="3"/>
  <c r="H27" i="3"/>
  <c r="G27" i="3"/>
  <c r="F27" i="3"/>
  <c r="K27" i="3" s="1"/>
  <c r="AB25" i="3"/>
  <c r="AA25" i="3"/>
  <c r="W25" i="3"/>
  <c r="V25" i="3"/>
  <c r="U25" i="3"/>
  <c r="T25" i="3"/>
  <c r="S25" i="3"/>
  <c r="R25" i="3"/>
  <c r="Q25" i="3"/>
  <c r="P25" i="3"/>
  <c r="M25" i="3"/>
  <c r="L25" i="3"/>
  <c r="J25" i="3"/>
  <c r="I25" i="3"/>
  <c r="H25" i="3"/>
  <c r="G25" i="3"/>
  <c r="F25" i="3"/>
  <c r="K25" i="3" s="1"/>
  <c r="AB24" i="3"/>
  <c r="AA24" i="3"/>
  <c r="W24" i="3"/>
  <c r="V24" i="3"/>
  <c r="U24" i="3"/>
  <c r="T24" i="3"/>
  <c r="S24" i="3"/>
  <c r="R24" i="3"/>
  <c r="Q24" i="3"/>
  <c r="P24" i="3"/>
  <c r="M24" i="3"/>
  <c r="L24" i="3"/>
  <c r="J24" i="3"/>
  <c r="I24" i="3"/>
  <c r="H24" i="3"/>
  <c r="G24" i="3"/>
  <c r="F24" i="3"/>
  <c r="AB23" i="3"/>
  <c r="AA23" i="3"/>
  <c r="W23" i="3"/>
  <c r="V23" i="3"/>
  <c r="U23" i="3"/>
  <c r="T23" i="3"/>
  <c r="S23" i="3"/>
  <c r="R23" i="3"/>
  <c r="Q23" i="3"/>
  <c r="P23" i="3"/>
  <c r="M23" i="3"/>
  <c r="L23" i="3"/>
  <c r="J23" i="3"/>
  <c r="I23" i="3"/>
  <c r="H23" i="3"/>
  <c r="G23" i="3"/>
  <c r="F23" i="3"/>
  <c r="AB22" i="3"/>
  <c r="AA22" i="3"/>
  <c r="W22" i="3"/>
  <c r="V22" i="3"/>
  <c r="U22" i="3"/>
  <c r="T22" i="3"/>
  <c r="S22" i="3"/>
  <c r="R22" i="3"/>
  <c r="Q22" i="3"/>
  <c r="P22" i="3"/>
  <c r="M22" i="3"/>
  <c r="L22" i="3"/>
  <c r="J22" i="3"/>
  <c r="I22" i="3"/>
  <c r="H22" i="3"/>
  <c r="G22" i="3"/>
  <c r="F22" i="3"/>
  <c r="AB21" i="3"/>
  <c r="AA21" i="3"/>
  <c r="W21" i="3"/>
  <c r="V21" i="3"/>
  <c r="U21" i="3"/>
  <c r="T21" i="3"/>
  <c r="S21" i="3"/>
  <c r="R21" i="3"/>
  <c r="Q21" i="3"/>
  <c r="P21" i="3"/>
  <c r="M21" i="3"/>
  <c r="L21" i="3"/>
  <c r="J21" i="3"/>
  <c r="I21" i="3"/>
  <c r="H21" i="3"/>
  <c r="G21" i="3"/>
  <c r="F21" i="3"/>
  <c r="AB20" i="3"/>
  <c r="AA20" i="3"/>
  <c r="W20" i="3"/>
  <c r="V20" i="3"/>
  <c r="U20" i="3"/>
  <c r="T20" i="3"/>
  <c r="S20" i="3"/>
  <c r="R20" i="3"/>
  <c r="Q20" i="3"/>
  <c r="P20" i="3"/>
  <c r="M20" i="3"/>
  <c r="L20" i="3"/>
  <c r="J20" i="3"/>
  <c r="I20" i="3"/>
  <c r="H20" i="3"/>
  <c r="G20" i="3"/>
  <c r="F20" i="3"/>
  <c r="AB19" i="3"/>
  <c r="AA19" i="3"/>
  <c r="W19" i="3"/>
  <c r="V19" i="3"/>
  <c r="U19" i="3"/>
  <c r="T19" i="3"/>
  <c r="S19" i="3"/>
  <c r="R19" i="3"/>
  <c r="Q19" i="3"/>
  <c r="P19" i="3"/>
  <c r="M19" i="3"/>
  <c r="L19" i="3"/>
  <c r="J19" i="3"/>
  <c r="I19" i="3"/>
  <c r="H19" i="3"/>
  <c r="G19" i="3"/>
  <c r="F19" i="3"/>
  <c r="AB18" i="3"/>
  <c r="AA18" i="3"/>
  <c r="W18" i="3"/>
  <c r="V18" i="3"/>
  <c r="U18" i="3"/>
  <c r="T18" i="3"/>
  <c r="S18" i="3"/>
  <c r="R18" i="3"/>
  <c r="Q18" i="3"/>
  <c r="P18" i="3"/>
  <c r="M18" i="3"/>
  <c r="L18" i="3"/>
  <c r="J18" i="3"/>
  <c r="I18" i="3"/>
  <c r="H18" i="3"/>
  <c r="G18" i="3"/>
  <c r="F18" i="3"/>
  <c r="AB17" i="3"/>
  <c r="AA17" i="3"/>
  <c r="W17" i="3"/>
  <c r="V17" i="3"/>
  <c r="U17" i="3"/>
  <c r="T17" i="3"/>
  <c r="S17" i="3"/>
  <c r="R17" i="3"/>
  <c r="Q17" i="3"/>
  <c r="P17" i="3"/>
  <c r="M17" i="3"/>
  <c r="L17" i="3"/>
  <c r="J17" i="3"/>
  <c r="I17" i="3"/>
  <c r="H17" i="3"/>
  <c r="G17" i="3"/>
  <c r="F17" i="3"/>
  <c r="K17" i="3" s="1"/>
  <c r="AB16" i="3"/>
  <c r="AA16" i="3"/>
  <c r="W16" i="3"/>
  <c r="V16" i="3"/>
  <c r="U16" i="3"/>
  <c r="T16" i="3"/>
  <c r="S16" i="3"/>
  <c r="R16" i="3"/>
  <c r="Q16" i="3"/>
  <c r="P16" i="3"/>
  <c r="M16" i="3"/>
  <c r="L16" i="3"/>
  <c r="J16" i="3"/>
  <c r="I16" i="3"/>
  <c r="H16" i="3"/>
  <c r="G16" i="3"/>
  <c r="F16" i="3"/>
  <c r="AB15" i="3"/>
  <c r="AA15" i="3"/>
  <c r="W15" i="3"/>
  <c r="V15" i="3"/>
  <c r="U15" i="3"/>
  <c r="T15" i="3"/>
  <c r="S15" i="3"/>
  <c r="R15" i="3"/>
  <c r="Q15" i="3"/>
  <c r="P15" i="3"/>
  <c r="M15" i="3"/>
  <c r="L15" i="3"/>
  <c r="J15" i="3"/>
  <c r="I15" i="3"/>
  <c r="H15" i="3"/>
  <c r="G15" i="3"/>
  <c r="F15" i="3"/>
  <c r="AB14" i="3"/>
  <c r="AA14" i="3"/>
  <c r="W14" i="3"/>
  <c r="V14" i="3"/>
  <c r="U14" i="3"/>
  <c r="T14" i="3"/>
  <c r="S14" i="3"/>
  <c r="R14" i="3"/>
  <c r="Q14" i="3"/>
  <c r="P14" i="3"/>
  <c r="M14" i="3"/>
  <c r="L14" i="3"/>
  <c r="J14" i="3"/>
  <c r="I14" i="3"/>
  <c r="H14" i="3"/>
  <c r="G14" i="3"/>
  <c r="F14" i="3"/>
  <c r="AB13" i="3"/>
  <c r="AA13" i="3"/>
  <c r="W13" i="3"/>
  <c r="V13" i="3"/>
  <c r="U13" i="3"/>
  <c r="T13" i="3"/>
  <c r="S13" i="3"/>
  <c r="R13" i="3"/>
  <c r="Q13" i="3"/>
  <c r="P13" i="3"/>
  <c r="M13" i="3"/>
  <c r="L13" i="3"/>
  <c r="J13" i="3"/>
  <c r="I13" i="3"/>
  <c r="H13" i="3"/>
  <c r="K13" i="3" s="1"/>
  <c r="G13" i="3"/>
  <c r="F13" i="3"/>
  <c r="AB12" i="3"/>
  <c r="AA12" i="3"/>
  <c r="W12" i="3"/>
  <c r="V12" i="3"/>
  <c r="U12" i="3"/>
  <c r="T12" i="3"/>
  <c r="S12" i="3"/>
  <c r="R12" i="3"/>
  <c r="Q12" i="3"/>
  <c r="P12" i="3"/>
  <c r="M12" i="3"/>
  <c r="L12" i="3"/>
  <c r="J12" i="3"/>
  <c r="I12" i="3"/>
  <c r="H12" i="3"/>
  <c r="G12" i="3"/>
  <c r="F12" i="3"/>
  <c r="AB11" i="3"/>
  <c r="AA11" i="3"/>
  <c r="W11" i="3"/>
  <c r="V11" i="3"/>
  <c r="U11" i="3"/>
  <c r="T11" i="3"/>
  <c r="S11" i="3"/>
  <c r="R11" i="3"/>
  <c r="Q11" i="3"/>
  <c r="P11" i="3"/>
  <c r="M11" i="3"/>
  <c r="L11" i="3"/>
  <c r="J11" i="3"/>
  <c r="I11" i="3"/>
  <c r="H11" i="3"/>
  <c r="G11" i="3"/>
  <c r="F11" i="3"/>
  <c r="AB10" i="3"/>
  <c r="AA10" i="3"/>
  <c r="W10" i="3"/>
  <c r="V10" i="3"/>
  <c r="U10" i="3"/>
  <c r="T10" i="3"/>
  <c r="S10" i="3"/>
  <c r="R10" i="3"/>
  <c r="Q10" i="3"/>
  <c r="P10" i="3"/>
  <c r="M10" i="3"/>
  <c r="L10" i="3"/>
  <c r="J10" i="3"/>
  <c r="I10" i="3"/>
  <c r="H10" i="3"/>
  <c r="G10" i="3"/>
  <c r="F10" i="3"/>
  <c r="AB9" i="3"/>
  <c r="AA9" i="3"/>
  <c r="W9" i="3"/>
  <c r="V9" i="3"/>
  <c r="U9" i="3"/>
  <c r="T9" i="3"/>
  <c r="S9" i="3"/>
  <c r="R9" i="3"/>
  <c r="Q9" i="3"/>
  <c r="P9" i="3"/>
  <c r="M9" i="3"/>
  <c r="L9" i="3"/>
  <c r="J9" i="3"/>
  <c r="I9" i="3"/>
  <c r="H9" i="3"/>
  <c r="G9" i="3"/>
  <c r="F9" i="3"/>
  <c r="AB8" i="3"/>
  <c r="AA8" i="3"/>
  <c r="W8" i="3"/>
  <c r="V8" i="3"/>
  <c r="U8" i="3"/>
  <c r="T8" i="3"/>
  <c r="S8" i="3"/>
  <c r="R8" i="3"/>
  <c r="Q8" i="3"/>
  <c r="P8" i="3"/>
  <c r="M8" i="3"/>
  <c r="L8" i="3"/>
  <c r="J8" i="3"/>
  <c r="I8" i="3"/>
  <c r="H8" i="3"/>
  <c r="G8" i="3"/>
  <c r="F8" i="3"/>
  <c r="AB7" i="3"/>
  <c r="AA7" i="3"/>
  <c r="W7" i="3"/>
  <c r="V7" i="3"/>
  <c r="U7" i="3"/>
  <c r="T7" i="3"/>
  <c r="S7" i="3"/>
  <c r="R7" i="3"/>
  <c r="Q7" i="3"/>
  <c r="P7" i="3"/>
  <c r="M7" i="3"/>
  <c r="L7" i="3"/>
  <c r="J7" i="3"/>
  <c r="I7" i="3"/>
  <c r="H7" i="3"/>
  <c r="G7" i="3"/>
  <c r="F7" i="3"/>
  <c r="AB5" i="3"/>
  <c r="AA5" i="3"/>
  <c r="W5" i="3"/>
  <c r="V5" i="3"/>
  <c r="U5" i="3"/>
  <c r="T5" i="3"/>
  <c r="S5" i="3"/>
  <c r="R5" i="3"/>
  <c r="Q5" i="3"/>
  <c r="P5" i="3"/>
  <c r="M5" i="3"/>
  <c r="L5" i="3"/>
  <c r="J5" i="3"/>
  <c r="I5" i="3"/>
  <c r="H5" i="3"/>
  <c r="G5" i="3"/>
  <c r="F5" i="3"/>
  <c r="AB4" i="3"/>
  <c r="AA4" i="3"/>
  <c r="W4" i="3"/>
  <c r="V4" i="3"/>
  <c r="U4" i="3"/>
  <c r="T4" i="3"/>
  <c r="S4" i="3"/>
  <c r="R4" i="3"/>
  <c r="Q4" i="3"/>
  <c r="P4" i="3"/>
  <c r="M4" i="3"/>
  <c r="L4" i="3"/>
  <c r="J4" i="3"/>
  <c r="I4" i="3"/>
  <c r="H4" i="3"/>
  <c r="G4" i="3"/>
  <c r="F4" i="3"/>
  <c r="AB3" i="3"/>
  <c r="AA3" i="3"/>
  <c r="W3" i="3"/>
  <c r="V3" i="3"/>
  <c r="U3" i="3"/>
  <c r="T3" i="3"/>
  <c r="S3" i="3"/>
  <c r="R3" i="3"/>
  <c r="Q3" i="3"/>
  <c r="P3" i="3"/>
  <c r="M3" i="3"/>
  <c r="L3" i="3"/>
  <c r="J3" i="3"/>
  <c r="I3" i="3"/>
  <c r="H3" i="3"/>
  <c r="G3" i="3"/>
  <c r="F3" i="3"/>
  <c r="AB173" i="2"/>
  <c r="AA173" i="2"/>
  <c r="W173" i="2"/>
  <c r="V173" i="2"/>
  <c r="U173" i="2"/>
  <c r="T173" i="2"/>
  <c r="S173" i="2"/>
  <c r="R173" i="2"/>
  <c r="Q173" i="2"/>
  <c r="P173" i="2"/>
  <c r="M173" i="2"/>
  <c r="L173" i="2"/>
  <c r="J173" i="2"/>
  <c r="I173" i="2"/>
  <c r="H173" i="2"/>
  <c r="G173" i="2"/>
  <c r="F173" i="2"/>
  <c r="AB172" i="2"/>
  <c r="AA172" i="2"/>
  <c r="W172" i="2"/>
  <c r="V172" i="2"/>
  <c r="U172" i="2"/>
  <c r="T172" i="2"/>
  <c r="S172" i="2"/>
  <c r="R172" i="2"/>
  <c r="Q172" i="2"/>
  <c r="P172" i="2"/>
  <c r="M172" i="2"/>
  <c r="L172" i="2"/>
  <c r="J172" i="2"/>
  <c r="I172" i="2"/>
  <c r="H172" i="2"/>
  <c r="G172" i="2"/>
  <c r="F172" i="2"/>
  <c r="AB171" i="2"/>
  <c r="AA171" i="2"/>
  <c r="W171" i="2"/>
  <c r="V171" i="2"/>
  <c r="U171" i="2"/>
  <c r="T171" i="2"/>
  <c r="S171" i="2"/>
  <c r="R171" i="2"/>
  <c r="Q171" i="2"/>
  <c r="P171" i="2"/>
  <c r="M171" i="2"/>
  <c r="L171" i="2"/>
  <c r="J171" i="2"/>
  <c r="I171" i="2"/>
  <c r="H171" i="2"/>
  <c r="G171" i="2"/>
  <c r="F171" i="2"/>
  <c r="K171" i="2" s="1"/>
  <c r="AB169" i="2"/>
  <c r="AA169" i="2"/>
  <c r="W169" i="2"/>
  <c r="V169" i="2"/>
  <c r="U169" i="2"/>
  <c r="T169" i="2"/>
  <c r="S169" i="2"/>
  <c r="R169" i="2"/>
  <c r="Q169" i="2"/>
  <c r="P169" i="2"/>
  <c r="M169" i="2"/>
  <c r="L169" i="2"/>
  <c r="J169" i="2"/>
  <c r="I169" i="2"/>
  <c r="H169" i="2"/>
  <c r="G169" i="2"/>
  <c r="F169" i="2"/>
  <c r="AB168" i="2"/>
  <c r="AA168" i="2"/>
  <c r="W168" i="2"/>
  <c r="V168" i="2"/>
  <c r="U168" i="2"/>
  <c r="T168" i="2"/>
  <c r="S168" i="2"/>
  <c r="R168" i="2"/>
  <c r="Q168" i="2"/>
  <c r="P168" i="2"/>
  <c r="M168" i="2"/>
  <c r="L168" i="2"/>
  <c r="J168" i="2"/>
  <c r="I168" i="2"/>
  <c r="H168" i="2"/>
  <c r="G168" i="2"/>
  <c r="F168" i="2"/>
  <c r="AB167" i="2"/>
  <c r="AA167" i="2"/>
  <c r="W167" i="2"/>
  <c r="V167" i="2"/>
  <c r="U167" i="2"/>
  <c r="T167" i="2"/>
  <c r="S167" i="2"/>
  <c r="R167" i="2"/>
  <c r="Q167" i="2"/>
  <c r="P167" i="2"/>
  <c r="M167" i="2"/>
  <c r="L167" i="2"/>
  <c r="J167" i="2"/>
  <c r="I167" i="2"/>
  <c r="H167" i="2"/>
  <c r="G167" i="2"/>
  <c r="F167" i="2"/>
  <c r="AB166" i="2"/>
  <c r="AA166" i="2"/>
  <c r="W166" i="2"/>
  <c r="V166" i="2"/>
  <c r="U166" i="2"/>
  <c r="T166" i="2"/>
  <c r="S166" i="2"/>
  <c r="R166" i="2"/>
  <c r="Q166" i="2"/>
  <c r="P166" i="2"/>
  <c r="M166" i="2"/>
  <c r="L166" i="2"/>
  <c r="J166" i="2"/>
  <c r="I166" i="2"/>
  <c r="H166" i="2"/>
  <c r="G166" i="2"/>
  <c r="F166" i="2"/>
  <c r="AB165" i="2"/>
  <c r="AA165" i="2"/>
  <c r="W165" i="2"/>
  <c r="V165" i="2"/>
  <c r="U165" i="2"/>
  <c r="T165" i="2"/>
  <c r="S165" i="2"/>
  <c r="R165" i="2"/>
  <c r="Q165" i="2"/>
  <c r="P165" i="2"/>
  <c r="M165" i="2"/>
  <c r="L165" i="2"/>
  <c r="J165" i="2"/>
  <c r="I165" i="2"/>
  <c r="H165" i="2"/>
  <c r="G165" i="2"/>
  <c r="F165" i="2"/>
  <c r="AB163" i="2"/>
  <c r="AA163" i="2"/>
  <c r="W163" i="2"/>
  <c r="V163" i="2"/>
  <c r="U163" i="2"/>
  <c r="T163" i="2"/>
  <c r="S163" i="2"/>
  <c r="R163" i="2"/>
  <c r="Q163" i="2"/>
  <c r="P163" i="2"/>
  <c r="M163" i="2"/>
  <c r="L163" i="2"/>
  <c r="J163" i="2"/>
  <c r="I163" i="2"/>
  <c r="H163" i="2"/>
  <c r="G163" i="2"/>
  <c r="F163" i="2"/>
  <c r="AB162" i="2"/>
  <c r="AA162" i="2"/>
  <c r="W162" i="2"/>
  <c r="V162" i="2"/>
  <c r="U162" i="2"/>
  <c r="T162" i="2"/>
  <c r="S162" i="2"/>
  <c r="R162" i="2"/>
  <c r="Q162" i="2"/>
  <c r="P162" i="2"/>
  <c r="M162" i="2"/>
  <c r="L162" i="2"/>
  <c r="J162" i="2"/>
  <c r="I162" i="2"/>
  <c r="H162" i="2"/>
  <c r="G162" i="2"/>
  <c r="F162" i="2"/>
  <c r="AB161" i="2"/>
  <c r="AA161" i="2"/>
  <c r="W161" i="2"/>
  <c r="V161" i="2"/>
  <c r="U161" i="2"/>
  <c r="T161" i="2"/>
  <c r="S161" i="2"/>
  <c r="R161" i="2"/>
  <c r="Q161" i="2"/>
  <c r="P161" i="2"/>
  <c r="M161" i="2"/>
  <c r="L161" i="2"/>
  <c r="J161" i="2"/>
  <c r="I161" i="2"/>
  <c r="H161" i="2"/>
  <c r="G161" i="2"/>
  <c r="F161" i="2"/>
  <c r="K161" i="2" s="1"/>
  <c r="AB158" i="2"/>
  <c r="AA158" i="2"/>
  <c r="W158" i="2"/>
  <c r="V158" i="2"/>
  <c r="U158" i="2"/>
  <c r="T158" i="2"/>
  <c r="S158" i="2"/>
  <c r="R158" i="2"/>
  <c r="Q158" i="2"/>
  <c r="P158" i="2"/>
  <c r="M158" i="2"/>
  <c r="L158" i="2"/>
  <c r="J158" i="2"/>
  <c r="I158" i="2"/>
  <c r="H158" i="2"/>
  <c r="G158" i="2"/>
  <c r="F158" i="2"/>
  <c r="AB157" i="2"/>
  <c r="AA157" i="2"/>
  <c r="W157" i="2"/>
  <c r="V157" i="2"/>
  <c r="U157" i="2"/>
  <c r="T157" i="2"/>
  <c r="S157" i="2"/>
  <c r="R157" i="2"/>
  <c r="Q157" i="2"/>
  <c r="P157" i="2"/>
  <c r="M157" i="2"/>
  <c r="L157" i="2"/>
  <c r="J157" i="2"/>
  <c r="I157" i="2"/>
  <c r="H157" i="2"/>
  <c r="G157" i="2"/>
  <c r="F157" i="2"/>
  <c r="AB156" i="2"/>
  <c r="AA156" i="2"/>
  <c r="W156" i="2"/>
  <c r="V156" i="2"/>
  <c r="U156" i="2"/>
  <c r="T156" i="2"/>
  <c r="S156" i="2"/>
  <c r="R156" i="2"/>
  <c r="Q156" i="2"/>
  <c r="P156" i="2"/>
  <c r="M156" i="2"/>
  <c r="L156" i="2"/>
  <c r="J156" i="2"/>
  <c r="I156" i="2"/>
  <c r="H156" i="2"/>
  <c r="G156" i="2"/>
  <c r="F156" i="2"/>
  <c r="AB155" i="2"/>
  <c r="AA155" i="2"/>
  <c r="W155" i="2"/>
  <c r="V155" i="2"/>
  <c r="U155" i="2"/>
  <c r="T155" i="2"/>
  <c r="S155" i="2"/>
  <c r="R155" i="2"/>
  <c r="Q155" i="2"/>
  <c r="P155" i="2"/>
  <c r="M155" i="2"/>
  <c r="L155" i="2"/>
  <c r="J155" i="2"/>
  <c r="I155" i="2"/>
  <c r="H155" i="2"/>
  <c r="G155" i="2"/>
  <c r="F155" i="2"/>
  <c r="AB154" i="2"/>
  <c r="AA154" i="2"/>
  <c r="W154" i="2"/>
  <c r="V154" i="2"/>
  <c r="U154" i="2"/>
  <c r="T154" i="2"/>
  <c r="S154" i="2"/>
  <c r="R154" i="2"/>
  <c r="Q154" i="2"/>
  <c r="P154" i="2"/>
  <c r="M154" i="2"/>
  <c r="L154" i="2"/>
  <c r="J154" i="2"/>
  <c r="I154" i="2"/>
  <c r="H154" i="2"/>
  <c r="G154" i="2"/>
  <c r="F154" i="2"/>
  <c r="AB153" i="2"/>
  <c r="AA153" i="2"/>
  <c r="W153" i="2"/>
  <c r="V153" i="2"/>
  <c r="U153" i="2"/>
  <c r="T153" i="2"/>
  <c r="S153" i="2"/>
  <c r="R153" i="2"/>
  <c r="Q153" i="2"/>
  <c r="P153" i="2"/>
  <c r="M153" i="2"/>
  <c r="L153" i="2"/>
  <c r="J153" i="2"/>
  <c r="I153" i="2"/>
  <c r="H153" i="2"/>
  <c r="G153" i="2"/>
  <c r="F153" i="2"/>
  <c r="AB152" i="2"/>
  <c r="AA152" i="2"/>
  <c r="W152" i="2"/>
  <c r="V152" i="2"/>
  <c r="U152" i="2"/>
  <c r="T152" i="2"/>
  <c r="S152" i="2"/>
  <c r="R152" i="2"/>
  <c r="Q152" i="2"/>
  <c r="P152" i="2"/>
  <c r="M152" i="2"/>
  <c r="L152" i="2"/>
  <c r="J152" i="2"/>
  <c r="I152" i="2"/>
  <c r="H152" i="2"/>
  <c r="G152" i="2"/>
  <c r="F152" i="2"/>
  <c r="AB151" i="2"/>
  <c r="AA151" i="2"/>
  <c r="W151" i="2"/>
  <c r="V151" i="2"/>
  <c r="U151" i="2"/>
  <c r="T151" i="2"/>
  <c r="S151" i="2"/>
  <c r="R151" i="2"/>
  <c r="Q151" i="2"/>
  <c r="P151" i="2"/>
  <c r="M151" i="2"/>
  <c r="L151" i="2"/>
  <c r="J151" i="2"/>
  <c r="I151" i="2"/>
  <c r="H151" i="2"/>
  <c r="G151" i="2"/>
  <c r="F151" i="2"/>
  <c r="K151" i="2" s="1"/>
  <c r="AB150" i="2"/>
  <c r="AA150" i="2"/>
  <c r="W150" i="2"/>
  <c r="V150" i="2"/>
  <c r="U150" i="2"/>
  <c r="T150" i="2"/>
  <c r="S150" i="2"/>
  <c r="R150" i="2"/>
  <c r="Q150" i="2"/>
  <c r="P150" i="2"/>
  <c r="M150" i="2"/>
  <c r="L150" i="2"/>
  <c r="J150" i="2"/>
  <c r="I150" i="2"/>
  <c r="H150" i="2"/>
  <c r="G150" i="2"/>
  <c r="F150" i="2"/>
  <c r="AB149" i="2"/>
  <c r="AA149" i="2"/>
  <c r="W149" i="2"/>
  <c r="V149" i="2"/>
  <c r="U149" i="2"/>
  <c r="T149" i="2"/>
  <c r="S149" i="2"/>
  <c r="R149" i="2"/>
  <c r="Q149" i="2"/>
  <c r="P149" i="2"/>
  <c r="M149" i="2"/>
  <c r="L149" i="2"/>
  <c r="J149" i="2"/>
  <c r="I149" i="2"/>
  <c r="H149" i="2"/>
  <c r="G149" i="2"/>
  <c r="F149" i="2"/>
  <c r="AB148" i="2"/>
  <c r="AA148" i="2"/>
  <c r="W148" i="2"/>
  <c r="V148" i="2"/>
  <c r="U148" i="2"/>
  <c r="T148" i="2"/>
  <c r="S148" i="2"/>
  <c r="R148" i="2"/>
  <c r="Q148" i="2"/>
  <c r="P148" i="2"/>
  <c r="M148" i="2"/>
  <c r="L148" i="2"/>
  <c r="J148" i="2"/>
  <c r="I148" i="2"/>
  <c r="H148" i="2"/>
  <c r="G148" i="2"/>
  <c r="F148" i="2"/>
  <c r="AB147" i="2"/>
  <c r="AA147" i="2"/>
  <c r="W147" i="2"/>
  <c r="V147" i="2"/>
  <c r="U147" i="2"/>
  <c r="T147" i="2"/>
  <c r="S147" i="2"/>
  <c r="R147" i="2"/>
  <c r="Q147" i="2"/>
  <c r="P147" i="2"/>
  <c r="M147" i="2"/>
  <c r="L147" i="2"/>
  <c r="J147" i="2"/>
  <c r="I147" i="2"/>
  <c r="H147" i="2"/>
  <c r="G147" i="2"/>
  <c r="F147" i="2"/>
  <c r="AB146" i="2"/>
  <c r="AA146" i="2"/>
  <c r="W146" i="2"/>
  <c r="V146" i="2"/>
  <c r="U146" i="2"/>
  <c r="T146" i="2"/>
  <c r="S146" i="2"/>
  <c r="R146" i="2"/>
  <c r="Q146" i="2"/>
  <c r="P146" i="2"/>
  <c r="M146" i="2"/>
  <c r="L146" i="2"/>
  <c r="J146" i="2"/>
  <c r="I146" i="2"/>
  <c r="H146" i="2"/>
  <c r="G146" i="2"/>
  <c r="F146" i="2"/>
  <c r="AB143" i="2"/>
  <c r="AA143" i="2"/>
  <c r="W143" i="2"/>
  <c r="V143" i="2"/>
  <c r="U143" i="2"/>
  <c r="T143" i="2"/>
  <c r="S143" i="2"/>
  <c r="R143" i="2"/>
  <c r="Q143" i="2"/>
  <c r="P143" i="2"/>
  <c r="M143" i="2"/>
  <c r="L143" i="2"/>
  <c r="J143" i="2"/>
  <c r="I143" i="2"/>
  <c r="H143" i="2"/>
  <c r="G143" i="2"/>
  <c r="F143" i="2"/>
  <c r="AB142" i="2"/>
  <c r="AA142" i="2"/>
  <c r="W142" i="2"/>
  <c r="V142" i="2"/>
  <c r="U142" i="2"/>
  <c r="T142" i="2"/>
  <c r="S142" i="2"/>
  <c r="R142" i="2"/>
  <c r="Q142" i="2"/>
  <c r="P142" i="2"/>
  <c r="M142" i="2"/>
  <c r="L142" i="2"/>
  <c r="J142" i="2"/>
  <c r="I142" i="2"/>
  <c r="H142" i="2"/>
  <c r="G142" i="2"/>
  <c r="F142" i="2"/>
  <c r="AB141" i="2"/>
  <c r="AA141" i="2"/>
  <c r="W141" i="2"/>
  <c r="V141" i="2"/>
  <c r="U141" i="2"/>
  <c r="T141" i="2"/>
  <c r="S141" i="2"/>
  <c r="R141" i="2"/>
  <c r="Q141" i="2"/>
  <c r="P141" i="2"/>
  <c r="M141" i="2"/>
  <c r="L141" i="2"/>
  <c r="J141" i="2"/>
  <c r="I141" i="2"/>
  <c r="H141" i="2"/>
  <c r="G141" i="2"/>
  <c r="F141" i="2"/>
  <c r="K141" i="2" s="1"/>
  <c r="AB140" i="2"/>
  <c r="AA140" i="2"/>
  <c r="W140" i="2"/>
  <c r="V140" i="2"/>
  <c r="U140" i="2"/>
  <c r="T140" i="2"/>
  <c r="S140" i="2"/>
  <c r="R140" i="2"/>
  <c r="Q140" i="2"/>
  <c r="P140" i="2"/>
  <c r="M140" i="2"/>
  <c r="L140" i="2"/>
  <c r="J140" i="2"/>
  <c r="I140" i="2"/>
  <c r="H140" i="2"/>
  <c r="G140" i="2"/>
  <c r="F140" i="2"/>
  <c r="AB139" i="2"/>
  <c r="AA139" i="2"/>
  <c r="W139" i="2"/>
  <c r="V139" i="2"/>
  <c r="U139" i="2"/>
  <c r="T139" i="2"/>
  <c r="S139" i="2"/>
  <c r="R139" i="2"/>
  <c r="Q139" i="2"/>
  <c r="P139" i="2"/>
  <c r="M139" i="2"/>
  <c r="L139" i="2"/>
  <c r="J139" i="2"/>
  <c r="I139" i="2"/>
  <c r="H139" i="2"/>
  <c r="G139" i="2"/>
  <c r="F139" i="2"/>
  <c r="AB138" i="2"/>
  <c r="AA138" i="2"/>
  <c r="W138" i="2"/>
  <c r="V138" i="2"/>
  <c r="U138" i="2"/>
  <c r="T138" i="2"/>
  <c r="S138" i="2"/>
  <c r="R138" i="2"/>
  <c r="Q138" i="2"/>
  <c r="P138" i="2"/>
  <c r="M138" i="2"/>
  <c r="L138" i="2"/>
  <c r="J138" i="2"/>
  <c r="I138" i="2"/>
  <c r="H138" i="2"/>
  <c r="G138" i="2"/>
  <c r="F138" i="2"/>
  <c r="AB137" i="2"/>
  <c r="AA137" i="2"/>
  <c r="W137" i="2"/>
  <c r="V137" i="2"/>
  <c r="U137" i="2"/>
  <c r="T137" i="2"/>
  <c r="S137" i="2"/>
  <c r="R137" i="2"/>
  <c r="Q137" i="2"/>
  <c r="P137" i="2"/>
  <c r="M137" i="2"/>
  <c r="L137" i="2"/>
  <c r="J137" i="2"/>
  <c r="I137" i="2"/>
  <c r="H137" i="2"/>
  <c r="G137" i="2"/>
  <c r="F137" i="2"/>
  <c r="AB136" i="2"/>
  <c r="AA136" i="2"/>
  <c r="W136" i="2"/>
  <c r="V136" i="2"/>
  <c r="U136" i="2"/>
  <c r="T136" i="2"/>
  <c r="S136" i="2"/>
  <c r="R136" i="2"/>
  <c r="Q136" i="2"/>
  <c r="P136" i="2"/>
  <c r="M136" i="2"/>
  <c r="L136" i="2"/>
  <c r="J136" i="2"/>
  <c r="I136" i="2"/>
  <c r="H136" i="2"/>
  <c r="G136" i="2"/>
  <c r="F136" i="2"/>
  <c r="AB135" i="2"/>
  <c r="AA135" i="2"/>
  <c r="W135" i="2"/>
  <c r="V135" i="2"/>
  <c r="U135" i="2"/>
  <c r="T135" i="2"/>
  <c r="S135" i="2"/>
  <c r="R135" i="2"/>
  <c r="Q135" i="2"/>
  <c r="P135" i="2"/>
  <c r="M135" i="2"/>
  <c r="L135" i="2"/>
  <c r="J135" i="2"/>
  <c r="I135" i="2"/>
  <c r="H135" i="2"/>
  <c r="G135" i="2"/>
  <c r="F135" i="2"/>
  <c r="AB133" i="2"/>
  <c r="AA133" i="2"/>
  <c r="W133" i="2"/>
  <c r="V133" i="2"/>
  <c r="U133" i="2"/>
  <c r="T133" i="2"/>
  <c r="S133" i="2"/>
  <c r="R133" i="2"/>
  <c r="Q133" i="2"/>
  <c r="P133" i="2"/>
  <c r="M133" i="2"/>
  <c r="L133" i="2"/>
  <c r="J133" i="2"/>
  <c r="I133" i="2"/>
  <c r="H133" i="2"/>
  <c r="G133" i="2"/>
  <c r="F133" i="2"/>
  <c r="AB131" i="2"/>
  <c r="AA131" i="2"/>
  <c r="W131" i="2"/>
  <c r="V131" i="2"/>
  <c r="U131" i="2"/>
  <c r="T131" i="2"/>
  <c r="S131" i="2"/>
  <c r="R131" i="2"/>
  <c r="Q131" i="2"/>
  <c r="P131" i="2"/>
  <c r="M131" i="2"/>
  <c r="L131" i="2"/>
  <c r="J131" i="2"/>
  <c r="I131" i="2"/>
  <c r="H131" i="2"/>
  <c r="G131" i="2"/>
  <c r="F131" i="2"/>
  <c r="AB130" i="2"/>
  <c r="AA130" i="2"/>
  <c r="W130" i="2"/>
  <c r="V130" i="2"/>
  <c r="U130" i="2"/>
  <c r="T130" i="2"/>
  <c r="S130" i="2"/>
  <c r="R130" i="2"/>
  <c r="Q130" i="2"/>
  <c r="P130" i="2"/>
  <c r="M130" i="2"/>
  <c r="L130" i="2"/>
  <c r="J130" i="2"/>
  <c r="I130" i="2"/>
  <c r="H130" i="2"/>
  <c r="G130" i="2"/>
  <c r="F130" i="2"/>
  <c r="AB128" i="2"/>
  <c r="AA128" i="2"/>
  <c r="W128" i="2"/>
  <c r="V128" i="2"/>
  <c r="U128" i="2"/>
  <c r="T128" i="2"/>
  <c r="S128" i="2"/>
  <c r="R128" i="2"/>
  <c r="Q128" i="2"/>
  <c r="P128" i="2"/>
  <c r="M128" i="2"/>
  <c r="L128" i="2"/>
  <c r="J128" i="2"/>
  <c r="I128" i="2"/>
  <c r="H128" i="2"/>
  <c r="G128" i="2"/>
  <c r="F128" i="2"/>
  <c r="AB126" i="2"/>
  <c r="AA126" i="2"/>
  <c r="W126" i="2"/>
  <c r="V126" i="2"/>
  <c r="U126" i="2"/>
  <c r="T126" i="2"/>
  <c r="S126" i="2"/>
  <c r="R126" i="2"/>
  <c r="Q126" i="2"/>
  <c r="P126" i="2"/>
  <c r="M126" i="2"/>
  <c r="L126" i="2"/>
  <c r="J126" i="2"/>
  <c r="I126" i="2"/>
  <c r="H126" i="2"/>
  <c r="G126" i="2"/>
  <c r="F126" i="2"/>
  <c r="AB125" i="2"/>
  <c r="AA125" i="2"/>
  <c r="W125" i="2"/>
  <c r="V125" i="2"/>
  <c r="U125" i="2"/>
  <c r="T125" i="2"/>
  <c r="S125" i="2"/>
  <c r="R125" i="2"/>
  <c r="Q125" i="2"/>
  <c r="P125" i="2"/>
  <c r="M125" i="2"/>
  <c r="L125" i="2"/>
  <c r="J125" i="2"/>
  <c r="I125" i="2"/>
  <c r="H125" i="2"/>
  <c r="G125" i="2"/>
  <c r="F125" i="2"/>
  <c r="AB124" i="2"/>
  <c r="AA124" i="2"/>
  <c r="W124" i="2"/>
  <c r="V124" i="2"/>
  <c r="U124" i="2"/>
  <c r="T124" i="2"/>
  <c r="S124" i="2"/>
  <c r="R124" i="2"/>
  <c r="Q124" i="2"/>
  <c r="P124" i="2"/>
  <c r="M124" i="2"/>
  <c r="L124" i="2"/>
  <c r="J124" i="2"/>
  <c r="I124" i="2"/>
  <c r="H124" i="2"/>
  <c r="G124" i="2"/>
  <c r="F124" i="2"/>
  <c r="K124" i="2" s="1"/>
  <c r="AB123" i="2"/>
  <c r="AA123" i="2"/>
  <c r="W123" i="2"/>
  <c r="V123" i="2"/>
  <c r="U123" i="2"/>
  <c r="T123" i="2"/>
  <c r="S123" i="2"/>
  <c r="R123" i="2"/>
  <c r="Q123" i="2"/>
  <c r="P123" i="2"/>
  <c r="M123" i="2"/>
  <c r="L123" i="2"/>
  <c r="J123" i="2"/>
  <c r="I123" i="2"/>
  <c r="H123" i="2"/>
  <c r="G123" i="2"/>
  <c r="F123" i="2"/>
  <c r="AB122" i="2"/>
  <c r="AA122" i="2"/>
  <c r="W122" i="2"/>
  <c r="V122" i="2"/>
  <c r="U122" i="2"/>
  <c r="T122" i="2"/>
  <c r="S122" i="2"/>
  <c r="R122" i="2"/>
  <c r="Q122" i="2"/>
  <c r="P122" i="2"/>
  <c r="M122" i="2"/>
  <c r="L122" i="2"/>
  <c r="J122" i="2"/>
  <c r="I122" i="2"/>
  <c r="H122" i="2"/>
  <c r="G122" i="2"/>
  <c r="F122" i="2"/>
  <c r="AB121" i="2"/>
  <c r="AA121" i="2"/>
  <c r="W121" i="2"/>
  <c r="V121" i="2"/>
  <c r="U121" i="2"/>
  <c r="T121" i="2"/>
  <c r="S121" i="2"/>
  <c r="R121" i="2"/>
  <c r="Q121" i="2"/>
  <c r="P121" i="2"/>
  <c r="M121" i="2"/>
  <c r="L121" i="2"/>
  <c r="J121" i="2"/>
  <c r="I121" i="2"/>
  <c r="H121" i="2"/>
  <c r="G121" i="2"/>
  <c r="F121" i="2"/>
  <c r="AB120" i="2"/>
  <c r="AA120" i="2"/>
  <c r="W120" i="2"/>
  <c r="V120" i="2"/>
  <c r="U120" i="2"/>
  <c r="T120" i="2"/>
  <c r="S120" i="2"/>
  <c r="R120" i="2"/>
  <c r="Q120" i="2"/>
  <c r="P120" i="2"/>
  <c r="M120" i="2"/>
  <c r="L120" i="2"/>
  <c r="J120" i="2"/>
  <c r="I120" i="2"/>
  <c r="H120" i="2"/>
  <c r="G120" i="2"/>
  <c r="F120" i="2"/>
  <c r="AB119" i="2"/>
  <c r="AA119" i="2"/>
  <c r="W119" i="2"/>
  <c r="V119" i="2"/>
  <c r="U119" i="2"/>
  <c r="T119" i="2"/>
  <c r="S119" i="2"/>
  <c r="R119" i="2"/>
  <c r="Q119" i="2"/>
  <c r="P119" i="2"/>
  <c r="M119" i="2"/>
  <c r="L119" i="2"/>
  <c r="J119" i="2"/>
  <c r="I119" i="2"/>
  <c r="H119" i="2"/>
  <c r="G119" i="2"/>
  <c r="F119" i="2"/>
  <c r="AB118" i="2"/>
  <c r="AA118" i="2"/>
  <c r="W118" i="2"/>
  <c r="V118" i="2"/>
  <c r="U118" i="2"/>
  <c r="T118" i="2"/>
  <c r="S118" i="2"/>
  <c r="R118" i="2"/>
  <c r="Q118" i="2"/>
  <c r="P118" i="2"/>
  <c r="M118" i="2"/>
  <c r="L118" i="2"/>
  <c r="J118" i="2"/>
  <c r="I118" i="2"/>
  <c r="H118" i="2"/>
  <c r="G118" i="2"/>
  <c r="F118" i="2"/>
  <c r="AB116" i="2"/>
  <c r="AA116" i="2"/>
  <c r="W116" i="2"/>
  <c r="V116" i="2"/>
  <c r="U116" i="2"/>
  <c r="T116" i="2"/>
  <c r="S116" i="2"/>
  <c r="R116" i="2"/>
  <c r="Q116" i="2"/>
  <c r="P116" i="2"/>
  <c r="M116" i="2"/>
  <c r="L116" i="2"/>
  <c r="J116" i="2"/>
  <c r="I116" i="2"/>
  <c r="H116" i="2"/>
  <c r="G116" i="2"/>
  <c r="F116" i="2"/>
  <c r="AB115" i="2"/>
  <c r="AA115" i="2"/>
  <c r="W115" i="2"/>
  <c r="V115" i="2"/>
  <c r="U115" i="2"/>
  <c r="T115" i="2"/>
  <c r="S115" i="2"/>
  <c r="R115" i="2"/>
  <c r="Q115" i="2"/>
  <c r="P115" i="2"/>
  <c r="M115" i="2"/>
  <c r="L115" i="2"/>
  <c r="J115" i="2"/>
  <c r="I115" i="2"/>
  <c r="H115" i="2"/>
  <c r="G115" i="2"/>
  <c r="F115" i="2"/>
  <c r="AB114" i="2"/>
  <c r="AA114" i="2"/>
  <c r="W114" i="2"/>
  <c r="V114" i="2"/>
  <c r="U114" i="2"/>
  <c r="T114" i="2"/>
  <c r="S114" i="2"/>
  <c r="R114" i="2"/>
  <c r="Q114" i="2"/>
  <c r="P114" i="2"/>
  <c r="M114" i="2"/>
  <c r="L114" i="2"/>
  <c r="J114" i="2"/>
  <c r="I114" i="2"/>
  <c r="H114" i="2"/>
  <c r="G114" i="2"/>
  <c r="F114" i="2"/>
  <c r="AB110" i="2"/>
  <c r="AA110" i="2"/>
  <c r="W110" i="2"/>
  <c r="V110" i="2"/>
  <c r="U110" i="2"/>
  <c r="T110" i="2"/>
  <c r="S110" i="2"/>
  <c r="R110" i="2"/>
  <c r="Q110" i="2"/>
  <c r="P110" i="2"/>
  <c r="M110" i="2"/>
  <c r="L110" i="2"/>
  <c r="J110" i="2"/>
  <c r="I110" i="2"/>
  <c r="H110" i="2"/>
  <c r="G110" i="2"/>
  <c r="F110" i="2"/>
  <c r="AB108" i="2"/>
  <c r="AA108" i="2"/>
  <c r="W108" i="2"/>
  <c r="V108" i="2"/>
  <c r="U108" i="2"/>
  <c r="T108" i="2"/>
  <c r="S108" i="2"/>
  <c r="R108" i="2"/>
  <c r="Q108" i="2"/>
  <c r="P108" i="2"/>
  <c r="M108" i="2"/>
  <c r="L108" i="2"/>
  <c r="J108" i="2"/>
  <c r="I108" i="2"/>
  <c r="H108" i="2"/>
  <c r="G108" i="2"/>
  <c r="F108" i="2"/>
  <c r="AB105" i="2"/>
  <c r="AA105" i="2"/>
  <c r="W105" i="2"/>
  <c r="V105" i="2"/>
  <c r="U105" i="2"/>
  <c r="T105" i="2"/>
  <c r="S105" i="2"/>
  <c r="R105" i="2"/>
  <c r="Q105" i="2"/>
  <c r="P105" i="2"/>
  <c r="M105" i="2"/>
  <c r="L105" i="2"/>
  <c r="J105" i="2"/>
  <c r="I105" i="2"/>
  <c r="H105" i="2"/>
  <c r="G105" i="2"/>
  <c r="F105" i="2"/>
  <c r="AB104" i="2"/>
  <c r="AA104" i="2"/>
  <c r="W104" i="2"/>
  <c r="V104" i="2"/>
  <c r="U104" i="2"/>
  <c r="T104" i="2"/>
  <c r="S104" i="2"/>
  <c r="R104" i="2"/>
  <c r="Q104" i="2"/>
  <c r="P104" i="2"/>
  <c r="M104" i="2"/>
  <c r="L104" i="2"/>
  <c r="J104" i="2"/>
  <c r="I104" i="2"/>
  <c r="H104" i="2"/>
  <c r="G104" i="2"/>
  <c r="F104" i="2"/>
  <c r="AB103" i="2"/>
  <c r="AA103" i="2"/>
  <c r="W103" i="2"/>
  <c r="V103" i="2"/>
  <c r="U103" i="2"/>
  <c r="T103" i="2"/>
  <c r="S103" i="2"/>
  <c r="R103" i="2"/>
  <c r="Q103" i="2"/>
  <c r="P103" i="2"/>
  <c r="M103" i="2"/>
  <c r="L103" i="2"/>
  <c r="J103" i="2"/>
  <c r="I103" i="2"/>
  <c r="H103" i="2"/>
  <c r="G103" i="2"/>
  <c r="F103" i="2"/>
  <c r="AB101" i="2"/>
  <c r="AA101" i="2"/>
  <c r="W101" i="2"/>
  <c r="V101" i="2"/>
  <c r="U101" i="2"/>
  <c r="T101" i="2"/>
  <c r="S101" i="2"/>
  <c r="R101" i="2"/>
  <c r="Q101" i="2"/>
  <c r="P101" i="2"/>
  <c r="M101" i="2"/>
  <c r="L101" i="2"/>
  <c r="J101" i="2"/>
  <c r="I101" i="2"/>
  <c r="H101" i="2"/>
  <c r="G101" i="2"/>
  <c r="F101" i="2"/>
  <c r="AB100" i="2"/>
  <c r="AA100" i="2"/>
  <c r="W100" i="2"/>
  <c r="V100" i="2"/>
  <c r="U100" i="2"/>
  <c r="T100" i="2"/>
  <c r="S100" i="2"/>
  <c r="R100" i="2"/>
  <c r="Q100" i="2"/>
  <c r="P100" i="2"/>
  <c r="M100" i="2"/>
  <c r="L100" i="2"/>
  <c r="J100" i="2"/>
  <c r="I100" i="2"/>
  <c r="H100" i="2"/>
  <c r="G100" i="2"/>
  <c r="F100" i="2"/>
  <c r="K100" i="2" s="1"/>
  <c r="AB99" i="2"/>
  <c r="AA99" i="2"/>
  <c r="W99" i="2"/>
  <c r="V99" i="2"/>
  <c r="U99" i="2"/>
  <c r="T99" i="2"/>
  <c r="S99" i="2"/>
  <c r="R99" i="2"/>
  <c r="Q99" i="2"/>
  <c r="P99" i="2"/>
  <c r="M99" i="2"/>
  <c r="L99" i="2"/>
  <c r="J99" i="2"/>
  <c r="I99" i="2"/>
  <c r="H99" i="2"/>
  <c r="G99" i="2"/>
  <c r="F99" i="2"/>
  <c r="AB98" i="2"/>
  <c r="AA98" i="2"/>
  <c r="W98" i="2"/>
  <c r="V98" i="2"/>
  <c r="U98" i="2"/>
  <c r="T98" i="2"/>
  <c r="S98" i="2"/>
  <c r="R98" i="2"/>
  <c r="Q98" i="2"/>
  <c r="P98" i="2"/>
  <c r="M98" i="2"/>
  <c r="L98" i="2"/>
  <c r="J98" i="2"/>
  <c r="I98" i="2"/>
  <c r="H98" i="2"/>
  <c r="G98" i="2"/>
  <c r="F98" i="2"/>
  <c r="AB96" i="2"/>
  <c r="AA96" i="2"/>
  <c r="W96" i="2"/>
  <c r="V96" i="2"/>
  <c r="U96" i="2"/>
  <c r="T96" i="2"/>
  <c r="S96" i="2"/>
  <c r="R96" i="2"/>
  <c r="Q96" i="2"/>
  <c r="P96" i="2"/>
  <c r="M96" i="2"/>
  <c r="L96" i="2"/>
  <c r="J96" i="2"/>
  <c r="I96" i="2"/>
  <c r="H96" i="2"/>
  <c r="G96" i="2"/>
  <c r="F96" i="2"/>
  <c r="K96" i="2" s="1"/>
  <c r="AB95" i="2"/>
  <c r="AA95" i="2"/>
  <c r="W95" i="2"/>
  <c r="V95" i="2"/>
  <c r="U95" i="2"/>
  <c r="T95" i="2"/>
  <c r="S95" i="2"/>
  <c r="R95" i="2"/>
  <c r="Q95" i="2"/>
  <c r="P95" i="2"/>
  <c r="M95" i="2"/>
  <c r="L95" i="2"/>
  <c r="J95" i="2"/>
  <c r="I95" i="2"/>
  <c r="H95" i="2"/>
  <c r="G95" i="2"/>
  <c r="F95" i="2"/>
  <c r="AB94" i="2"/>
  <c r="AA94" i="2"/>
  <c r="W94" i="2"/>
  <c r="V94" i="2"/>
  <c r="U94" i="2"/>
  <c r="T94" i="2"/>
  <c r="S94" i="2"/>
  <c r="R94" i="2"/>
  <c r="Q94" i="2"/>
  <c r="P94" i="2"/>
  <c r="M94" i="2"/>
  <c r="L94" i="2"/>
  <c r="J94" i="2"/>
  <c r="I94" i="2"/>
  <c r="H94" i="2"/>
  <c r="G94" i="2"/>
  <c r="F94" i="2"/>
  <c r="AB93" i="2"/>
  <c r="AA93" i="2"/>
  <c r="W93" i="2"/>
  <c r="V93" i="2"/>
  <c r="U93" i="2"/>
  <c r="T93" i="2"/>
  <c r="S93" i="2"/>
  <c r="R93" i="2"/>
  <c r="Q93" i="2"/>
  <c r="P93" i="2"/>
  <c r="M93" i="2"/>
  <c r="L93" i="2"/>
  <c r="J93" i="2"/>
  <c r="I93" i="2"/>
  <c r="H93" i="2"/>
  <c r="G93" i="2"/>
  <c r="F93" i="2"/>
  <c r="AB92" i="2"/>
  <c r="AA92" i="2"/>
  <c r="W92" i="2"/>
  <c r="V92" i="2"/>
  <c r="U92" i="2"/>
  <c r="T92" i="2"/>
  <c r="S92" i="2"/>
  <c r="R92" i="2"/>
  <c r="Q92" i="2"/>
  <c r="P92" i="2"/>
  <c r="M92" i="2"/>
  <c r="L92" i="2"/>
  <c r="J92" i="2"/>
  <c r="I92" i="2"/>
  <c r="H92" i="2"/>
  <c r="G92" i="2"/>
  <c r="F92" i="2"/>
  <c r="AB90" i="2"/>
  <c r="AA90" i="2"/>
  <c r="W90" i="2"/>
  <c r="V90" i="2"/>
  <c r="U90" i="2"/>
  <c r="T90" i="2"/>
  <c r="S90" i="2"/>
  <c r="R90" i="2"/>
  <c r="Q90" i="2"/>
  <c r="P90" i="2"/>
  <c r="M90" i="2"/>
  <c r="L90" i="2"/>
  <c r="J90" i="2"/>
  <c r="I90" i="2"/>
  <c r="H90" i="2"/>
  <c r="G90" i="2"/>
  <c r="F90" i="2"/>
  <c r="AB89" i="2"/>
  <c r="AA89" i="2"/>
  <c r="W89" i="2"/>
  <c r="V89" i="2"/>
  <c r="U89" i="2"/>
  <c r="T89" i="2"/>
  <c r="S89" i="2"/>
  <c r="R89" i="2"/>
  <c r="Q89" i="2"/>
  <c r="P89" i="2"/>
  <c r="M89" i="2"/>
  <c r="L89" i="2"/>
  <c r="J89" i="2"/>
  <c r="I89" i="2"/>
  <c r="H89" i="2"/>
  <c r="G89" i="2"/>
  <c r="F89" i="2"/>
  <c r="AB87" i="2"/>
  <c r="AA87" i="2"/>
  <c r="W87" i="2"/>
  <c r="V87" i="2"/>
  <c r="U87" i="2"/>
  <c r="T87" i="2"/>
  <c r="S87" i="2"/>
  <c r="R87" i="2"/>
  <c r="Q87" i="2"/>
  <c r="P87" i="2"/>
  <c r="M87" i="2"/>
  <c r="L87" i="2"/>
  <c r="J87" i="2"/>
  <c r="I87" i="2"/>
  <c r="H87" i="2"/>
  <c r="G87" i="2"/>
  <c r="F87" i="2"/>
  <c r="AB86" i="2"/>
  <c r="AA86" i="2"/>
  <c r="W86" i="2"/>
  <c r="V86" i="2"/>
  <c r="U86" i="2"/>
  <c r="T86" i="2"/>
  <c r="S86" i="2"/>
  <c r="R86" i="2"/>
  <c r="Q86" i="2"/>
  <c r="P86" i="2"/>
  <c r="M86" i="2"/>
  <c r="L86" i="2"/>
  <c r="J86" i="2"/>
  <c r="I86" i="2"/>
  <c r="H86" i="2"/>
  <c r="G86" i="2"/>
  <c r="F86" i="2"/>
  <c r="K86" i="2" s="1"/>
  <c r="AB85" i="2"/>
  <c r="AA85" i="2"/>
  <c r="W85" i="2"/>
  <c r="V85" i="2"/>
  <c r="U85" i="2"/>
  <c r="T85" i="2"/>
  <c r="S85" i="2"/>
  <c r="R85" i="2"/>
  <c r="Q85" i="2"/>
  <c r="P85" i="2"/>
  <c r="M85" i="2"/>
  <c r="L85" i="2"/>
  <c r="J85" i="2"/>
  <c r="I85" i="2"/>
  <c r="H85" i="2"/>
  <c r="G85" i="2"/>
  <c r="F85" i="2"/>
  <c r="AB84" i="2"/>
  <c r="AA84" i="2"/>
  <c r="W84" i="2"/>
  <c r="V84" i="2"/>
  <c r="U84" i="2"/>
  <c r="T84" i="2"/>
  <c r="S84" i="2"/>
  <c r="R84" i="2"/>
  <c r="Q84" i="2"/>
  <c r="P84" i="2"/>
  <c r="M84" i="2"/>
  <c r="L84" i="2"/>
  <c r="J84" i="2"/>
  <c r="I84" i="2"/>
  <c r="H84" i="2"/>
  <c r="G84" i="2"/>
  <c r="F84" i="2"/>
  <c r="AB83" i="2"/>
  <c r="AA83" i="2"/>
  <c r="W83" i="2"/>
  <c r="V83" i="2"/>
  <c r="U83" i="2"/>
  <c r="T83" i="2"/>
  <c r="S83" i="2"/>
  <c r="R83" i="2"/>
  <c r="Q83" i="2"/>
  <c r="P83" i="2"/>
  <c r="M83" i="2"/>
  <c r="L83" i="2"/>
  <c r="J83" i="2"/>
  <c r="I83" i="2"/>
  <c r="H83" i="2"/>
  <c r="G83" i="2"/>
  <c r="F83" i="2"/>
  <c r="AB82" i="2"/>
  <c r="AA82" i="2"/>
  <c r="W82" i="2"/>
  <c r="V82" i="2"/>
  <c r="U82" i="2"/>
  <c r="T82" i="2"/>
  <c r="S82" i="2"/>
  <c r="R82" i="2"/>
  <c r="Q82" i="2"/>
  <c r="P82" i="2"/>
  <c r="M82" i="2"/>
  <c r="L82" i="2"/>
  <c r="J82" i="2"/>
  <c r="I82" i="2"/>
  <c r="H82" i="2"/>
  <c r="G82" i="2"/>
  <c r="F82" i="2"/>
  <c r="AB81" i="2"/>
  <c r="AA81" i="2"/>
  <c r="W81" i="2"/>
  <c r="V81" i="2"/>
  <c r="U81" i="2"/>
  <c r="T81" i="2"/>
  <c r="S81" i="2"/>
  <c r="R81" i="2"/>
  <c r="Q81" i="2"/>
  <c r="P81" i="2"/>
  <c r="M81" i="2"/>
  <c r="L81" i="2"/>
  <c r="J81" i="2"/>
  <c r="I81" i="2"/>
  <c r="H81" i="2"/>
  <c r="G81" i="2"/>
  <c r="F81" i="2"/>
  <c r="AB80" i="2"/>
  <c r="AA80" i="2"/>
  <c r="W80" i="2"/>
  <c r="V80" i="2"/>
  <c r="U80" i="2"/>
  <c r="T80" i="2"/>
  <c r="S80" i="2"/>
  <c r="R80" i="2"/>
  <c r="Q80" i="2"/>
  <c r="P80" i="2"/>
  <c r="M80" i="2"/>
  <c r="L80" i="2"/>
  <c r="J80" i="2"/>
  <c r="I80" i="2"/>
  <c r="H80" i="2"/>
  <c r="G80" i="2"/>
  <c r="F80" i="2"/>
  <c r="AB79" i="2"/>
  <c r="AA79" i="2"/>
  <c r="W79" i="2"/>
  <c r="V79" i="2"/>
  <c r="U79" i="2"/>
  <c r="T79" i="2"/>
  <c r="S79" i="2"/>
  <c r="R79" i="2"/>
  <c r="Q79" i="2"/>
  <c r="P79" i="2"/>
  <c r="M79" i="2"/>
  <c r="L79" i="2"/>
  <c r="J79" i="2"/>
  <c r="I79" i="2"/>
  <c r="H79" i="2"/>
  <c r="G79" i="2"/>
  <c r="F79" i="2"/>
  <c r="AB78" i="2"/>
  <c r="AA78" i="2"/>
  <c r="W78" i="2"/>
  <c r="V78" i="2"/>
  <c r="U78" i="2"/>
  <c r="T78" i="2"/>
  <c r="S78" i="2"/>
  <c r="R78" i="2"/>
  <c r="Q78" i="2"/>
  <c r="P78" i="2"/>
  <c r="M78" i="2"/>
  <c r="L78" i="2"/>
  <c r="J78" i="2"/>
  <c r="I78" i="2"/>
  <c r="H78" i="2"/>
  <c r="G78" i="2"/>
  <c r="F78" i="2"/>
  <c r="AB77" i="2"/>
  <c r="AA77" i="2"/>
  <c r="W77" i="2"/>
  <c r="V77" i="2"/>
  <c r="U77" i="2"/>
  <c r="T77" i="2"/>
  <c r="S77" i="2"/>
  <c r="R77" i="2"/>
  <c r="Q77" i="2"/>
  <c r="P77" i="2"/>
  <c r="M77" i="2"/>
  <c r="L77" i="2"/>
  <c r="J77" i="2"/>
  <c r="I77" i="2"/>
  <c r="H77" i="2"/>
  <c r="G77" i="2"/>
  <c r="F77" i="2"/>
  <c r="AB74" i="2"/>
  <c r="AA74" i="2"/>
  <c r="W74" i="2"/>
  <c r="V74" i="2"/>
  <c r="U74" i="2"/>
  <c r="T74" i="2"/>
  <c r="S74" i="2"/>
  <c r="R74" i="2"/>
  <c r="Q74" i="2"/>
  <c r="P74" i="2"/>
  <c r="M74" i="2"/>
  <c r="L74" i="2"/>
  <c r="J74" i="2"/>
  <c r="I74" i="2"/>
  <c r="H74" i="2"/>
  <c r="G74" i="2"/>
  <c r="F74" i="2"/>
  <c r="AB72" i="2"/>
  <c r="AA72" i="2"/>
  <c r="W72" i="2"/>
  <c r="V72" i="2"/>
  <c r="U72" i="2"/>
  <c r="T72" i="2"/>
  <c r="S72" i="2"/>
  <c r="R72" i="2"/>
  <c r="Q72" i="2"/>
  <c r="P72" i="2"/>
  <c r="M72" i="2"/>
  <c r="L72" i="2"/>
  <c r="J72" i="2"/>
  <c r="I72" i="2"/>
  <c r="H72" i="2"/>
  <c r="G72" i="2"/>
  <c r="F72" i="2"/>
  <c r="AB71" i="2"/>
  <c r="AA71" i="2"/>
  <c r="W71" i="2"/>
  <c r="V71" i="2"/>
  <c r="U71" i="2"/>
  <c r="T71" i="2"/>
  <c r="S71" i="2"/>
  <c r="R71" i="2"/>
  <c r="Q71" i="2"/>
  <c r="P71" i="2"/>
  <c r="M71" i="2"/>
  <c r="L71" i="2"/>
  <c r="J71" i="2"/>
  <c r="I71" i="2"/>
  <c r="H71" i="2"/>
  <c r="G71" i="2"/>
  <c r="F71" i="2"/>
  <c r="AB70" i="2"/>
  <c r="AA70" i="2"/>
  <c r="W70" i="2"/>
  <c r="V70" i="2"/>
  <c r="U70" i="2"/>
  <c r="T70" i="2"/>
  <c r="S70" i="2"/>
  <c r="R70" i="2"/>
  <c r="Q70" i="2"/>
  <c r="P70" i="2"/>
  <c r="M70" i="2"/>
  <c r="L70" i="2"/>
  <c r="J70" i="2"/>
  <c r="I70" i="2"/>
  <c r="H70" i="2"/>
  <c r="G70" i="2"/>
  <c r="F70" i="2"/>
  <c r="AB68" i="2"/>
  <c r="AA68" i="2"/>
  <c r="W68" i="2"/>
  <c r="V68" i="2"/>
  <c r="U68" i="2"/>
  <c r="T68" i="2"/>
  <c r="S68" i="2"/>
  <c r="R68" i="2"/>
  <c r="Q68" i="2"/>
  <c r="P68" i="2"/>
  <c r="M68" i="2"/>
  <c r="L68" i="2"/>
  <c r="J68" i="2"/>
  <c r="I68" i="2"/>
  <c r="H68" i="2"/>
  <c r="G68" i="2"/>
  <c r="F68" i="2"/>
  <c r="AB67" i="2"/>
  <c r="AA67" i="2"/>
  <c r="W67" i="2"/>
  <c r="V67" i="2"/>
  <c r="U67" i="2"/>
  <c r="T67" i="2"/>
  <c r="S67" i="2"/>
  <c r="R67" i="2"/>
  <c r="Q67" i="2"/>
  <c r="P67" i="2"/>
  <c r="M67" i="2"/>
  <c r="L67" i="2"/>
  <c r="J67" i="2"/>
  <c r="I67" i="2"/>
  <c r="H67" i="2"/>
  <c r="G67" i="2"/>
  <c r="F67" i="2"/>
  <c r="AB66" i="2"/>
  <c r="AA66" i="2"/>
  <c r="W66" i="2"/>
  <c r="V66" i="2"/>
  <c r="U66" i="2"/>
  <c r="T66" i="2"/>
  <c r="S66" i="2"/>
  <c r="R66" i="2"/>
  <c r="Q66" i="2"/>
  <c r="P66" i="2"/>
  <c r="M66" i="2"/>
  <c r="L66" i="2"/>
  <c r="J66" i="2"/>
  <c r="I66" i="2"/>
  <c r="H66" i="2"/>
  <c r="G66" i="2"/>
  <c r="K66" i="2" s="1"/>
  <c r="F66" i="2"/>
  <c r="AB65" i="2"/>
  <c r="AA65" i="2"/>
  <c r="W65" i="2"/>
  <c r="V65" i="2"/>
  <c r="U65" i="2"/>
  <c r="T65" i="2"/>
  <c r="S65" i="2"/>
  <c r="R65" i="2"/>
  <c r="Q65" i="2"/>
  <c r="P65" i="2"/>
  <c r="M65" i="2"/>
  <c r="L65" i="2"/>
  <c r="J65" i="2"/>
  <c r="I65" i="2"/>
  <c r="H65" i="2"/>
  <c r="G65" i="2"/>
  <c r="F65" i="2"/>
  <c r="AB64" i="2"/>
  <c r="AA64" i="2"/>
  <c r="W64" i="2"/>
  <c r="V64" i="2"/>
  <c r="U64" i="2"/>
  <c r="T64" i="2"/>
  <c r="S64" i="2"/>
  <c r="R64" i="2"/>
  <c r="Q64" i="2"/>
  <c r="P64" i="2"/>
  <c r="M64" i="2"/>
  <c r="L64" i="2"/>
  <c r="J64" i="2"/>
  <c r="I64" i="2"/>
  <c r="H64" i="2"/>
  <c r="G64" i="2"/>
  <c r="F64" i="2"/>
  <c r="AB63" i="2"/>
  <c r="AA63" i="2"/>
  <c r="W63" i="2"/>
  <c r="V63" i="2"/>
  <c r="U63" i="2"/>
  <c r="T63" i="2"/>
  <c r="S63" i="2"/>
  <c r="R63" i="2"/>
  <c r="Q63" i="2"/>
  <c r="P63" i="2"/>
  <c r="M63" i="2"/>
  <c r="L63" i="2"/>
  <c r="J63" i="2"/>
  <c r="I63" i="2"/>
  <c r="H63" i="2"/>
  <c r="G63" i="2"/>
  <c r="F63" i="2"/>
  <c r="AB62" i="2"/>
  <c r="AA62" i="2"/>
  <c r="W62" i="2"/>
  <c r="V62" i="2"/>
  <c r="U62" i="2"/>
  <c r="T62" i="2"/>
  <c r="S62" i="2"/>
  <c r="R62" i="2"/>
  <c r="Q62" i="2"/>
  <c r="P62" i="2"/>
  <c r="M62" i="2"/>
  <c r="L62" i="2"/>
  <c r="J62" i="2"/>
  <c r="I62" i="2"/>
  <c r="H62" i="2"/>
  <c r="G62" i="2"/>
  <c r="F62" i="2"/>
  <c r="AB61" i="2"/>
  <c r="AA61" i="2"/>
  <c r="W61" i="2"/>
  <c r="V61" i="2"/>
  <c r="U61" i="2"/>
  <c r="T61" i="2"/>
  <c r="S61" i="2"/>
  <c r="R61" i="2"/>
  <c r="Q61" i="2"/>
  <c r="P61" i="2"/>
  <c r="M61" i="2"/>
  <c r="L61" i="2"/>
  <c r="J61" i="2"/>
  <c r="I61" i="2"/>
  <c r="H61" i="2"/>
  <c r="G61" i="2"/>
  <c r="F61" i="2"/>
  <c r="AB59" i="2"/>
  <c r="AA59" i="2"/>
  <c r="W59" i="2"/>
  <c r="V59" i="2"/>
  <c r="U59" i="2"/>
  <c r="T59" i="2"/>
  <c r="S59" i="2"/>
  <c r="R59" i="2"/>
  <c r="Q59" i="2"/>
  <c r="P59" i="2"/>
  <c r="M59" i="2"/>
  <c r="L59" i="2"/>
  <c r="J59" i="2"/>
  <c r="I59" i="2"/>
  <c r="H59" i="2"/>
  <c r="G59" i="2"/>
  <c r="F59" i="2"/>
  <c r="AB58" i="2"/>
  <c r="AA58" i="2"/>
  <c r="W58" i="2"/>
  <c r="V58" i="2"/>
  <c r="U58" i="2"/>
  <c r="T58" i="2"/>
  <c r="S58" i="2"/>
  <c r="R58" i="2"/>
  <c r="Q58" i="2"/>
  <c r="P58" i="2"/>
  <c r="M58" i="2"/>
  <c r="L58" i="2"/>
  <c r="J58" i="2"/>
  <c r="I58" i="2"/>
  <c r="H58" i="2"/>
  <c r="G58" i="2"/>
  <c r="F58" i="2"/>
  <c r="AB57" i="2"/>
  <c r="AA57" i="2"/>
  <c r="W57" i="2"/>
  <c r="V57" i="2"/>
  <c r="U57" i="2"/>
  <c r="T57" i="2"/>
  <c r="S57" i="2"/>
  <c r="R57" i="2"/>
  <c r="Q57" i="2"/>
  <c r="P57" i="2"/>
  <c r="M57" i="2"/>
  <c r="L57" i="2"/>
  <c r="J57" i="2"/>
  <c r="I57" i="2"/>
  <c r="H57" i="2"/>
  <c r="G57" i="2"/>
  <c r="F57" i="2"/>
  <c r="AB56" i="2"/>
  <c r="AA56" i="2"/>
  <c r="W56" i="2"/>
  <c r="V56" i="2"/>
  <c r="U56" i="2"/>
  <c r="T56" i="2"/>
  <c r="S56" i="2"/>
  <c r="R56" i="2"/>
  <c r="Q56" i="2"/>
  <c r="P56" i="2"/>
  <c r="M56" i="2"/>
  <c r="L56" i="2"/>
  <c r="J56" i="2"/>
  <c r="I56" i="2"/>
  <c r="H56" i="2"/>
  <c r="G56" i="2"/>
  <c r="F56" i="2"/>
  <c r="AB55" i="2"/>
  <c r="AA55" i="2"/>
  <c r="W55" i="2"/>
  <c r="V55" i="2"/>
  <c r="U55" i="2"/>
  <c r="T55" i="2"/>
  <c r="S55" i="2"/>
  <c r="R55" i="2"/>
  <c r="Q55" i="2"/>
  <c r="P55" i="2"/>
  <c r="M55" i="2"/>
  <c r="L55" i="2"/>
  <c r="J55" i="2"/>
  <c r="I55" i="2"/>
  <c r="H55" i="2"/>
  <c r="G55" i="2"/>
  <c r="F55" i="2"/>
  <c r="AB52" i="2"/>
  <c r="AA52" i="2"/>
  <c r="W52" i="2"/>
  <c r="V52" i="2"/>
  <c r="U52" i="2"/>
  <c r="T52" i="2"/>
  <c r="S52" i="2"/>
  <c r="R52" i="2"/>
  <c r="Q52" i="2"/>
  <c r="P52" i="2"/>
  <c r="M52" i="2"/>
  <c r="L52" i="2"/>
  <c r="J52" i="2"/>
  <c r="I52" i="2"/>
  <c r="H52" i="2"/>
  <c r="G52" i="2"/>
  <c r="F52" i="2"/>
  <c r="AB51" i="2"/>
  <c r="AA51" i="2"/>
  <c r="W51" i="2"/>
  <c r="V51" i="2"/>
  <c r="U51" i="2"/>
  <c r="T51" i="2"/>
  <c r="S51" i="2"/>
  <c r="R51" i="2"/>
  <c r="Q51" i="2"/>
  <c r="P51" i="2"/>
  <c r="M51" i="2"/>
  <c r="L51" i="2"/>
  <c r="J51" i="2"/>
  <c r="I51" i="2"/>
  <c r="H51" i="2"/>
  <c r="G51" i="2"/>
  <c r="F51" i="2"/>
  <c r="AB50" i="2"/>
  <c r="AA50" i="2"/>
  <c r="W50" i="2"/>
  <c r="V50" i="2"/>
  <c r="U50" i="2"/>
  <c r="T50" i="2"/>
  <c r="S50" i="2"/>
  <c r="R50" i="2"/>
  <c r="Q50" i="2"/>
  <c r="P50" i="2"/>
  <c r="M50" i="2"/>
  <c r="L50" i="2"/>
  <c r="J50" i="2"/>
  <c r="I50" i="2"/>
  <c r="H50" i="2"/>
  <c r="G50" i="2"/>
  <c r="F50" i="2"/>
  <c r="AB49" i="2"/>
  <c r="AA49" i="2"/>
  <c r="W49" i="2"/>
  <c r="V49" i="2"/>
  <c r="U49" i="2"/>
  <c r="T49" i="2"/>
  <c r="S49" i="2"/>
  <c r="R49" i="2"/>
  <c r="Q49" i="2"/>
  <c r="P49" i="2"/>
  <c r="M49" i="2"/>
  <c r="L49" i="2"/>
  <c r="J49" i="2"/>
  <c r="I49" i="2"/>
  <c r="H49" i="2"/>
  <c r="G49" i="2"/>
  <c r="F49" i="2"/>
  <c r="AB47" i="2"/>
  <c r="AA47" i="2"/>
  <c r="W47" i="2"/>
  <c r="V47" i="2"/>
  <c r="U47" i="2"/>
  <c r="T47" i="2"/>
  <c r="S47" i="2"/>
  <c r="R47" i="2"/>
  <c r="Q47" i="2"/>
  <c r="P47" i="2"/>
  <c r="M47" i="2"/>
  <c r="L47" i="2"/>
  <c r="J47" i="2"/>
  <c r="I47" i="2"/>
  <c r="H47" i="2"/>
  <c r="G47" i="2"/>
  <c r="F47" i="2"/>
  <c r="AB46" i="2"/>
  <c r="AA46" i="2"/>
  <c r="W46" i="2"/>
  <c r="V46" i="2"/>
  <c r="U46" i="2"/>
  <c r="T46" i="2"/>
  <c r="S46" i="2"/>
  <c r="R46" i="2"/>
  <c r="Q46" i="2"/>
  <c r="P46" i="2"/>
  <c r="M46" i="2"/>
  <c r="L46" i="2"/>
  <c r="J46" i="2"/>
  <c r="I46" i="2"/>
  <c r="H46" i="2"/>
  <c r="G46" i="2"/>
  <c r="K46" i="2" s="1"/>
  <c r="F46" i="2"/>
  <c r="AB45" i="2"/>
  <c r="AA45" i="2"/>
  <c r="W45" i="2"/>
  <c r="V45" i="2"/>
  <c r="U45" i="2"/>
  <c r="T45" i="2"/>
  <c r="S45" i="2"/>
  <c r="R45" i="2"/>
  <c r="Q45" i="2"/>
  <c r="P45" i="2"/>
  <c r="M45" i="2"/>
  <c r="L45" i="2"/>
  <c r="J45" i="2"/>
  <c r="I45" i="2"/>
  <c r="H45" i="2"/>
  <c r="G45" i="2"/>
  <c r="F45" i="2"/>
  <c r="AB44" i="2"/>
  <c r="AA44" i="2"/>
  <c r="W44" i="2"/>
  <c r="V44" i="2"/>
  <c r="U44" i="2"/>
  <c r="T44" i="2"/>
  <c r="S44" i="2"/>
  <c r="R44" i="2"/>
  <c r="Q44" i="2"/>
  <c r="P44" i="2"/>
  <c r="M44" i="2"/>
  <c r="L44" i="2"/>
  <c r="J44" i="2"/>
  <c r="I44" i="2"/>
  <c r="H44" i="2"/>
  <c r="G44" i="2"/>
  <c r="F44" i="2"/>
  <c r="AB43" i="2"/>
  <c r="AA43" i="2"/>
  <c r="W43" i="2"/>
  <c r="V43" i="2"/>
  <c r="U43" i="2"/>
  <c r="T43" i="2"/>
  <c r="S43" i="2"/>
  <c r="R43" i="2"/>
  <c r="Q43" i="2"/>
  <c r="P43" i="2"/>
  <c r="M43" i="2"/>
  <c r="L43" i="2"/>
  <c r="J43" i="2"/>
  <c r="I43" i="2"/>
  <c r="H43" i="2"/>
  <c r="G43" i="2"/>
  <c r="F43" i="2"/>
  <c r="AB42" i="2"/>
  <c r="AA42" i="2"/>
  <c r="W42" i="2"/>
  <c r="V42" i="2"/>
  <c r="U42" i="2"/>
  <c r="T42" i="2"/>
  <c r="S42" i="2"/>
  <c r="R42" i="2"/>
  <c r="Q42" i="2"/>
  <c r="P42" i="2"/>
  <c r="M42" i="2"/>
  <c r="L42" i="2"/>
  <c r="J42" i="2"/>
  <c r="I42" i="2"/>
  <c r="H42" i="2"/>
  <c r="G42" i="2"/>
  <c r="F42" i="2"/>
  <c r="AB41" i="2"/>
  <c r="AA41" i="2"/>
  <c r="W41" i="2"/>
  <c r="V41" i="2"/>
  <c r="U41" i="2"/>
  <c r="T41" i="2"/>
  <c r="S41" i="2"/>
  <c r="R41" i="2"/>
  <c r="Q41" i="2"/>
  <c r="P41" i="2"/>
  <c r="M41" i="2"/>
  <c r="L41" i="2"/>
  <c r="J41" i="2"/>
  <c r="I41" i="2"/>
  <c r="H41" i="2"/>
  <c r="G41" i="2"/>
  <c r="F41" i="2"/>
  <c r="K41" i="2" s="1"/>
  <c r="AB39" i="2"/>
  <c r="AA39" i="2"/>
  <c r="W39" i="2"/>
  <c r="V39" i="2"/>
  <c r="U39" i="2"/>
  <c r="T39" i="2"/>
  <c r="S39" i="2"/>
  <c r="R39" i="2"/>
  <c r="Q39" i="2"/>
  <c r="P39" i="2"/>
  <c r="M39" i="2"/>
  <c r="L39" i="2"/>
  <c r="J39" i="2"/>
  <c r="I39" i="2"/>
  <c r="H39" i="2"/>
  <c r="G39" i="2"/>
  <c r="F39" i="2"/>
  <c r="AB37" i="2"/>
  <c r="AA37" i="2"/>
  <c r="W37" i="2"/>
  <c r="V37" i="2"/>
  <c r="U37" i="2"/>
  <c r="T37" i="2"/>
  <c r="S37" i="2"/>
  <c r="R37" i="2"/>
  <c r="Q37" i="2"/>
  <c r="P37" i="2"/>
  <c r="M37" i="2"/>
  <c r="L37" i="2"/>
  <c r="J37" i="2"/>
  <c r="I37" i="2"/>
  <c r="H37" i="2"/>
  <c r="G37" i="2"/>
  <c r="F37" i="2"/>
  <c r="AB36" i="2"/>
  <c r="AA36" i="2"/>
  <c r="W36" i="2"/>
  <c r="V36" i="2"/>
  <c r="U36" i="2"/>
  <c r="T36" i="2"/>
  <c r="S36" i="2"/>
  <c r="R36" i="2"/>
  <c r="Q36" i="2"/>
  <c r="P36" i="2"/>
  <c r="M36" i="2"/>
  <c r="L36" i="2"/>
  <c r="J36" i="2"/>
  <c r="I36" i="2"/>
  <c r="H36" i="2"/>
  <c r="G36" i="2"/>
  <c r="F36" i="2"/>
  <c r="AB35" i="2"/>
  <c r="AA35" i="2"/>
  <c r="W35" i="2"/>
  <c r="V35" i="2"/>
  <c r="U35" i="2"/>
  <c r="T35" i="2"/>
  <c r="S35" i="2"/>
  <c r="R35" i="2"/>
  <c r="Q35" i="2"/>
  <c r="P35" i="2"/>
  <c r="M35" i="2"/>
  <c r="L35" i="2"/>
  <c r="J35" i="2"/>
  <c r="I35" i="2"/>
  <c r="H35" i="2"/>
  <c r="G35" i="2"/>
  <c r="F35" i="2"/>
  <c r="AB34" i="2"/>
  <c r="AA34" i="2"/>
  <c r="W34" i="2"/>
  <c r="V34" i="2"/>
  <c r="U34" i="2"/>
  <c r="T34" i="2"/>
  <c r="S34" i="2"/>
  <c r="R34" i="2"/>
  <c r="Q34" i="2"/>
  <c r="P34" i="2"/>
  <c r="M34" i="2"/>
  <c r="L34" i="2"/>
  <c r="J34" i="2"/>
  <c r="I34" i="2"/>
  <c r="H34" i="2"/>
  <c r="G34" i="2"/>
  <c r="F34" i="2"/>
  <c r="AB32" i="2"/>
  <c r="AA32" i="2"/>
  <c r="W32" i="2"/>
  <c r="V32" i="2"/>
  <c r="U32" i="2"/>
  <c r="T32" i="2"/>
  <c r="S32" i="2"/>
  <c r="R32" i="2"/>
  <c r="Q32" i="2"/>
  <c r="P32" i="2"/>
  <c r="M32" i="2"/>
  <c r="L32" i="2"/>
  <c r="J32" i="2"/>
  <c r="I32" i="2"/>
  <c r="H32" i="2"/>
  <c r="G32" i="2"/>
  <c r="F32" i="2"/>
  <c r="AB31" i="2"/>
  <c r="AA31" i="2"/>
  <c r="W31" i="2"/>
  <c r="V31" i="2"/>
  <c r="U31" i="2"/>
  <c r="T31" i="2"/>
  <c r="S31" i="2"/>
  <c r="R31" i="2"/>
  <c r="Q31" i="2"/>
  <c r="P31" i="2"/>
  <c r="M31" i="2"/>
  <c r="L31" i="2"/>
  <c r="J31" i="2"/>
  <c r="I31" i="2"/>
  <c r="H31" i="2"/>
  <c r="G31" i="2"/>
  <c r="F31" i="2"/>
  <c r="AB30" i="2"/>
  <c r="AA30" i="2"/>
  <c r="W30" i="2"/>
  <c r="V30" i="2"/>
  <c r="U30" i="2"/>
  <c r="T30" i="2"/>
  <c r="S30" i="2"/>
  <c r="R30" i="2"/>
  <c r="Q30" i="2"/>
  <c r="P30" i="2"/>
  <c r="M30" i="2"/>
  <c r="L30" i="2"/>
  <c r="J30" i="2"/>
  <c r="I30" i="2"/>
  <c r="H30" i="2"/>
  <c r="G30" i="2"/>
  <c r="F30" i="2"/>
  <c r="AB29" i="2"/>
  <c r="AA29" i="2"/>
  <c r="W29" i="2"/>
  <c r="V29" i="2"/>
  <c r="U29" i="2"/>
  <c r="T29" i="2"/>
  <c r="S29" i="2"/>
  <c r="R29" i="2"/>
  <c r="Q29" i="2"/>
  <c r="P29" i="2"/>
  <c r="M29" i="2"/>
  <c r="L29" i="2"/>
  <c r="J29" i="2"/>
  <c r="I29" i="2"/>
  <c r="H29" i="2"/>
  <c r="G29" i="2"/>
  <c r="F29" i="2"/>
  <c r="AB28" i="2"/>
  <c r="AA28" i="2"/>
  <c r="W28" i="2"/>
  <c r="V28" i="2"/>
  <c r="U28" i="2"/>
  <c r="T28" i="2"/>
  <c r="S28" i="2"/>
  <c r="R28" i="2"/>
  <c r="Q28" i="2"/>
  <c r="P28" i="2"/>
  <c r="M28" i="2"/>
  <c r="L28" i="2"/>
  <c r="J28" i="2"/>
  <c r="I28" i="2"/>
  <c r="H28" i="2"/>
  <c r="G28" i="2"/>
  <c r="F28" i="2"/>
  <c r="AB27" i="2"/>
  <c r="AA27" i="2"/>
  <c r="W27" i="2"/>
  <c r="V27" i="2"/>
  <c r="U27" i="2"/>
  <c r="T27" i="2"/>
  <c r="S27" i="2"/>
  <c r="R27" i="2"/>
  <c r="Q27" i="2"/>
  <c r="P27" i="2"/>
  <c r="M27" i="2"/>
  <c r="L27" i="2"/>
  <c r="J27" i="2"/>
  <c r="I27" i="2"/>
  <c r="H27" i="2"/>
  <c r="G27" i="2"/>
  <c r="F27" i="2"/>
  <c r="AB25" i="2"/>
  <c r="AA25" i="2"/>
  <c r="W25" i="2"/>
  <c r="V25" i="2"/>
  <c r="U25" i="2"/>
  <c r="T25" i="2"/>
  <c r="S25" i="2"/>
  <c r="R25" i="2"/>
  <c r="Q25" i="2"/>
  <c r="P25" i="2"/>
  <c r="M25" i="2"/>
  <c r="L25" i="2"/>
  <c r="J25" i="2"/>
  <c r="I25" i="2"/>
  <c r="H25" i="2"/>
  <c r="G25" i="2"/>
  <c r="F25" i="2"/>
  <c r="AB24" i="2"/>
  <c r="AA24" i="2"/>
  <c r="W24" i="2"/>
  <c r="V24" i="2"/>
  <c r="U24" i="2"/>
  <c r="T24" i="2"/>
  <c r="S24" i="2"/>
  <c r="R24" i="2"/>
  <c r="Q24" i="2"/>
  <c r="P24" i="2"/>
  <c r="M24" i="2"/>
  <c r="L24" i="2"/>
  <c r="J24" i="2"/>
  <c r="I24" i="2"/>
  <c r="H24" i="2"/>
  <c r="G24" i="2"/>
  <c r="F24" i="2"/>
  <c r="AB23" i="2"/>
  <c r="AA23" i="2"/>
  <c r="W23" i="2"/>
  <c r="V23" i="2"/>
  <c r="U23" i="2"/>
  <c r="T23" i="2"/>
  <c r="S23" i="2"/>
  <c r="R23" i="2"/>
  <c r="Q23" i="2"/>
  <c r="P23" i="2"/>
  <c r="M23" i="2"/>
  <c r="L23" i="2"/>
  <c r="J23" i="2"/>
  <c r="I23" i="2"/>
  <c r="H23" i="2"/>
  <c r="G23" i="2"/>
  <c r="F23" i="2"/>
  <c r="AB22" i="2"/>
  <c r="AA22" i="2"/>
  <c r="W22" i="2"/>
  <c r="V22" i="2"/>
  <c r="U22" i="2"/>
  <c r="T22" i="2"/>
  <c r="S22" i="2"/>
  <c r="R22" i="2"/>
  <c r="Q22" i="2"/>
  <c r="P22" i="2"/>
  <c r="M22" i="2"/>
  <c r="L22" i="2"/>
  <c r="J22" i="2"/>
  <c r="I22" i="2"/>
  <c r="H22" i="2"/>
  <c r="G22" i="2"/>
  <c r="F22" i="2"/>
  <c r="AB21" i="2"/>
  <c r="AA21" i="2"/>
  <c r="W21" i="2"/>
  <c r="V21" i="2"/>
  <c r="U21" i="2"/>
  <c r="T21" i="2"/>
  <c r="S21" i="2"/>
  <c r="R21" i="2"/>
  <c r="Q21" i="2"/>
  <c r="P21" i="2"/>
  <c r="M21" i="2"/>
  <c r="L21" i="2"/>
  <c r="J21" i="2"/>
  <c r="I21" i="2"/>
  <c r="H21" i="2"/>
  <c r="G21" i="2"/>
  <c r="F21" i="2"/>
  <c r="K21" i="2" s="1"/>
  <c r="AB20" i="2"/>
  <c r="AA20" i="2"/>
  <c r="W20" i="2"/>
  <c r="V20" i="2"/>
  <c r="U20" i="2"/>
  <c r="T20" i="2"/>
  <c r="S20" i="2"/>
  <c r="R20" i="2"/>
  <c r="Q20" i="2"/>
  <c r="P20" i="2"/>
  <c r="M20" i="2"/>
  <c r="L20" i="2"/>
  <c r="J20" i="2"/>
  <c r="I20" i="2"/>
  <c r="H20" i="2"/>
  <c r="G20" i="2"/>
  <c r="F20" i="2"/>
  <c r="AB18" i="2"/>
  <c r="AA18" i="2"/>
  <c r="W18" i="2"/>
  <c r="V18" i="2"/>
  <c r="U18" i="2"/>
  <c r="T18" i="2"/>
  <c r="S18" i="2"/>
  <c r="R18" i="2"/>
  <c r="Q18" i="2"/>
  <c r="P18" i="2"/>
  <c r="M18" i="2"/>
  <c r="L18" i="2"/>
  <c r="J18" i="2"/>
  <c r="I18" i="2"/>
  <c r="H18" i="2"/>
  <c r="G18" i="2"/>
  <c r="F18" i="2"/>
  <c r="AB17" i="2"/>
  <c r="AA17" i="2"/>
  <c r="W17" i="2"/>
  <c r="V17" i="2"/>
  <c r="U17" i="2"/>
  <c r="T17" i="2"/>
  <c r="S17" i="2"/>
  <c r="R17" i="2"/>
  <c r="Q17" i="2"/>
  <c r="P17" i="2"/>
  <c r="M17" i="2"/>
  <c r="L17" i="2"/>
  <c r="J17" i="2"/>
  <c r="I17" i="2"/>
  <c r="H17" i="2"/>
  <c r="G17" i="2"/>
  <c r="F17" i="2"/>
  <c r="AB16" i="2"/>
  <c r="AA16" i="2"/>
  <c r="W16" i="2"/>
  <c r="V16" i="2"/>
  <c r="U16" i="2"/>
  <c r="T16" i="2"/>
  <c r="S16" i="2"/>
  <c r="R16" i="2"/>
  <c r="Q16" i="2"/>
  <c r="P16" i="2"/>
  <c r="M16" i="2"/>
  <c r="L16" i="2"/>
  <c r="J16" i="2"/>
  <c r="I16" i="2"/>
  <c r="H16" i="2"/>
  <c r="G16" i="2"/>
  <c r="F16" i="2"/>
  <c r="AB15" i="2"/>
  <c r="AA15" i="2"/>
  <c r="W15" i="2"/>
  <c r="V15" i="2"/>
  <c r="U15" i="2"/>
  <c r="T15" i="2"/>
  <c r="S15" i="2"/>
  <c r="R15" i="2"/>
  <c r="Q15" i="2"/>
  <c r="P15" i="2"/>
  <c r="M15" i="2"/>
  <c r="L15" i="2"/>
  <c r="J15" i="2"/>
  <c r="I15" i="2"/>
  <c r="H15" i="2"/>
  <c r="G15" i="2"/>
  <c r="F15" i="2"/>
  <c r="AB14" i="2"/>
  <c r="AA14" i="2"/>
  <c r="W14" i="2"/>
  <c r="V14" i="2"/>
  <c r="U14" i="2"/>
  <c r="T14" i="2"/>
  <c r="S14" i="2"/>
  <c r="R14" i="2"/>
  <c r="Q14" i="2"/>
  <c r="P14" i="2"/>
  <c r="M14" i="2"/>
  <c r="L14" i="2"/>
  <c r="J14" i="2"/>
  <c r="I14" i="2"/>
  <c r="H14" i="2"/>
  <c r="G14" i="2"/>
  <c r="F14" i="2"/>
  <c r="AB13" i="2"/>
  <c r="AA13" i="2"/>
  <c r="W13" i="2"/>
  <c r="V13" i="2"/>
  <c r="U13" i="2"/>
  <c r="T13" i="2"/>
  <c r="S13" i="2"/>
  <c r="R13" i="2"/>
  <c r="Q13" i="2"/>
  <c r="P13" i="2"/>
  <c r="M13" i="2"/>
  <c r="L13" i="2"/>
  <c r="J13" i="2"/>
  <c r="I13" i="2"/>
  <c r="H13" i="2"/>
  <c r="G13" i="2"/>
  <c r="F13" i="2"/>
  <c r="AB12" i="2"/>
  <c r="AA12" i="2"/>
  <c r="W12" i="2"/>
  <c r="V12" i="2"/>
  <c r="U12" i="2"/>
  <c r="T12" i="2"/>
  <c r="S12" i="2"/>
  <c r="R12" i="2"/>
  <c r="Q12" i="2"/>
  <c r="P12" i="2"/>
  <c r="M12" i="2"/>
  <c r="L12" i="2"/>
  <c r="J12" i="2"/>
  <c r="I12" i="2"/>
  <c r="H12" i="2"/>
  <c r="G12" i="2"/>
  <c r="F12" i="2"/>
  <c r="AB11" i="2"/>
  <c r="AA11" i="2"/>
  <c r="W11" i="2"/>
  <c r="V11" i="2"/>
  <c r="U11" i="2"/>
  <c r="T11" i="2"/>
  <c r="S11" i="2"/>
  <c r="R11" i="2"/>
  <c r="Q11" i="2"/>
  <c r="P11" i="2"/>
  <c r="M11" i="2"/>
  <c r="L11" i="2"/>
  <c r="J11" i="2"/>
  <c r="I11" i="2"/>
  <c r="H11" i="2"/>
  <c r="G11" i="2"/>
  <c r="F11" i="2"/>
  <c r="AB10" i="2"/>
  <c r="AA10" i="2"/>
  <c r="W10" i="2"/>
  <c r="V10" i="2"/>
  <c r="U10" i="2"/>
  <c r="T10" i="2"/>
  <c r="S10" i="2"/>
  <c r="R10" i="2"/>
  <c r="Q10" i="2"/>
  <c r="P10" i="2"/>
  <c r="M10" i="2"/>
  <c r="L10" i="2"/>
  <c r="J10" i="2"/>
  <c r="I10" i="2"/>
  <c r="H10" i="2"/>
  <c r="G10" i="2"/>
  <c r="F10" i="2"/>
  <c r="AB9" i="2"/>
  <c r="AA9" i="2"/>
  <c r="W9" i="2"/>
  <c r="V9" i="2"/>
  <c r="U9" i="2"/>
  <c r="T9" i="2"/>
  <c r="S9" i="2"/>
  <c r="R9" i="2"/>
  <c r="Q9" i="2"/>
  <c r="P9" i="2"/>
  <c r="M9" i="2"/>
  <c r="L9" i="2"/>
  <c r="J9" i="2"/>
  <c r="I9" i="2"/>
  <c r="H9" i="2"/>
  <c r="K9" i="2" s="1"/>
  <c r="G9" i="2"/>
  <c r="F9" i="2"/>
  <c r="AB8" i="2"/>
  <c r="AA8" i="2"/>
  <c r="W8" i="2"/>
  <c r="V8" i="2"/>
  <c r="U8" i="2"/>
  <c r="T8" i="2"/>
  <c r="S8" i="2"/>
  <c r="R8" i="2"/>
  <c r="Q8" i="2"/>
  <c r="P8" i="2"/>
  <c r="M8" i="2"/>
  <c r="L8" i="2"/>
  <c r="J8" i="2"/>
  <c r="I8" i="2"/>
  <c r="H8" i="2"/>
  <c r="G8" i="2"/>
  <c r="F8" i="2"/>
  <c r="AB7" i="2"/>
  <c r="AA7" i="2"/>
  <c r="W7" i="2"/>
  <c r="V7" i="2"/>
  <c r="U7" i="2"/>
  <c r="T7" i="2"/>
  <c r="S7" i="2"/>
  <c r="R7" i="2"/>
  <c r="Q7" i="2"/>
  <c r="P7" i="2"/>
  <c r="M7" i="2"/>
  <c r="L7" i="2"/>
  <c r="J7" i="2"/>
  <c r="I7" i="2"/>
  <c r="H7" i="2"/>
  <c r="G7" i="2"/>
  <c r="F7" i="2"/>
  <c r="AB5" i="2"/>
  <c r="AA5" i="2"/>
  <c r="W5" i="2"/>
  <c r="V5" i="2"/>
  <c r="U5" i="2"/>
  <c r="T5" i="2"/>
  <c r="S5" i="2"/>
  <c r="R5" i="2"/>
  <c r="Q5" i="2"/>
  <c r="P5" i="2"/>
  <c r="M5" i="2"/>
  <c r="L5" i="2"/>
  <c r="J5" i="2"/>
  <c r="I5" i="2"/>
  <c r="H5" i="2"/>
  <c r="G5" i="2"/>
  <c r="F5" i="2"/>
  <c r="K5" i="2" s="1"/>
  <c r="AB4" i="2"/>
  <c r="AA4" i="2"/>
  <c r="W4" i="2"/>
  <c r="V4" i="2"/>
  <c r="U4" i="2"/>
  <c r="T4" i="2"/>
  <c r="S4" i="2"/>
  <c r="R4" i="2"/>
  <c r="Q4" i="2"/>
  <c r="P4" i="2"/>
  <c r="M4" i="2"/>
  <c r="L4" i="2"/>
  <c r="J4" i="2"/>
  <c r="I4" i="2"/>
  <c r="H4" i="2"/>
  <c r="G4" i="2"/>
  <c r="F4" i="2"/>
  <c r="AB3" i="2"/>
  <c r="AA3" i="2"/>
  <c r="W3" i="2"/>
  <c r="V3" i="2"/>
  <c r="U3" i="2"/>
  <c r="T3" i="2"/>
  <c r="S3" i="2"/>
  <c r="R3" i="2"/>
  <c r="Q3" i="2"/>
  <c r="P3" i="2"/>
  <c r="M3" i="2"/>
  <c r="L3" i="2"/>
  <c r="J3" i="2"/>
  <c r="I3" i="2"/>
  <c r="H3" i="2"/>
  <c r="G3" i="2"/>
  <c r="F3" i="2"/>
  <c r="K18" i="6" l="1"/>
  <c r="K66" i="6"/>
  <c r="K74" i="6"/>
  <c r="K82" i="6"/>
  <c r="K125" i="6"/>
  <c r="K134" i="6"/>
  <c r="K142" i="6"/>
  <c r="K150" i="6"/>
  <c r="K10" i="6"/>
  <c r="K49" i="6"/>
  <c r="K126" i="5"/>
  <c r="K151" i="5"/>
  <c r="K166" i="5"/>
  <c r="K10" i="5"/>
  <c r="K40" i="5"/>
  <c r="K56" i="5"/>
  <c r="K91" i="5"/>
  <c r="K143" i="5"/>
  <c r="K50" i="5"/>
  <c r="K99" i="5"/>
  <c r="K105" i="5"/>
  <c r="K13" i="5"/>
  <c r="K3" i="5"/>
  <c r="K26" i="5"/>
  <c r="K45" i="5"/>
  <c r="K49" i="5"/>
  <c r="K104" i="5"/>
  <c r="K155" i="5"/>
  <c r="K156" i="5"/>
  <c r="K34" i="5"/>
  <c r="K42" i="5"/>
  <c r="K89" i="5"/>
  <c r="K124" i="5"/>
  <c r="K81" i="5"/>
  <c r="K24" i="5"/>
  <c r="K35" i="5"/>
  <c r="K66" i="5"/>
  <c r="K90" i="5"/>
  <c r="K121" i="5"/>
  <c r="K138" i="5"/>
  <c r="K142" i="5"/>
  <c r="K72" i="4"/>
  <c r="K158" i="4"/>
  <c r="K145" i="4"/>
  <c r="K157" i="4"/>
  <c r="K51" i="4"/>
  <c r="K59" i="4"/>
  <c r="K67" i="4"/>
  <c r="K85" i="4"/>
  <c r="K132" i="4"/>
  <c r="K148" i="4"/>
  <c r="K86" i="4"/>
  <c r="K41" i="4"/>
  <c r="K43" i="4"/>
  <c r="K124" i="4"/>
  <c r="K133" i="4"/>
  <c r="K141" i="4"/>
  <c r="K156" i="4"/>
  <c r="K166" i="4"/>
  <c r="K29" i="4"/>
  <c r="K35" i="4"/>
  <c r="K37" i="4"/>
  <c r="K45" i="4"/>
  <c r="K53" i="4"/>
  <c r="K114" i="4"/>
  <c r="K116" i="4"/>
  <c r="K90" i="4"/>
  <c r="K20" i="4"/>
  <c r="K30" i="4"/>
  <c r="K38" i="4"/>
  <c r="K97" i="4"/>
  <c r="K103" i="4"/>
  <c r="K118" i="4"/>
  <c r="K126" i="4"/>
  <c r="K23" i="3"/>
  <c r="K30" i="3"/>
  <c r="K31" i="3"/>
  <c r="K36" i="3"/>
  <c r="K40" i="3"/>
  <c r="K125" i="3"/>
  <c r="K85" i="3"/>
  <c r="K86" i="3"/>
  <c r="K95" i="3"/>
  <c r="K126" i="3"/>
  <c r="K21" i="3"/>
  <c r="K162" i="3"/>
  <c r="K172" i="3"/>
  <c r="K10" i="3"/>
  <c r="K18" i="3"/>
  <c r="K67" i="3"/>
  <c r="K68" i="3"/>
  <c r="K154" i="3"/>
  <c r="K163" i="3"/>
  <c r="K173" i="3"/>
  <c r="K3" i="3"/>
  <c r="K12" i="3"/>
  <c r="K59" i="3"/>
  <c r="K61" i="3"/>
  <c r="K146" i="3"/>
  <c r="K4" i="3"/>
  <c r="K44" i="3"/>
  <c r="K54" i="3"/>
  <c r="K62" i="3"/>
  <c r="K131" i="3"/>
  <c r="K137" i="3"/>
  <c r="K139" i="3"/>
  <c r="K148" i="3"/>
  <c r="K156" i="3"/>
  <c r="K5" i="3"/>
  <c r="K38" i="3"/>
  <c r="K46" i="3"/>
  <c r="K55" i="3"/>
  <c r="K132" i="3"/>
  <c r="K140" i="3"/>
  <c r="K131" i="2"/>
  <c r="K67" i="2"/>
  <c r="K121" i="2"/>
  <c r="K4" i="2"/>
  <c r="K98" i="2"/>
  <c r="K22" i="2"/>
  <c r="K23" i="2"/>
  <c r="K82" i="2"/>
  <c r="K83" i="2"/>
  <c r="K89" i="2"/>
  <c r="K143" i="2"/>
  <c r="K11" i="2"/>
  <c r="K108" i="2"/>
  <c r="K152" i="2"/>
  <c r="K8" i="2"/>
  <c r="K15" i="2"/>
  <c r="K74" i="2"/>
  <c r="K101" i="2"/>
  <c r="K103" i="2"/>
  <c r="K166" i="2"/>
  <c r="K167" i="2"/>
  <c r="K173" i="2"/>
  <c r="K18" i="2"/>
  <c r="K65" i="2"/>
  <c r="K85" i="2"/>
  <c r="K94" i="2"/>
  <c r="K157" i="2"/>
  <c r="K27" i="2"/>
  <c r="K59" i="2"/>
  <c r="K17" i="2"/>
  <c r="K36" i="2"/>
  <c r="K57" i="2"/>
  <c r="K78" i="2"/>
  <c r="K150" i="2"/>
  <c r="K169" i="2"/>
  <c r="K37" i="2"/>
  <c r="K122" i="2"/>
  <c r="K16" i="2"/>
  <c r="K24" i="2"/>
  <c r="K31" i="2"/>
  <c r="K32" i="2"/>
  <c r="K39" i="2"/>
  <c r="K47" i="2"/>
  <c r="K50" i="2"/>
  <c r="K95" i="2"/>
  <c r="K104" i="2"/>
  <c r="K116" i="2"/>
  <c r="K118" i="2"/>
  <c r="K123" i="2"/>
  <c r="K133" i="2"/>
  <c r="K136" i="2"/>
  <c r="K25" i="2"/>
  <c r="K34" i="2"/>
  <c r="K42" i="2"/>
  <c r="K43" i="2"/>
  <c r="K49" i="2"/>
  <c r="K58" i="2"/>
  <c r="K61" i="2"/>
  <c r="K105" i="2"/>
  <c r="K119" i="2"/>
  <c r="K125" i="2"/>
  <c r="K126" i="2"/>
  <c r="K135" i="2"/>
  <c r="K142" i="2"/>
  <c r="K146" i="2"/>
  <c r="K29" i="2"/>
  <c r="K35" i="2"/>
  <c r="K44" i="2"/>
  <c r="K51" i="2"/>
  <c r="K52" i="2"/>
  <c r="K70" i="2"/>
  <c r="K120" i="2"/>
  <c r="K128" i="2"/>
  <c r="K137" i="2"/>
  <c r="K138" i="2"/>
  <c r="K154" i="2"/>
  <c r="K3" i="2"/>
  <c r="K45" i="2"/>
  <c r="K55" i="2"/>
  <c r="K62" i="2"/>
  <c r="K63" i="2"/>
  <c r="K68" i="2"/>
  <c r="K79" i="2"/>
  <c r="K81" i="2"/>
  <c r="K130" i="2"/>
  <c r="K139" i="2"/>
  <c r="K147" i="2"/>
  <c r="K148" i="2"/>
  <c r="K153" i="2"/>
  <c r="K162" i="2"/>
  <c r="K165" i="2"/>
  <c r="K114" i="2"/>
  <c r="K10" i="2"/>
  <c r="K12" i="2"/>
  <c r="K56" i="2"/>
  <c r="K64" i="2"/>
  <c r="K71" i="2"/>
  <c r="K72" i="2"/>
  <c r="K80" i="2"/>
  <c r="K87" i="2"/>
  <c r="K90" i="2"/>
  <c r="K140" i="2"/>
  <c r="K149" i="2"/>
  <c r="K155" i="2"/>
  <c r="K156" i="2"/>
  <c r="K163" i="2"/>
  <c r="K172" i="2"/>
  <c r="K7" i="2"/>
  <c r="K13" i="2"/>
  <c r="K14" i="2"/>
  <c r="K20" i="2"/>
  <c r="K28" i="2"/>
  <c r="K30" i="2"/>
  <c r="K77" i="2"/>
  <c r="K84" i="2"/>
  <c r="K92" i="2"/>
  <c r="K93" i="2"/>
  <c r="K99" i="2"/>
  <c r="K110" i="2"/>
  <c r="K115" i="2"/>
  <c r="K158" i="2"/>
  <c r="K168" i="2"/>
  <c r="K51" i="3"/>
  <c r="K70" i="3"/>
  <c r="K133" i="3"/>
  <c r="K147" i="3"/>
  <c r="K8" i="3"/>
  <c r="K16" i="3"/>
  <c r="K7" i="3"/>
  <c r="K20" i="3"/>
  <c r="K35" i="3"/>
  <c r="K41" i="3"/>
  <c r="K64" i="3"/>
  <c r="K81" i="3"/>
  <c r="K89" i="3"/>
  <c r="K118" i="3"/>
  <c r="K128" i="3"/>
  <c r="K141" i="3"/>
  <c r="K142" i="3"/>
  <c r="K155" i="3"/>
  <c r="K166" i="3"/>
  <c r="K37" i="3"/>
  <c r="K42" i="3"/>
  <c r="K60" i="3"/>
  <c r="K115" i="3"/>
  <c r="K11" i="3"/>
  <c r="K14" i="3"/>
  <c r="K19" i="3"/>
  <c r="K24" i="3"/>
  <c r="K49" i="3"/>
  <c r="K58" i="3"/>
  <c r="K74" i="3"/>
  <c r="K90" i="3"/>
  <c r="K98" i="3"/>
  <c r="K99" i="3"/>
  <c r="K136" i="3"/>
  <c r="K150" i="3"/>
  <c r="K151" i="3"/>
  <c r="K165" i="3"/>
  <c r="K167" i="3"/>
  <c r="K52" i="3"/>
  <c r="K9" i="3"/>
  <c r="K15" i="3"/>
  <c r="K29" i="3"/>
  <c r="K43" i="3"/>
  <c r="K50" i="3"/>
  <c r="K65" i="3"/>
  <c r="K66" i="3"/>
  <c r="K77" i="3"/>
  <c r="K83" i="3"/>
  <c r="K84" i="3"/>
  <c r="K92" i="3"/>
  <c r="K100" i="3"/>
  <c r="K110" i="3"/>
  <c r="K143" i="3"/>
  <c r="K145" i="3"/>
  <c r="K152" i="3"/>
  <c r="K158" i="3"/>
  <c r="K159" i="3"/>
  <c r="K138" i="3"/>
  <c r="K45" i="3"/>
  <c r="K22" i="3"/>
  <c r="K28" i="3"/>
  <c r="K34" i="3"/>
  <c r="K78" i="3"/>
  <c r="K93" i="3"/>
  <c r="K108" i="3"/>
  <c r="K122" i="3"/>
  <c r="K153" i="3"/>
  <c r="K161" i="3"/>
  <c r="K168" i="3"/>
  <c r="K28" i="4"/>
  <c r="K49" i="4"/>
  <c r="K82" i="4"/>
  <c r="K83" i="4"/>
  <c r="K96" i="4"/>
  <c r="K98" i="4"/>
  <c r="K105" i="4"/>
  <c r="K122" i="4"/>
  <c r="K140" i="4"/>
  <c r="K153" i="4"/>
  <c r="K154" i="4"/>
  <c r="K167" i="4"/>
  <c r="K104" i="4"/>
  <c r="K131" i="4"/>
  <c r="K161" i="4"/>
  <c r="K117" i="4"/>
  <c r="K139" i="4"/>
  <c r="K15" i="4"/>
  <c r="K23" i="4"/>
  <c r="K9" i="4"/>
  <c r="K26" i="4"/>
  <c r="K39" i="4"/>
  <c r="K40" i="4"/>
  <c r="K52" i="4"/>
  <c r="K61" i="4"/>
  <c r="K75" i="4"/>
  <c r="K94" i="4"/>
  <c r="K108" i="4"/>
  <c r="K110" i="4"/>
  <c r="K125" i="4"/>
  <c r="K135" i="4"/>
  <c r="K147" i="4"/>
  <c r="K165" i="4"/>
  <c r="K173" i="4"/>
  <c r="K57" i="4"/>
  <c r="K65" i="4"/>
  <c r="K4" i="4"/>
  <c r="K17" i="4"/>
  <c r="K34" i="4"/>
  <c r="K47" i="4"/>
  <c r="K48" i="4"/>
  <c r="K60" i="4"/>
  <c r="K62" i="4"/>
  <c r="K70" i="4"/>
  <c r="K84" i="4"/>
  <c r="K102" i="4"/>
  <c r="K120" i="4"/>
  <c r="K121" i="4"/>
  <c r="K134" i="4"/>
  <c r="K136" i="4"/>
  <c r="K143" i="4"/>
  <c r="K155" i="4"/>
  <c r="K171" i="4"/>
  <c r="K3" i="4"/>
  <c r="K5" i="4"/>
  <c r="K13" i="4"/>
  <c r="K25" i="4"/>
  <c r="K42" i="4"/>
  <c r="K55" i="4"/>
  <c r="K56" i="4"/>
  <c r="K68" i="4"/>
  <c r="K71" i="4"/>
  <c r="K80" i="4"/>
  <c r="K93" i="4"/>
  <c r="K115" i="4"/>
  <c r="K129" i="4"/>
  <c r="K130" i="4"/>
  <c r="K142" i="4"/>
  <c r="K144" i="4"/>
  <c r="K151" i="4"/>
  <c r="K163" i="4"/>
  <c r="K36" i="4"/>
  <c r="K31" i="4"/>
  <c r="K44" i="4"/>
  <c r="K99" i="4"/>
  <c r="K12" i="4"/>
  <c r="K21" i="4"/>
  <c r="K33" i="4"/>
  <c r="K50" i="4"/>
  <c r="K63" i="4"/>
  <c r="K64" i="4"/>
  <c r="K79" i="4"/>
  <c r="K88" i="4"/>
  <c r="K101" i="4"/>
  <c r="K123" i="4"/>
  <c r="K137" i="4"/>
  <c r="K138" i="4"/>
  <c r="K150" i="4"/>
  <c r="K159" i="4"/>
  <c r="K7" i="5"/>
  <c r="K19" i="5"/>
  <c r="K29" i="5"/>
  <c r="K39" i="5"/>
  <c r="K52" i="5"/>
  <c r="K69" i="5"/>
  <c r="K80" i="5"/>
  <c r="K93" i="5"/>
  <c r="K100" i="5"/>
  <c r="K110" i="5"/>
  <c r="K117" i="5"/>
  <c r="K145" i="5"/>
  <c r="K152" i="5"/>
  <c r="K157" i="5"/>
  <c r="K171" i="5"/>
  <c r="K20" i="5"/>
  <c r="K33" i="5"/>
  <c r="K74" i="5"/>
  <c r="K88" i="5"/>
  <c r="K101" i="5"/>
  <c r="K132" i="5"/>
  <c r="K153" i="5"/>
  <c r="K5" i="5"/>
  <c r="K15" i="5"/>
  <c r="K37" i="5"/>
  <c r="K47" i="5"/>
  <c r="K60" i="5"/>
  <c r="K67" i="5"/>
  <c r="K78" i="5"/>
  <c r="K82" i="5"/>
  <c r="K116" i="5"/>
  <c r="K125" i="5"/>
  <c r="K140" i="5"/>
  <c r="K161" i="5"/>
  <c r="K169" i="5"/>
  <c r="K9" i="5"/>
  <c r="K28" i="5"/>
  <c r="K41" i="5"/>
  <c r="K55" i="5"/>
  <c r="K68" i="5"/>
  <c r="K86" i="5"/>
  <c r="K96" i="5"/>
  <c r="K109" i="5"/>
  <c r="K119" i="5"/>
  <c r="K130" i="5"/>
  <c r="K134" i="5"/>
  <c r="K147" i="5"/>
  <c r="K148" i="5"/>
  <c r="K170" i="5"/>
  <c r="K4" i="5"/>
  <c r="K17" i="5"/>
  <c r="K36" i="5"/>
  <c r="K53" i="5"/>
  <c r="K63" i="5"/>
  <c r="K77" i="5"/>
  <c r="K84" i="5"/>
  <c r="K94" i="5"/>
  <c r="K98" i="5"/>
  <c r="K133" i="5"/>
  <c r="K146" i="5"/>
  <c r="K150" i="5"/>
  <c r="K163" i="5"/>
  <c r="K165" i="5"/>
  <c r="K21" i="5"/>
  <c r="K31" i="5"/>
  <c r="K48" i="5"/>
  <c r="K57" i="5"/>
  <c r="K71" i="5"/>
  <c r="K85" i="5"/>
  <c r="K102" i="5"/>
  <c r="K115" i="5"/>
  <c r="K129" i="5"/>
  <c r="K136" i="5"/>
  <c r="K141" i="5"/>
  <c r="K154" i="5"/>
  <c r="K158" i="5"/>
  <c r="K172" i="5"/>
  <c r="K173" i="5"/>
  <c r="K12" i="5"/>
  <c r="K25" i="5"/>
  <c r="K44" i="5"/>
  <c r="K51" i="5"/>
  <c r="K61" i="5"/>
  <c r="K65" i="5"/>
  <c r="K97" i="5"/>
  <c r="K106" i="5"/>
  <c r="K123" i="5"/>
  <c r="K137" i="5"/>
  <c r="K149" i="5"/>
  <c r="K162" i="5"/>
  <c r="K167" i="5"/>
  <c r="K8" i="6"/>
  <c r="K57" i="6"/>
  <c r="K11" i="6"/>
  <c r="K19" i="6"/>
  <c r="K27" i="6"/>
  <c r="K35" i="6"/>
  <c r="K43" i="6"/>
  <c r="K50" i="6"/>
  <c r="K51" i="6"/>
  <c r="K59" i="6"/>
  <c r="K67" i="6"/>
  <c r="K75" i="6"/>
  <c r="K83" i="6"/>
  <c r="K91" i="6"/>
  <c r="K99" i="6"/>
  <c r="K107" i="6"/>
  <c r="K117" i="6"/>
  <c r="K118" i="6"/>
  <c r="K119" i="6"/>
  <c r="K127" i="6"/>
  <c r="K135" i="6"/>
  <c r="K143" i="6"/>
  <c r="K151" i="6"/>
  <c r="K159" i="6"/>
  <c r="K167" i="6"/>
  <c r="K173" i="6"/>
  <c r="K9" i="6"/>
  <c r="K12" i="6"/>
  <c r="K20" i="6"/>
  <c r="K28" i="6"/>
  <c r="K42" i="6"/>
  <c r="K60" i="6"/>
  <c r="K92" i="6"/>
  <c r="K106" i="6"/>
  <c r="K160" i="6"/>
  <c r="K3" i="6"/>
  <c r="K13" i="6"/>
  <c r="K21" i="6"/>
  <c r="K33" i="6"/>
  <c r="K34" i="6"/>
  <c r="K41" i="6"/>
  <c r="K77" i="6"/>
  <c r="K85" i="6"/>
  <c r="K97" i="6"/>
  <c r="K98" i="6"/>
  <c r="K105" i="6"/>
  <c r="K109" i="6"/>
  <c r="K121" i="6"/>
  <c r="K129" i="6"/>
  <c r="K137" i="6"/>
  <c r="K145" i="6"/>
  <c r="K153" i="6"/>
  <c r="K161" i="6"/>
  <c r="K165" i="6"/>
  <c r="K166" i="6"/>
  <c r="K169" i="6"/>
  <c r="K5" i="6"/>
  <c r="K15" i="6"/>
  <c r="K23" i="6"/>
  <c r="K47" i="6"/>
  <c r="K55" i="6"/>
  <c r="K63" i="6"/>
  <c r="K71" i="6"/>
  <c r="K115" i="6"/>
  <c r="K123" i="6"/>
  <c r="K131" i="6"/>
  <c r="K139" i="6"/>
  <c r="K147" i="6"/>
  <c r="K155" i="6"/>
  <c r="K6" i="6"/>
  <c r="K16" i="6"/>
  <c r="K32" i="6"/>
  <c r="K40" i="6"/>
  <c r="K48" i="6"/>
  <c r="K56" i="6"/>
  <c r="K64" i="6"/>
  <c r="K72" i="6"/>
  <c r="K80" i="6"/>
  <c r="K88" i="6"/>
  <c r="K96" i="6"/>
  <c r="K104" i="6"/>
  <c r="K116" i="6"/>
  <c r="K124" i="6"/>
  <c r="K132" i="6"/>
  <c r="K140" i="6"/>
  <c r="K148" i="6"/>
  <c r="K156" i="6"/>
  <c r="K164" i="6"/>
  <c r="K170" i="6"/>
  <c r="K7" i="6"/>
  <c r="K141" i="6"/>
  <c r="K126" i="6"/>
  <c r="K24" i="6"/>
  <c r="K171" i="6"/>
  <c r="K163" i="6"/>
  <c r="K103" i="6"/>
  <c r="K95" i="6"/>
  <c r="K87" i="6"/>
  <c r="K79" i="6"/>
  <c r="K39" i="6"/>
  <c r="K31" i="6"/>
  <c r="K65" i="6"/>
  <c r="K162" i="6"/>
  <c r="K154" i="6"/>
  <c r="K122" i="6"/>
  <c r="K114" i="6"/>
  <c r="K102" i="6"/>
  <c r="K86" i="6"/>
  <c r="K54" i="6"/>
  <c r="K46" i="6"/>
  <c r="K38" i="6"/>
  <c r="K101" i="6"/>
  <c r="K93" i="6"/>
  <c r="K69" i="6"/>
  <c r="K61" i="6"/>
  <c r="K53" i="6"/>
  <c r="K45" i="6"/>
  <c r="K37" i="6"/>
  <c r="K29" i="6"/>
  <c r="K58" i="6"/>
  <c r="K133" i="6"/>
  <c r="K73" i="6"/>
  <c r="K168" i="6"/>
  <c r="K152" i="6"/>
  <c r="K144" i="6"/>
  <c r="K136" i="6"/>
  <c r="K128" i="6"/>
  <c r="K120" i="6"/>
  <c r="K108" i="6"/>
  <c r="K100" i="6"/>
  <c r="K84" i="6"/>
  <c r="K76" i="6"/>
  <c r="K68" i="6"/>
  <c r="K52" i="6"/>
  <c r="K44" i="6"/>
  <c r="K36" i="6"/>
  <c r="K88" i="3"/>
  <c r="K124" i="3"/>
  <c r="K63" i="3"/>
  <c r="K101" i="3"/>
  <c r="K57" i="3"/>
  <c r="K71" i="3"/>
  <c r="K80" i="3"/>
  <c r="K94" i="3"/>
  <c r="K114" i="3"/>
  <c r="K121" i="3"/>
  <c r="K135" i="3"/>
  <c r="K149" i="3"/>
  <c r="K171" i="3"/>
  <c r="K14" i="4"/>
  <c r="K46" i="4"/>
  <c r="K81" i="4"/>
  <c r="K119" i="4"/>
  <c r="K152" i="4"/>
  <c r="K72" i="3"/>
  <c r="K82" i="3"/>
  <c r="K104" i="3"/>
  <c r="K123" i="3"/>
  <c r="K130" i="3"/>
  <c r="K157" i="3"/>
  <c r="K22" i="4"/>
  <c r="K54" i="4"/>
  <c r="K89" i="4"/>
  <c r="K128" i="4"/>
  <c r="K160" i="4"/>
  <c r="K6" i="5"/>
  <c r="K11" i="5"/>
  <c r="K22" i="5"/>
  <c r="K27" i="5"/>
  <c r="K38" i="5"/>
  <c r="K43" i="5"/>
  <c r="K54" i="5"/>
  <c r="K59" i="5"/>
  <c r="K70" i="5"/>
  <c r="K76" i="5"/>
  <c r="K87" i="5"/>
  <c r="K92" i="5"/>
  <c r="K103" i="5"/>
  <c r="K108" i="5"/>
  <c r="K122" i="5"/>
  <c r="K128" i="5"/>
  <c r="K139" i="5"/>
  <c r="K144" i="5"/>
  <c r="K160" i="5"/>
  <c r="K168" i="4"/>
  <c r="K14" i="5"/>
  <c r="K30" i="5"/>
  <c r="K46" i="5"/>
  <c r="K62" i="5"/>
  <c r="K79" i="5"/>
  <c r="K95" i="5"/>
  <c r="K114" i="5"/>
  <c r="K131" i="5"/>
</calcChain>
</file>

<file path=xl/sharedStrings.xml><?xml version="1.0" encoding="utf-8"?>
<sst xmlns="http://schemas.openxmlformats.org/spreadsheetml/2006/main" count="4326" uniqueCount="1474">
  <si>
    <t>NHL Fantasy Points Dataset — Top 107 Forwards + Barkov, Top 60 Defensemen (2025-26 pool)</t>
  </si>
  <si>
    <t>SCOPE</t>
  </si>
  <si>
    <t>Player pool: top 107 forwards by Total Points (Goals+Assists) in the 2025-26 NHL regular season, plus Aleksander Barkov (added manually — missed the entire 2025-26 season due to injury, so has no 2025-26 stat row), plus the top 60 defensemen by Total Points. 168 players total, ranked and selected using Natural Stat Trick's 2025-26 'Player Season Totals' report.</t>
  </si>
  <si>
    <t>This same 168-player pool is tracked across all five seasons: 2021-22, 2022-23, 2023-24, 2024-25, 2025-26. Each season tab is split into two labeled sections — Forwards, then Defensemen — in that ranked order. Blank cells mean the player had not yet debuted / had no NHL games that season (e.g. rookies in earlier years); that's intentional, not missing data.</t>
  </si>
  <si>
    <t>TIE-BREAK RULE FOR CUTOFFS</t>
  </si>
  <si>
    <t>Several players were tied on Total Points right at the forward (107th) and defenseman (60th) cutoffs. Ties were broken by (1) more Goals, then (2) more Shots. This is an arbitrary but documented rule — let me know if you'd rather include all tied players or use a different tiebreak.</t>
  </si>
  <si>
    <t>FANTASY SCORING FORMULA</t>
  </si>
  <si>
    <t>Fantasy Points = 8 x Goals + 6 x Assists + 1 x Shots + 1 x Blocks + 0.5 x Hits</t>
  </si>
  <si>
    <t>FP/GP = Fantasy Points / Games Played (blank if GP = 0 or player didn't play that season)</t>
  </si>
  <si>
    <t>Both are live formulas in each season tab, not hardcoded — they recalc if you edit the underlying stat cells.</t>
  </si>
  <si>
    <t>AGE COLUMN</t>
  </si>
  <si>
    <t>Age is calculated as of October 1st of the season's starting year (e.g. for 2023-24, age as of Oct 1, 2023) — a fixed, season-relative reference point rather than 'today', so it's safe to use directly as a predictive feature (it reflects what was knowable/true at the start of that season, not a moving target). Birthdates sourced from MoneyPuck's player biography file (allPlayersLookup.csv).</t>
  </si>
  <si>
    <t>DATA SOURCES</t>
  </si>
  <si>
    <t>Core box-score stats (GP, Goals, Assists, Shots, Hits, Blocks, TOI, PIM, Giveaways, Takeaways, Faceoff%, IPP%, SH%, iCF, iFF, iSCF, iHDCF, NST ixG) sourced from Natural Stat Trick (naturalstattrick.com), 'Player Season Totals' report, All Situations, All Teams.</t>
  </si>
  <si>
    <t>Advanced/model-based metrics (MP xGoals, on-ice xGoals%, Corsi%, Fenwick%, Game Score, High-Danger Shots) sourced from MoneyPuck.com season summary skaters.csv files, situation = 'all' (all strengths combined).</t>
  </si>
  <si>
    <t>Player identity matched across sites via MoneyPuck's numeric playerId (retained as the last column on each tab) — matched by normalized name + position, with a small number of manual fixes for MoneyPuck CSV export encoding issues that drop accented characters entirely (e.g. 'Tim Stützle' exports as 'Tim Sttzle', 'Alexis Lafrenière' as 'Alexis Lafrenire').</t>
  </si>
  <si>
    <t>Traded players: both sources' 'all situations' totals already combine stints across multiple teams into one season total; the Team column reflects the team on file for that stint (usually most recent), not a full trade history.</t>
  </si>
  <si>
    <t>COLUMN GLOSSARY (advanced stats)</t>
  </si>
  <si>
    <t>TOI = time on ice (min, season total) | PIM = penalty minutes | IPP% = individual points percentage (share of team goals while on ice that player had a point on)</t>
  </si>
  <si>
    <t>SH% = shooting percentage | iCF/iFF = individual Corsi/Fenwick For (shot attempts / unblocked shot attempts generated) | iSCF/iHDCF = individual scoring-chance / high-danger chance contributions</t>
  </si>
  <si>
    <t>NST_ixG = Natural Stat Trick's individual expected goals model | MP_xGoals = MoneyPuck's individual expected goals model (different model, kept separate for comparison/ensembling)</t>
  </si>
  <si>
    <t>xGoalsPct/CorsiPct/FenwickPct = on-ice share of expected goals / shot attempts / unblocked shot attempts while that player was on the ice (5v5-driven possession quality indicators, MoneyPuck)</t>
  </si>
  <si>
    <t>GameScore = MoneyPuck's single-number composite performance metric | HD_Shots = high-danger shots taken (MoneyPuck)</t>
  </si>
  <si>
    <t>Prepared for use as a training dataset for a fantasy-points prediction model. See prior conversation for the full ML pipeline outline (walk-forward validation, leakage prevention, feature engineering). Given the position split here, consider training separate F and D models, since scoring drivers differ substantially between the groups. Age is a natural candidate feature (both linear and as age^2, to capture peak/decline curves), and is leakage-safe since it's deterministic and known in advance.</t>
  </si>
  <si>
    <t>FORWARDS (top 107 by 2025-26 points + Barkov) — 108 players</t>
  </si>
  <si>
    <t>Player</t>
  </si>
  <si>
    <t>Position</t>
  </si>
  <si>
    <t>Team</t>
  </si>
  <si>
    <t>Age</t>
  </si>
  <si>
    <t>GP</t>
  </si>
  <si>
    <t>Goals_PG</t>
  </si>
  <si>
    <t>Assists_PG</t>
  </si>
  <si>
    <t>Shots_PG</t>
  </si>
  <si>
    <t>Hits_PG</t>
  </si>
  <si>
    <t>Blocks_PG</t>
  </si>
  <si>
    <t>FantasyPoints_PG</t>
  </si>
  <si>
    <t>TOI_PG</t>
  </si>
  <si>
    <t>PIM_PG</t>
  </si>
  <si>
    <t>IPP%</t>
  </si>
  <si>
    <t>SH%</t>
  </si>
  <si>
    <t>iCF_PG</t>
  </si>
  <si>
    <t>iFF_PG</t>
  </si>
  <si>
    <t>iSCF_PG</t>
  </si>
  <si>
    <t>iHDCF_PG</t>
  </si>
  <si>
    <t>NST_ixG_PG</t>
  </si>
  <si>
    <t>Giveaways_PG</t>
  </si>
  <si>
    <t>Takeaways_PG</t>
  </si>
  <si>
    <t>MP_xGoals_PG</t>
  </si>
  <si>
    <t>xGoalsPct</t>
  </si>
  <si>
    <t>CorsiPct</t>
  </si>
  <si>
    <t>FenwickPct</t>
  </si>
  <si>
    <t>GameScore_PG</t>
  </si>
  <si>
    <t>HD_Shots_PG</t>
  </si>
  <si>
    <t>playerId</t>
  </si>
  <si>
    <t>Connor McDavid</t>
  </si>
  <si>
    <t>C</t>
  </si>
  <si>
    <t>EDM</t>
  </si>
  <si>
    <t>81.46</t>
  </si>
  <si>
    <t>13.97</t>
  </si>
  <si>
    <t>Nikita Kucherov</t>
  </si>
  <si>
    <t>R</t>
  </si>
  <si>
    <t>T.B</t>
  </si>
  <si>
    <t>72.63</t>
  </si>
  <si>
    <t>16.03</t>
  </si>
  <si>
    <t>100.00</t>
  </si>
  <si>
    <t>Nathan MacKinnon</t>
  </si>
  <si>
    <t>COL</t>
  </si>
  <si>
    <t>70.97</t>
  </si>
  <si>
    <t>10.70</t>
  </si>
  <si>
    <t>45.38</t>
  </si>
  <si>
    <t>Macklin Celebrini</t>
  </si>
  <si>
    <t>Mark Scheifele</t>
  </si>
  <si>
    <t>WPG</t>
  </si>
  <si>
    <t>68.63</t>
  </si>
  <si>
    <t>18.24</t>
  </si>
  <si>
    <t>Nick Suzuki</t>
  </si>
  <si>
    <t>MTL</t>
  </si>
  <si>
    <t>67.78</t>
  </si>
  <si>
    <t>11.29</t>
  </si>
  <si>
    <t>Martin Necas</t>
  </si>
  <si>
    <t>CAR</t>
  </si>
  <si>
    <t>64.52</t>
  </si>
  <si>
    <t>8.81</t>
  </si>
  <si>
    <t>David Pastrnak</t>
  </si>
  <si>
    <t>BOS</t>
  </si>
  <si>
    <t>70.00</t>
  </si>
  <si>
    <t>12.82</t>
  </si>
  <si>
    <t>33.33</t>
  </si>
  <si>
    <t>Leon Draisaitl</t>
  </si>
  <si>
    <t>75.86</t>
  </si>
  <si>
    <t>19.78</t>
  </si>
  <si>
    <t>Jason Robertson</t>
  </si>
  <si>
    <t>L</t>
  </si>
  <si>
    <t>DAL</t>
  </si>
  <si>
    <t>69.30</t>
  </si>
  <si>
    <t>18.64</t>
  </si>
  <si>
    <t>-</t>
  </si>
  <si>
    <t>Kyle Connor</t>
  </si>
  <si>
    <t>80.17</t>
  </si>
  <si>
    <t>14.83</t>
  </si>
  <si>
    <t>14.29</t>
  </si>
  <si>
    <t>Jack Eichel</t>
  </si>
  <si>
    <t>VGK</t>
  </si>
  <si>
    <t>59.52</t>
  </si>
  <si>
    <t>10.53</t>
  </si>
  <si>
    <t>Kirill Kaprizov</t>
  </si>
  <si>
    <t>MIN</t>
  </si>
  <si>
    <t>80.00</t>
  </si>
  <si>
    <t>16.26</t>
  </si>
  <si>
    <t>Cole Caufield</t>
  </si>
  <si>
    <t>66.15</t>
  </si>
  <si>
    <t>12.23</t>
  </si>
  <si>
    <t>50.00</t>
  </si>
  <si>
    <t>Jake Guentzel</t>
  </si>
  <si>
    <t>PIT</t>
  </si>
  <si>
    <t>66.67</t>
  </si>
  <si>
    <t>15.15</t>
  </si>
  <si>
    <t>Clayton Keller</t>
  </si>
  <si>
    <t>ARI</t>
  </si>
  <si>
    <t>73.26</t>
  </si>
  <si>
    <t>15.82</t>
  </si>
  <si>
    <t>Wyatt Johnston</t>
  </si>
  <si>
    <t>Matt Boldy</t>
  </si>
  <si>
    <t>60.94</t>
  </si>
  <si>
    <t>13.27</t>
  </si>
  <si>
    <t>37.50</t>
  </si>
  <si>
    <t>Alex DeBrincat</t>
  </si>
  <si>
    <t>CHI</t>
  </si>
  <si>
    <t>69.03</t>
  </si>
  <si>
    <t>15.19</t>
  </si>
  <si>
    <t>Artemi Panarin</t>
  </si>
  <si>
    <t>NYR</t>
  </si>
  <si>
    <t>83.48</t>
  </si>
  <si>
    <t>12.43</t>
  </si>
  <si>
    <t>Tim Stützle</t>
  </si>
  <si>
    <t>OTT</t>
  </si>
  <si>
    <t>67.44</t>
  </si>
  <si>
    <t>Tage Thompson</t>
  </si>
  <si>
    <t>BUF</t>
  </si>
  <si>
    <t>68.69</t>
  </si>
  <si>
    <t>15.02</t>
  </si>
  <si>
    <t>Sebastian Aho</t>
  </si>
  <si>
    <t>72.97</t>
  </si>
  <si>
    <t>16.74</t>
  </si>
  <si>
    <t>Mitch Marner</t>
  </si>
  <si>
    <t>William Nylander</t>
  </si>
  <si>
    <t>TOR</t>
  </si>
  <si>
    <t>66.12</t>
  </si>
  <si>
    <t>13.28</t>
  </si>
  <si>
    <t>Mika Zibanejad</t>
  </si>
  <si>
    <t>63.28</t>
  </si>
  <si>
    <t>13.24</t>
  </si>
  <si>
    <t>Jack Hughes</t>
  </si>
  <si>
    <t>N.J</t>
  </si>
  <si>
    <t>77.78</t>
  </si>
  <si>
    <t>15.76</t>
  </si>
  <si>
    <t>Mikko Rantanen</t>
  </si>
  <si>
    <t>57.86</t>
  </si>
  <si>
    <t>14.17</t>
  </si>
  <si>
    <t>Lucas Raymond</t>
  </si>
  <si>
    <t>DET</t>
  </si>
  <si>
    <t>65.52</t>
  </si>
  <si>
    <t>12.50</t>
  </si>
  <si>
    <t>Filip Forsberg</t>
  </si>
  <si>
    <t>NSH</t>
  </si>
  <si>
    <t>72.41</t>
  </si>
  <si>
    <t>18.58</t>
  </si>
  <si>
    <t>Connor Bedard</t>
  </si>
  <si>
    <t>Brandon Hagel</t>
  </si>
  <si>
    <t>CHI, T.B</t>
  </si>
  <si>
    <t>61.97</t>
  </si>
  <si>
    <t>20.00</t>
  </si>
  <si>
    <t>42.11</t>
  </si>
  <si>
    <t>Nick Schmaltz</t>
  </si>
  <si>
    <t>74.68</t>
  </si>
  <si>
    <t>18.70</t>
  </si>
  <si>
    <t>Sidney Crosby</t>
  </si>
  <si>
    <t>71.79</t>
  </si>
  <si>
    <t>14.90</t>
  </si>
  <si>
    <t>Ryan O'Reilly</t>
  </si>
  <si>
    <t>STL</t>
  </si>
  <si>
    <t>58.00</t>
  </si>
  <si>
    <t>Dylan Guenther</t>
  </si>
  <si>
    <t>Adrian Kempe</t>
  </si>
  <si>
    <t>L.A</t>
  </si>
  <si>
    <t>67.50</t>
  </si>
  <si>
    <t>Juraj Slafkovský</t>
  </si>
  <si>
    <t>Mark Stone</t>
  </si>
  <si>
    <t>61.22</t>
  </si>
  <si>
    <t>12.68</t>
  </si>
  <si>
    <t>Mathew Barzal</t>
  </si>
  <si>
    <t>NYI</t>
  </si>
  <si>
    <t>78.67</t>
  </si>
  <si>
    <t>9.32</t>
  </si>
  <si>
    <t>46.34</t>
  </si>
  <si>
    <t>Drake Batherson</t>
  </si>
  <si>
    <t>68.75</t>
  </si>
  <si>
    <t>15.32</t>
  </si>
  <si>
    <t>John Tavares</t>
  </si>
  <si>
    <t>63.87</t>
  </si>
  <si>
    <t>11.39</t>
  </si>
  <si>
    <t>Nikolaj Ehlers</t>
  </si>
  <si>
    <t>69.62</t>
  </si>
  <si>
    <t>11.43</t>
  </si>
  <si>
    <t>Jesper Bratt</t>
  </si>
  <si>
    <t>77.66</t>
  </si>
  <si>
    <t>13.20</t>
  </si>
  <si>
    <t>0.00</t>
  </si>
  <si>
    <t>Andrei Svechnikov</t>
  </si>
  <si>
    <t>63.30</t>
  </si>
  <si>
    <t>12.05</t>
  </si>
  <si>
    <t>Cutter Gauthier</t>
  </si>
  <si>
    <t>Morgan Geekie</t>
  </si>
  <si>
    <t>SEA</t>
  </si>
  <si>
    <t>64.71</t>
  </si>
  <si>
    <t>7.22</t>
  </si>
  <si>
    <t>Gabriel Vilardi</t>
  </si>
  <si>
    <t>58.33</t>
  </si>
  <si>
    <t>12.20</t>
  </si>
  <si>
    <t>Travis Konecny</t>
  </si>
  <si>
    <t>PHI</t>
  </si>
  <si>
    <t>72.22</t>
  </si>
  <si>
    <t>7.27</t>
  </si>
  <si>
    <t>41.94</t>
  </si>
  <si>
    <t>Dylan Larkin</t>
  </si>
  <si>
    <t>69.70</t>
  </si>
  <si>
    <t>14.62</t>
  </si>
  <si>
    <t>Leo Carlsson</t>
  </si>
  <si>
    <t>Kirill Marchenko</t>
  </si>
  <si>
    <t>Trevor Zegras</t>
  </si>
  <si>
    <t>ANA</t>
  </si>
  <si>
    <t>79.22</t>
  </si>
  <si>
    <t>12.71</t>
  </si>
  <si>
    <t>Steven Stamkos</t>
  </si>
  <si>
    <t>75.71</t>
  </si>
  <si>
    <t>17.43</t>
  </si>
  <si>
    <t>Alex Tuch</t>
  </si>
  <si>
    <t>58.46</t>
  </si>
  <si>
    <t>8.63</t>
  </si>
  <si>
    <t>Seth Jarvis</t>
  </si>
  <si>
    <t>68.97</t>
  </si>
  <si>
    <t>15.45</t>
  </si>
  <si>
    <t>44.00</t>
  </si>
  <si>
    <t>Nico Hischier</t>
  </si>
  <si>
    <t>72.29</t>
  </si>
  <si>
    <t>13.73</t>
  </si>
  <si>
    <t>Matthew Knies</t>
  </si>
  <si>
    <t>Brock Nelson</t>
  </si>
  <si>
    <t>71.08</t>
  </si>
  <si>
    <t>21.64</t>
  </si>
  <si>
    <t>Pavel Zacha</t>
  </si>
  <si>
    <t>60.00</t>
  </si>
  <si>
    <t>10.14</t>
  </si>
  <si>
    <t>Bryan Rust</t>
  </si>
  <si>
    <t>63.74</t>
  </si>
  <si>
    <t>13.33</t>
  </si>
  <si>
    <t>16.67</t>
  </si>
  <si>
    <t>Pavel Dorofeyev</t>
  </si>
  <si>
    <t>Anthony Mantha</t>
  </si>
  <si>
    <t>WSH</t>
  </si>
  <si>
    <t>63.89</t>
  </si>
  <si>
    <t>10.98</t>
  </si>
  <si>
    <t>75.00</t>
  </si>
  <si>
    <t>Alex Ovechkin</t>
  </si>
  <si>
    <t>69.77</t>
  </si>
  <si>
    <t>14.97</t>
  </si>
  <si>
    <t>Robert Thomas</t>
  </si>
  <si>
    <t>17.39</t>
  </si>
  <si>
    <t>Tom Wilson</t>
  </si>
  <si>
    <t>53.06</t>
  </si>
  <si>
    <t>15.89</t>
  </si>
  <si>
    <t>42.31</t>
  </si>
  <si>
    <t>Ivan Demidov</t>
  </si>
  <si>
    <t>Sam Reinhart</t>
  </si>
  <si>
    <t>FLA</t>
  </si>
  <si>
    <t>63.57</t>
  </si>
  <si>
    <t>17.74</t>
  </si>
  <si>
    <t>Ivan Barbashev</t>
  </si>
  <si>
    <t>23.42</t>
  </si>
  <si>
    <t>Evgeni Malkin</t>
  </si>
  <si>
    <t>73.68</t>
  </si>
  <si>
    <t>15.50</t>
  </si>
  <si>
    <t>Beckett Sennecke</t>
  </si>
  <si>
    <t>Dylan Cozens</t>
  </si>
  <si>
    <t>56.72</t>
  </si>
  <si>
    <t>8.13</t>
  </si>
  <si>
    <t>Adam Fantilli</t>
  </si>
  <si>
    <t>Will Smith</t>
  </si>
  <si>
    <t>Brady Tkachuk</t>
  </si>
  <si>
    <t>63.81</t>
  </si>
  <si>
    <t>10.42</t>
  </si>
  <si>
    <t>Tyler Bertuzzi</t>
  </si>
  <si>
    <t>67.39</t>
  </si>
  <si>
    <t>Sam Bennett</t>
  </si>
  <si>
    <t>56.98</t>
  </si>
  <si>
    <t>11.62</t>
  </si>
  <si>
    <t>Tomas Hertl</t>
  </si>
  <si>
    <t>S.J</t>
  </si>
  <si>
    <t>60.95</t>
  </si>
  <si>
    <t>14.63</t>
  </si>
  <si>
    <t>Charlie Coyle</t>
  </si>
  <si>
    <t>60.27</t>
  </si>
  <si>
    <t>12.21</t>
  </si>
  <si>
    <t>Dylan Strome</t>
  </si>
  <si>
    <t>64.86</t>
  </si>
  <si>
    <t>17.46</t>
  </si>
  <si>
    <t>Bo Horvat</t>
  </si>
  <si>
    <t>VAN</t>
  </si>
  <si>
    <t>54.74</t>
  </si>
  <si>
    <t>15.90</t>
  </si>
  <si>
    <t>Alexis Lafrenière</t>
  </si>
  <si>
    <t>63.27</t>
  </si>
  <si>
    <t>17.27</t>
  </si>
  <si>
    <t>Troy Terry</t>
  </si>
  <si>
    <t>75.28</t>
  </si>
  <si>
    <t>19.27</t>
  </si>
  <si>
    <t>11.11</t>
  </si>
  <si>
    <t>Patrick Kane</t>
  </si>
  <si>
    <t>79.31</t>
  </si>
  <si>
    <t>9.06</t>
  </si>
  <si>
    <t>Ryan Nugent-Hopkins</t>
  </si>
  <si>
    <t>54.35</t>
  </si>
  <si>
    <t>7.14</t>
  </si>
  <si>
    <t>Luke Evangelista</t>
  </si>
  <si>
    <t>Jordan Eberle</t>
  </si>
  <si>
    <t>62.86</t>
  </si>
  <si>
    <t>12.80</t>
  </si>
  <si>
    <t>30.00</t>
  </si>
  <si>
    <t>Carter Verhaeghe</t>
  </si>
  <si>
    <t>71.43</t>
  </si>
  <si>
    <t>14.37</t>
  </si>
  <si>
    <t>Alexander Wennberg</t>
  </si>
  <si>
    <t>Brad Marchand</t>
  </si>
  <si>
    <t>76.92</t>
  </si>
  <si>
    <t>13.22</t>
  </si>
  <si>
    <t>Viktor Arvidsson</t>
  </si>
  <si>
    <t>72.06</t>
  </si>
  <si>
    <t>36.36</t>
  </si>
  <si>
    <t>Mats Zuccarello</t>
  </si>
  <si>
    <t>69.91</t>
  </si>
  <si>
    <t>15.09</t>
  </si>
  <si>
    <t>Ryan McLeod</t>
  </si>
  <si>
    <t>65.63</t>
  </si>
  <si>
    <t>Auston Matthews</t>
  </si>
  <si>
    <t>72.11</t>
  </si>
  <si>
    <t>17.24</t>
  </si>
  <si>
    <t>Jackson Blake</t>
  </si>
  <si>
    <t>J.T. Miller</t>
  </si>
  <si>
    <t>76.74</t>
  </si>
  <si>
    <t>15.53</t>
  </si>
  <si>
    <t>Vincent Trocheck</t>
  </si>
  <si>
    <t>53.68</t>
  </si>
  <si>
    <t>William Eklund</t>
  </si>
  <si>
    <t>Zach Hyman</t>
  </si>
  <si>
    <t>60.67</t>
  </si>
  <si>
    <t>Josh Doan</t>
  </si>
  <si>
    <t>Aliaksei Protas</t>
  </si>
  <si>
    <t>C, L</t>
  </si>
  <si>
    <t>47.37</t>
  </si>
  <si>
    <t>8.82</t>
  </si>
  <si>
    <t>Anthony Cirelli</t>
  </si>
  <si>
    <t>58.90</t>
  </si>
  <si>
    <t>11.64</t>
  </si>
  <si>
    <t>Owen Tippett</t>
  </si>
  <si>
    <t>FLA, PHI</t>
  </si>
  <si>
    <t>45.65</t>
  </si>
  <si>
    <t>7.94</t>
  </si>
  <si>
    <t>Dylan Holloway</t>
  </si>
  <si>
    <t>Jimmy Snuggerud</t>
  </si>
  <si>
    <t>Jack Quinn</t>
  </si>
  <si>
    <t>Matvei Michkov</t>
  </si>
  <si>
    <t>Aleksander Barkov</t>
  </si>
  <si>
    <t>69.84</t>
  </si>
  <si>
    <t>18.22</t>
  </si>
  <si>
    <t>DEFENSEMEN (top 60 by 2025-26 points) — 60 players</t>
  </si>
  <si>
    <t>Evan Bouchard</t>
  </si>
  <si>
    <t>D</t>
  </si>
  <si>
    <t>48.31</t>
  </si>
  <si>
    <t>5.85</t>
  </si>
  <si>
    <t>Zach Werenski</t>
  </si>
  <si>
    <t>CBJ</t>
  </si>
  <si>
    <t>45.28</t>
  </si>
  <si>
    <t>5.09</t>
  </si>
  <si>
    <t>Cale Makar</t>
  </si>
  <si>
    <t>52.76</t>
  </si>
  <si>
    <t>11.67</t>
  </si>
  <si>
    <t>Lane Hutson</t>
  </si>
  <si>
    <t>Quinn Hughes</t>
  </si>
  <si>
    <t>55.74</t>
  </si>
  <si>
    <t>5.33</t>
  </si>
  <si>
    <t>Rasmus Dahlin</t>
  </si>
  <si>
    <t>55.21</t>
  </si>
  <si>
    <t>7.60</t>
  </si>
  <si>
    <t>Darren Raddysh</t>
  </si>
  <si>
    <t>Erik Karlsson</t>
  </si>
  <si>
    <t>53.85</t>
  </si>
  <si>
    <t>8.55</t>
  </si>
  <si>
    <t>Miro Heiskanen</t>
  </si>
  <si>
    <t>45.00</t>
  </si>
  <si>
    <t>3.21</t>
  </si>
  <si>
    <t>Charlie McAvoy</t>
  </si>
  <si>
    <t>44.09</t>
  </si>
  <si>
    <t>6.02</t>
  </si>
  <si>
    <t>Jakob Chychrun</t>
  </si>
  <si>
    <t>4.96</t>
  </si>
  <si>
    <t>John Carlson</t>
  </si>
  <si>
    <t>55.47</t>
  </si>
  <si>
    <t>8.72</t>
  </si>
  <si>
    <t>Moritz Seider</t>
  </si>
  <si>
    <t>44.64</t>
  </si>
  <si>
    <t>3.74</t>
  </si>
  <si>
    <t>Matthew Schaefer</t>
  </si>
  <si>
    <t>Mikhail Sergachev</t>
  </si>
  <si>
    <t>4.70</t>
  </si>
  <si>
    <t>Jackson LaCombe</t>
  </si>
  <si>
    <t>Josh Morrissey</t>
  </si>
  <si>
    <t>34.91</t>
  </si>
  <si>
    <t>6.94</t>
  </si>
  <si>
    <t>Roman Josi</t>
  </si>
  <si>
    <t>63.16</t>
  </si>
  <si>
    <t>8.19</t>
  </si>
  <si>
    <t>Jake Sanderson</t>
  </si>
  <si>
    <t>Adam Fox</t>
  </si>
  <si>
    <t>58.27</t>
  </si>
  <si>
    <t>6.96</t>
  </si>
  <si>
    <t>Brock Faber</t>
  </si>
  <si>
    <t>Shayne Gostisbehere</t>
  </si>
  <si>
    <t>57.95</t>
  </si>
  <si>
    <t>9.27</t>
  </si>
  <si>
    <t>Filip Hronek</t>
  </si>
  <si>
    <t>49.35</t>
  </si>
  <si>
    <t>3.76</t>
  </si>
  <si>
    <t>Rasmus Andersson</t>
  </si>
  <si>
    <t>CGY</t>
  </si>
  <si>
    <t>36.76</t>
  </si>
  <si>
    <t>2.63</t>
  </si>
  <si>
    <t>Noah Dobson</t>
  </si>
  <si>
    <t>54.26</t>
  </si>
  <si>
    <t>6.84</t>
  </si>
  <si>
    <t>Vince Dunn</t>
  </si>
  <si>
    <t>50.72</t>
  </si>
  <si>
    <t>5.79</t>
  </si>
  <si>
    <t>Bowen Byram</t>
  </si>
  <si>
    <t>53.13</t>
  </si>
  <si>
    <t>10.20</t>
  </si>
  <si>
    <t>Mattias Samuelsson</t>
  </si>
  <si>
    <t>27.03</t>
  </si>
  <si>
    <t>Mattias Ekholm</t>
  </si>
  <si>
    <t>36.05</t>
  </si>
  <si>
    <t>4.14</t>
  </si>
  <si>
    <t>Justin Faulk</t>
  </si>
  <si>
    <t>38.84</t>
  </si>
  <si>
    <t>9.58</t>
  </si>
  <si>
    <t>Sam Malinski</t>
  </si>
  <si>
    <t>Brandt Clarke</t>
  </si>
  <si>
    <t>Shea Theodore</t>
  </si>
  <si>
    <t>49.52</t>
  </si>
  <si>
    <t>6.83</t>
  </si>
  <si>
    <t>Oliver Ekman-Larsson</t>
  </si>
  <si>
    <t>36.71</t>
  </si>
  <si>
    <t>2.98</t>
  </si>
  <si>
    <t>Dougie Hamilton</t>
  </si>
  <si>
    <t>4.57</t>
  </si>
  <si>
    <t>Travis Sanheim</t>
  </si>
  <si>
    <t>34.44</t>
  </si>
  <si>
    <t>5.69</t>
  </si>
  <si>
    <t>K'Andre Miller</t>
  </si>
  <si>
    <t>26.32</t>
  </si>
  <si>
    <t>6.86</t>
  </si>
  <si>
    <t>Mike Matheson</t>
  </si>
  <si>
    <t>41.33</t>
  </si>
  <si>
    <t>7.86</t>
  </si>
  <si>
    <t>Dmitry Orlov</t>
  </si>
  <si>
    <t>39.77</t>
  </si>
  <si>
    <t>9.45</t>
  </si>
  <si>
    <t>Morgan Rielly</t>
  </si>
  <si>
    <t>43.31</t>
  </si>
  <si>
    <t>4.52</t>
  </si>
  <si>
    <t>Thomas Harley</t>
  </si>
  <si>
    <t>23.53</t>
  </si>
  <si>
    <t>2.78</t>
  </si>
  <si>
    <t>John Marino</t>
  </si>
  <si>
    <t>40.32</t>
  </si>
  <si>
    <t>1.11</t>
  </si>
  <si>
    <t>Vladislav Gavrikov</t>
  </si>
  <si>
    <t>4.63</t>
  </si>
  <si>
    <t>Brent Burns</t>
  </si>
  <si>
    <t>46.96</t>
  </si>
  <si>
    <t>4.93</t>
  </si>
  <si>
    <t>Jacob Trouba</t>
  </si>
  <si>
    <t>44.32</t>
  </si>
  <si>
    <t>5.39</t>
  </si>
  <si>
    <t>Luke Hughes</t>
  </si>
  <si>
    <t>Ryan Shea</t>
  </si>
  <si>
    <t>Tony DeAngelo</t>
  </si>
  <si>
    <t>48.57</t>
  </si>
  <si>
    <t>6.62</t>
  </si>
  <si>
    <t>Philip Broberg</t>
  </si>
  <si>
    <t>3.45</t>
  </si>
  <si>
    <t>Kris Letang</t>
  </si>
  <si>
    <t>47.89</t>
  </si>
  <si>
    <t>4.67</t>
  </si>
  <si>
    <t>Alexander Nikishin</t>
  </si>
  <si>
    <t>Brandon Montour</t>
  </si>
  <si>
    <t>42.53</t>
  </si>
  <si>
    <t>7.19</t>
  </si>
  <si>
    <t>Jamie Drysdale</t>
  </si>
  <si>
    <t>2.92</t>
  </si>
  <si>
    <t>Damon Severson</t>
  </si>
  <si>
    <t>51.11</t>
  </si>
  <si>
    <t>Seth Jones</t>
  </si>
  <si>
    <t>2.58</t>
  </si>
  <si>
    <t>Esa Lindell</t>
  </si>
  <si>
    <t>38.46</t>
  </si>
  <si>
    <t>2.94</t>
  </si>
  <si>
    <t>Denton Mateychuk</t>
  </si>
  <si>
    <t>Sean Walker</t>
  </si>
  <si>
    <t>Ivan Provorov</t>
  </si>
  <si>
    <t>39.24</t>
  </si>
  <si>
    <t>5.29</t>
  </si>
  <si>
    <t>Jordan Spence</t>
  </si>
  <si>
    <t>40.00</t>
  </si>
  <si>
    <t>4.88</t>
  </si>
  <si>
    <t>80.53</t>
  </si>
  <si>
    <t>18.18</t>
  </si>
  <si>
    <t>76.87</t>
  </si>
  <si>
    <t>11.07</t>
  </si>
  <si>
    <t>76.03</t>
  </si>
  <si>
    <t>11.48</t>
  </si>
  <si>
    <t>62.96</t>
  </si>
  <si>
    <t>20.39</t>
  </si>
  <si>
    <t>64.08</t>
  </si>
  <si>
    <t>16.05</t>
  </si>
  <si>
    <t>65.14</t>
  </si>
  <si>
    <t>78.47</t>
  </si>
  <si>
    <t>14.99</t>
  </si>
  <si>
    <t>70.72</t>
  </si>
  <si>
    <t>21.05</t>
  </si>
  <si>
    <t>76.22</t>
  </si>
  <si>
    <t>14.70</t>
  </si>
  <si>
    <t>67.23</t>
  </si>
  <si>
    <t>11.36</t>
  </si>
  <si>
    <t>28.57</t>
  </si>
  <si>
    <t>71.74</t>
  </si>
  <si>
    <t>12.11</t>
  </si>
  <si>
    <t>76.53</t>
  </si>
  <si>
    <t>15.33</t>
  </si>
  <si>
    <t>64.29</t>
  </si>
  <si>
    <t>16.46</t>
  </si>
  <si>
    <t>60.83</t>
  </si>
  <si>
    <t>14.75</t>
  </si>
  <si>
    <t>78.18</t>
  </si>
  <si>
    <t>16.52</t>
  </si>
  <si>
    <t>60.29</t>
  </si>
  <si>
    <t>15.00</t>
  </si>
  <si>
    <t>12.16</t>
  </si>
  <si>
    <t>10.27</t>
  </si>
  <si>
    <t>52.63</t>
  </si>
  <si>
    <t>74.80</t>
  </si>
  <si>
    <t>14.22</t>
  </si>
  <si>
    <t>31.58</t>
  </si>
  <si>
    <t>73.17</t>
  </si>
  <si>
    <t>17.11</t>
  </si>
  <si>
    <t>41.56</t>
  </si>
  <si>
    <t>74.02</t>
  </si>
  <si>
    <t>15.93</t>
  </si>
  <si>
    <t>64.42</t>
  </si>
  <si>
    <t>16.51</t>
  </si>
  <si>
    <t>51.35</t>
  </si>
  <si>
    <t>13.65</t>
  </si>
  <si>
    <t>15.54</t>
  </si>
  <si>
    <t>79.84</t>
  </si>
  <si>
    <t>69.08</t>
  </si>
  <si>
    <t>17.92</t>
  </si>
  <si>
    <t>12.69</t>
  </si>
  <si>
    <t>29.41</t>
  </si>
  <si>
    <t>67.74</t>
  </si>
  <si>
    <t>12.10</t>
  </si>
  <si>
    <t>64.00</t>
  </si>
  <si>
    <t>16.85</t>
  </si>
  <si>
    <t>71.60</t>
  </si>
  <si>
    <t>16.54</t>
  </si>
  <si>
    <t>70.99</t>
  </si>
  <si>
    <t>12.94</t>
  </si>
  <si>
    <t>STL, TOR</t>
  </si>
  <si>
    <t>57.69</t>
  </si>
  <si>
    <t>15.69</t>
  </si>
  <si>
    <t>88.24</t>
  </si>
  <si>
    <t>11.32</t>
  </si>
  <si>
    <t>16.40</t>
  </si>
  <si>
    <t>9.52</t>
  </si>
  <si>
    <t>61.29</t>
  </si>
  <si>
    <t>15.04</t>
  </si>
  <si>
    <t>76.12</t>
  </si>
  <si>
    <t>10.07</t>
  </si>
  <si>
    <t>62.63</t>
  </si>
  <si>
    <t>8.84</t>
  </si>
  <si>
    <t>70.18</t>
  </si>
  <si>
    <t>13.00</t>
  </si>
  <si>
    <t>82.61</t>
  </si>
  <si>
    <t>9.09</t>
  </si>
  <si>
    <t>66.97</t>
  </si>
  <si>
    <t>65.48</t>
  </si>
  <si>
    <t>11.22</t>
  </si>
  <si>
    <t>44.44</t>
  </si>
  <si>
    <t>62.22</t>
  </si>
  <si>
    <t>65.08</t>
  </si>
  <si>
    <t>18.85</t>
  </si>
  <si>
    <t>82.43</t>
  </si>
  <si>
    <t>16.23</t>
  </si>
  <si>
    <t>46.67</t>
  </si>
  <si>
    <t>68.70</t>
  </si>
  <si>
    <t>13.11</t>
  </si>
  <si>
    <t>52.08</t>
  </si>
  <si>
    <t>56.25</t>
  </si>
  <si>
    <t>69.89</t>
  </si>
  <si>
    <t>61.31</t>
  </si>
  <si>
    <t>63.20</t>
  </si>
  <si>
    <t>54.17</t>
  </si>
  <si>
    <t>7.49</t>
  </si>
  <si>
    <t>62.99</t>
  </si>
  <si>
    <t>12.06</t>
  </si>
  <si>
    <t>69.44</t>
  </si>
  <si>
    <t>16.22</t>
  </si>
  <si>
    <t>64.77</t>
  </si>
  <si>
    <t>58.97</t>
  </si>
  <si>
    <t>9.48</t>
  </si>
  <si>
    <t>17.50</t>
  </si>
  <si>
    <t>9.24</t>
  </si>
  <si>
    <t>52.94</t>
  </si>
  <si>
    <t>68.18</t>
  </si>
  <si>
    <t>61.32</t>
  </si>
  <si>
    <t>16.98</t>
  </si>
  <si>
    <t>15.85</t>
  </si>
  <si>
    <t>59.82</t>
  </si>
  <si>
    <t>13.66</t>
  </si>
  <si>
    <t>STL, VGK</t>
  </si>
  <si>
    <t>56.96</t>
  </si>
  <si>
    <t>12.70</t>
  </si>
  <si>
    <t>75.45</t>
  </si>
  <si>
    <t>11.25</t>
  </si>
  <si>
    <t>68.00</t>
  </si>
  <si>
    <t>14.69</t>
  </si>
  <si>
    <t>64.84</t>
  </si>
  <si>
    <t>10.09</t>
  </si>
  <si>
    <t>BOS, DET</t>
  </si>
  <si>
    <t>7.48</t>
  </si>
  <si>
    <t>61.54</t>
  </si>
  <si>
    <t>8.29</t>
  </si>
  <si>
    <t>63.00</t>
  </si>
  <si>
    <t>12.02</t>
  </si>
  <si>
    <t>63.73</t>
  </si>
  <si>
    <t>14.94</t>
  </si>
  <si>
    <t>NYI, VAN</t>
  </si>
  <si>
    <t>62.50</t>
  </si>
  <si>
    <t>16.59</t>
  </si>
  <si>
    <t>57.35</t>
  </si>
  <si>
    <t>11.85</t>
  </si>
  <si>
    <t>70.93</t>
  </si>
  <si>
    <t>CHI, NYR</t>
  </si>
  <si>
    <t>64.04</t>
  </si>
  <si>
    <t>9.25</t>
  </si>
  <si>
    <t>62.65</t>
  </si>
  <si>
    <t>18.41</t>
  </si>
  <si>
    <t>12.96</t>
  </si>
  <si>
    <t>64.95</t>
  </si>
  <si>
    <t>11.30</t>
  </si>
  <si>
    <t>73.00</t>
  </si>
  <si>
    <t>15.27</t>
  </si>
  <si>
    <t>67.05</t>
  </si>
  <si>
    <t>11.40</t>
  </si>
  <si>
    <t>74.19</t>
  </si>
  <si>
    <t>14.10</t>
  </si>
  <si>
    <t>62.04</t>
  </si>
  <si>
    <t>70.69</t>
  </si>
  <si>
    <t>14.35</t>
  </si>
  <si>
    <t>63.37</t>
  </si>
  <si>
    <t>9.78</t>
  </si>
  <si>
    <t>50.30</t>
  </si>
  <si>
    <t>65.22</t>
  </si>
  <si>
    <t>4.82</t>
  </si>
  <si>
    <t>54.72</t>
  </si>
  <si>
    <t>9.91</t>
  </si>
  <si>
    <t>61.25</t>
  </si>
  <si>
    <t>11.69</t>
  </si>
  <si>
    <t>63.33</t>
  </si>
  <si>
    <t>6.82</t>
  </si>
  <si>
    <t>61.67</t>
  </si>
  <si>
    <t>65.55</t>
  </si>
  <si>
    <t>11.06</t>
  </si>
  <si>
    <t>36.04</t>
  </si>
  <si>
    <t>5.13</t>
  </si>
  <si>
    <t>47.06</t>
  </si>
  <si>
    <t>7.32</t>
  </si>
  <si>
    <t>57.89</t>
  </si>
  <si>
    <t>9.66</t>
  </si>
  <si>
    <t>53.52</t>
  </si>
  <si>
    <t>4.55</t>
  </si>
  <si>
    <t>47.40</t>
  </si>
  <si>
    <t>7.35</t>
  </si>
  <si>
    <t>23.08</t>
  </si>
  <si>
    <t>4.00</t>
  </si>
  <si>
    <t>67.33</t>
  </si>
  <si>
    <t>11.96</t>
  </si>
  <si>
    <t>52.52</t>
  </si>
  <si>
    <t>5.34</t>
  </si>
  <si>
    <t>6.67</t>
  </si>
  <si>
    <t>ARI, OTT</t>
  </si>
  <si>
    <t>52.38</t>
  </si>
  <si>
    <t>6.25</t>
  </si>
  <si>
    <t>46.77</t>
  </si>
  <si>
    <t>7.26</t>
  </si>
  <si>
    <t>3.57</t>
  </si>
  <si>
    <t>53.33</t>
  </si>
  <si>
    <t>6.41</t>
  </si>
  <si>
    <t>58.02</t>
  </si>
  <si>
    <t>9.30</t>
  </si>
  <si>
    <t>57.84</t>
  </si>
  <si>
    <t>6.69</t>
  </si>
  <si>
    <t>38.10</t>
  </si>
  <si>
    <t>3.03</t>
  </si>
  <si>
    <t>52.55</t>
  </si>
  <si>
    <t>7.55</t>
  </si>
  <si>
    <t>ARI, CAR</t>
  </si>
  <si>
    <t>48.81</t>
  </si>
  <si>
    <t>8.39</t>
  </si>
  <si>
    <t>DET, VAN</t>
  </si>
  <si>
    <t>46.43</t>
  </si>
  <si>
    <t>42.24</t>
  </si>
  <si>
    <t>6.92</t>
  </si>
  <si>
    <t>6.31</t>
  </si>
  <si>
    <t>45.71</t>
  </si>
  <si>
    <t>9.33</t>
  </si>
  <si>
    <t>15.38</t>
  </si>
  <si>
    <t>EDM, NSH</t>
  </si>
  <si>
    <t>36.78</t>
  </si>
  <si>
    <t>44.25</t>
  </si>
  <si>
    <t>5.61</t>
  </si>
  <si>
    <t>56.94</t>
  </si>
  <si>
    <t>5.88</t>
  </si>
  <si>
    <t>2.22</t>
  </si>
  <si>
    <t>53.62</t>
  </si>
  <si>
    <t>8.00</t>
  </si>
  <si>
    <t>39.66</t>
  </si>
  <si>
    <t>7.96</t>
  </si>
  <si>
    <t>53.97</t>
  </si>
  <si>
    <t>6.35</t>
  </si>
  <si>
    <t>BOS, WSH</t>
  </si>
  <si>
    <t>51.43</t>
  </si>
  <si>
    <t>5.65</t>
  </si>
  <si>
    <t>43.16</t>
  </si>
  <si>
    <t>3.17</t>
  </si>
  <si>
    <t>29.51</t>
  </si>
  <si>
    <t>5.97</t>
  </si>
  <si>
    <t>CBJ, L.A</t>
  </si>
  <si>
    <t>30.65</t>
  </si>
  <si>
    <t>6.74</t>
  </si>
  <si>
    <t>53.51</t>
  </si>
  <si>
    <t>7.06</t>
  </si>
  <si>
    <t>34.09</t>
  </si>
  <si>
    <t>4.02</t>
  </si>
  <si>
    <t>50.60</t>
  </si>
  <si>
    <t>6.32</t>
  </si>
  <si>
    <t>24.24</t>
  </si>
  <si>
    <t>3.13</t>
  </si>
  <si>
    <t>42.27</t>
  </si>
  <si>
    <t>7.45</t>
  </si>
  <si>
    <t>47.71</t>
  </si>
  <si>
    <t>6.61</t>
  </si>
  <si>
    <t>41.57</t>
  </si>
  <si>
    <t>6.90</t>
  </si>
  <si>
    <t>27.66</t>
  </si>
  <si>
    <t>3.19</t>
  </si>
  <si>
    <t>35.53</t>
  </si>
  <si>
    <t>5.22</t>
  </si>
  <si>
    <t>79.04</t>
  </si>
  <si>
    <t>12.17</t>
  </si>
  <si>
    <t>82.76</t>
  </si>
  <si>
    <t>14.38</t>
  </si>
  <si>
    <t>74.87</t>
  </si>
  <si>
    <t>12.59</t>
  </si>
  <si>
    <t>69.37</t>
  </si>
  <si>
    <t>17.84</t>
  </si>
  <si>
    <t>67.95</t>
  </si>
  <si>
    <t>10.39</t>
  </si>
  <si>
    <t>80.88</t>
  </si>
  <si>
    <t>12.30</t>
  </si>
  <si>
    <t>69.28</t>
  </si>
  <si>
    <t>18.89</t>
  </si>
  <si>
    <t>68.38</t>
  </si>
  <si>
    <t>12.55</t>
  </si>
  <si>
    <t>73.49</t>
  </si>
  <si>
    <t>75.56</t>
  </si>
  <si>
    <t>11.15</t>
  </si>
  <si>
    <t>70.59</t>
  </si>
  <si>
    <t>16.61</t>
  </si>
  <si>
    <t>60.75</t>
  </si>
  <si>
    <t>8.92</t>
  </si>
  <si>
    <t>43.75</t>
  </si>
  <si>
    <t>CAR, PIT</t>
  </si>
  <si>
    <t>68.14</t>
  </si>
  <si>
    <t>12.61</t>
  </si>
  <si>
    <t>80.85</t>
  </si>
  <si>
    <t>14.47</t>
  </si>
  <si>
    <t>79.27</t>
  </si>
  <si>
    <t>14.81</t>
  </si>
  <si>
    <t>62.73</t>
  </si>
  <si>
    <t>12.78</t>
  </si>
  <si>
    <t>62.62</t>
  </si>
  <si>
    <t>16.17</t>
  </si>
  <si>
    <t>10.00</t>
  </si>
  <si>
    <t>70.71</t>
  </si>
  <si>
    <t>9.38</t>
  </si>
  <si>
    <t>67.47</t>
  </si>
  <si>
    <t>11.79</t>
  </si>
  <si>
    <t>70.63</t>
  </si>
  <si>
    <t>70.83</t>
  </si>
  <si>
    <t>25.00</t>
  </si>
  <si>
    <t>74.81</t>
  </si>
  <si>
    <t>12.66</t>
  </si>
  <si>
    <t>11.76</t>
  </si>
  <si>
    <t>75.51</t>
  </si>
  <si>
    <t>9.85</t>
  </si>
  <si>
    <t>61.90</t>
  </si>
  <si>
    <t>72.00</t>
  </si>
  <si>
    <t>19.02</t>
  </si>
  <si>
    <t>72.31</t>
  </si>
  <si>
    <t>13.83</t>
  </si>
  <si>
    <t>78.21</t>
  </si>
  <si>
    <t>10.68</t>
  </si>
  <si>
    <t>70.75</t>
  </si>
  <si>
    <t>14.13</t>
  </si>
  <si>
    <t>63.54</t>
  </si>
  <si>
    <t>13.92</t>
  </si>
  <si>
    <t>70.15</t>
  </si>
  <si>
    <t>15.11</t>
  </si>
  <si>
    <t>58.23</t>
  </si>
  <si>
    <t>59.48</t>
  </si>
  <si>
    <t>14.44</t>
  </si>
  <si>
    <t>67.31</t>
  </si>
  <si>
    <t>14.88</t>
  </si>
  <si>
    <t>74.26</t>
  </si>
  <si>
    <t>11.38</t>
  </si>
  <si>
    <t>56.18</t>
  </si>
  <si>
    <t>13.16</t>
  </si>
  <si>
    <t>73.61</t>
  </si>
  <si>
    <t>13.68</t>
  </si>
  <si>
    <t>72.53</t>
  </si>
  <si>
    <t>63.11</t>
  </si>
  <si>
    <t>59.32</t>
  </si>
  <si>
    <t>77.22</t>
  </si>
  <si>
    <t>10.73</t>
  </si>
  <si>
    <t>26.67</t>
  </si>
  <si>
    <t>62.88</t>
  </si>
  <si>
    <t>10.89</t>
  </si>
  <si>
    <t>68.42</t>
  </si>
  <si>
    <t>13.19</t>
  </si>
  <si>
    <t>56.52</t>
  </si>
  <si>
    <t>13.08</t>
  </si>
  <si>
    <t>18.80</t>
  </si>
  <si>
    <t>72.34</t>
  </si>
  <si>
    <t>13.52</t>
  </si>
  <si>
    <t>40.21</t>
  </si>
  <si>
    <t>65.09</t>
  </si>
  <si>
    <t>14.93</t>
  </si>
  <si>
    <t>11.01</t>
  </si>
  <si>
    <t>52.50</t>
  </si>
  <si>
    <t>11.92</t>
  </si>
  <si>
    <t>8.22</t>
  </si>
  <si>
    <t>63.44</t>
  </si>
  <si>
    <t>11.46</t>
  </si>
  <si>
    <t>56.30</t>
  </si>
  <si>
    <t>18.54</t>
  </si>
  <si>
    <t>14.84</t>
  </si>
  <si>
    <t>13.04</t>
  </si>
  <si>
    <t>65.71</t>
  </si>
  <si>
    <t>13.60</t>
  </si>
  <si>
    <t>59.00</t>
  </si>
  <si>
    <t>14.19</t>
  </si>
  <si>
    <t>59.57</t>
  </si>
  <si>
    <t>72.73</t>
  </si>
  <si>
    <t>13.40</t>
  </si>
  <si>
    <t>VGK, WSH</t>
  </si>
  <si>
    <t>65.67</t>
  </si>
  <si>
    <t>20.35</t>
  </si>
  <si>
    <t>74.14</t>
  </si>
  <si>
    <t>15.29</t>
  </si>
  <si>
    <t>60.34</t>
  </si>
  <si>
    <t>10.65</t>
  </si>
  <si>
    <t>71.76</t>
  </si>
  <si>
    <t>24.46</t>
  </si>
  <si>
    <t>15.57</t>
  </si>
  <si>
    <t>69.07</t>
  </si>
  <si>
    <t>13.57</t>
  </si>
  <si>
    <t>65.28</t>
  </si>
  <si>
    <t>9.00</t>
  </si>
  <si>
    <t>10.43</t>
  </si>
  <si>
    <t>70.48</t>
  </si>
  <si>
    <t>10.36</t>
  </si>
  <si>
    <t>53.09</t>
  </si>
  <si>
    <t>13.13</t>
  </si>
  <si>
    <t>53.25</t>
  </si>
  <si>
    <t>11.70</t>
  </si>
  <si>
    <t>45.45</t>
  </si>
  <si>
    <t>S.J, VGK</t>
  </si>
  <si>
    <t>73.08</t>
  </si>
  <si>
    <t>13.71</t>
  </si>
  <si>
    <t>17.12</t>
  </si>
  <si>
    <t>74.44</t>
  </si>
  <si>
    <t>15.98</t>
  </si>
  <si>
    <t>59.65</t>
  </si>
  <si>
    <t>13.31</t>
  </si>
  <si>
    <t>12.90</t>
  </si>
  <si>
    <t>11.63</t>
  </si>
  <si>
    <t>74.60</t>
  </si>
  <si>
    <t>13.61</t>
  </si>
  <si>
    <t>52.34</t>
  </si>
  <si>
    <t>9.84</t>
  </si>
  <si>
    <t>59.09</t>
  </si>
  <si>
    <t>55.70</t>
  </si>
  <si>
    <t>10.12</t>
  </si>
  <si>
    <t>63.72</t>
  </si>
  <si>
    <t>13.82</t>
  </si>
  <si>
    <t>14.01</t>
  </si>
  <si>
    <t>10.17</t>
  </si>
  <si>
    <t>69.48</t>
  </si>
  <si>
    <t>75.18</t>
  </si>
  <si>
    <t>19.07</t>
  </si>
  <si>
    <t>52.74</t>
  </si>
  <si>
    <t>61.64</t>
  </si>
  <si>
    <t>49.04</t>
  </si>
  <si>
    <t>18.62</t>
  </si>
  <si>
    <t>81.82</t>
  </si>
  <si>
    <t>21.74</t>
  </si>
  <si>
    <t>60.42</t>
  </si>
  <si>
    <t>5.31</t>
  </si>
  <si>
    <t>51.72</t>
  </si>
  <si>
    <t>9.69</t>
  </si>
  <si>
    <t>10.71</t>
  </si>
  <si>
    <t>86.36</t>
  </si>
  <si>
    <t>16.07</t>
  </si>
  <si>
    <t>69.57</t>
  </si>
  <si>
    <t>11.86</t>
  </si>
  <si>
    <t>48.52</t>
  </si>
  <si>
    <t>8.18</t>
  </si>
  <si>
    <t>50.89</t>
  </si>
  <si>
    <t>5.45</t>
  </si>
  <si>
    <t>59.60</t>
  </si>
  <si>
    <t>56.79</t>
  </si>
  <si>
    <t>8.54</t>
  </si>
  <si>
    <t>53.15</t>
  </si>
  <si>
    <t>8.51</t>
  </si>
  <si>
    <t>39.76</t>
  </si>
  <si>
    <t>5.94</t>
  </si>
  <si>
    <t>5.16</t>
  </si>
  <si>
    <t>5.56</t>
  </si>
  <si>
    <t>43.93</t>
  </si>
  <si>
    <t>9.02</t>
  </si>
  <si>
    <t>41.41</t>
  </si>
  <si>
    <t>46.85</t>
  </si>
  <si>
    <t>5.68</t>
  </si>
  <si>
    <t>38.89</t>
  </si>
  <si>
    <t>52.78</t>
  </si>
  <si>
    <t>3.77</t>
  </si>
  <si>
    <t>42.50</t>
  </si>
  <si>
    <t>3.64</t>
  </si>
  <si>
    <t>52.27</t>
  </si>
  <si>
    <t>5.10</t>
  </si>
  <si>
    <t>57.43</t>
  </si>
  <si>
    <t>8.58</t>
  </si>
  <si>
    <t>38.00</t>
  </si>
  <si>
    <t>6.33</t>
  </si>
  <si>
    <t>59.84</t>
  </si>
  <si>
    <t>12.41</t>
  </si>
  <si>
    <t>42.34</t>
  </si>
  <si>
    <t>60.87</t>
  </si>
  <si>
    <t>41.38</t>
  </si>
  <si>
    <t>3.38</t>
  </si>
  <si>
    <t>5.66</t>
  </si>
  <si>
    <t>56.00</t>
  </si>
  <si>
    <t>5.75</t>
  </si>
  <si>
    <t>9.17</t>
  </si>
  <si>
    <t>BUF, COL</t>
  </si>
  <si>
    <t>41.43</t>
  </si>
  <si>
    <t>13.10</t>
  </si>
  <si>
    <t>20.59</t>
  </si>
  <si>
    <t>2.27</t>
  </si>
  <si>
    <t>40.91</t>
  </si>
  <si>
    <t>6.21</t>
  </si>
  <si>
    <t>46.88</t>
  </si>
  <si>
    <t>1.52</t>
  </si>
  <si>
    <t>9.68</t>
  </si>
  <si>
    <t>6.45</t>
  </si>
  <si>
    <t>63.64</t>
  </si>
  <si>
    <t>4.76</t>
  </si>
  <si>
    <t>39.02</t>
  </si>
  <si>
    <t>59.26</t>
  </si>
  <si>
    <t>8.20</t>
  </si>
  <si>
    <t>6.85</t>
  </si>
  <si>
    <t>36.59</t>
  </si>
  <si>
    <t>8.33</t>
  </si>
  <si>
    <t>57.94</t>
  </si>
  <si>
    <t>4.65</t>
  </si>
  <si>
    <t>46.03</t>
  </si>
  <si>
    <t>4.05</t>
  </si>
  <si>
    <t>46.53</t>
  </si>
  <si>
    <t>35.21</t>
  </si>
  <si>
    <t>7.02</t>
  </si>
  <si>
    <t>31.94</t>
  </si>
  <si>
    <t>5.26</t>
  </si>
  <si>
    <t>35.83</t>
  </si>
  <si>
    <t>5.41</t>
  </si>
  <si>
    <t>39.29</t>
  </si>
  <si>
    <t>2.33</t>
  </si>
  <si>
    <t>46.79</t>
  </si>
  <si>
    <t>6.10</t>
  </si>
  <si>
    <t>34.74</t>
  </si>
  <si>
    <t>ANA, PHI</t>
  </si>
  <si>
    <t>39.44</t>
  </si>
  <si>
    <t>10.23</t>
  </si>
  <si>
    <t>4.39</t>
  </si>
  <si>
    <t>COL, PHI</t>
  </si>
  <si>
    <t>37.66</t>
  </si>
  <si>
    <t>2.50</t>
  </si>
  <si>
    <t>79.37</t>
  </si>
  <si>
    <t>79.08</t>
  </si>
  <si>
    <t>13.96</t>
  </si>
  <si>
    <t>76.82</t>
  </si>
  <si>
    <t>78.75</t>
  </si>
  <si>
    <t>10.59</t>
  </si>
  <si>
    <t>66.41</t>
  </si>
  <si>
    <t>21.55</t>
  </si>
  <si>
    <t>70.08</t>
  </si>
  <si>
    <t>17.44</t>
  </si>
  <si>
    <t>CAR, COL</t>
  </si>
  <si>
    <t>68.60</t>
  </si>
  <si>
    <t>37.78</t>
  </si>
  <si>
    <t>88.33</t>
  </si>
  <si>
    <t>13.48</t>
  </si>
  <si>
    <t>81.54</t>
  </si>
  <si>
    <t>21.58</t>
  </si>
  <si>
    <t>75.47</t>
  </si>
  <si>
    <t>73.48</t>
  </si>
  <si>
    <t>15.36</t>
  </si>
  <si>
    <t>69.63</t>
  </si>
  <si>
    <t>78.87</t>
  </si>
  <si>
    <t>64.22</t>
  </si>
  <si>
    <t>15.42</t>
  </si>
  <si>
    <t>59.70</t>
  </si>
  <si>
    <t>UTA</t>
  </si>
  <si>
    <t>80.36</t>
  </si>
  <si>
    <t>13.76</t>
  </si>
  <si>
    <t>68.27</t>
  </si>
  <si>
    <t>16.34</t>
  </si>
  <si>
    <t>71.57</t>
  </si>
  <si>
    <t>9.93</t>
  </si>
  <si>
    <t>83.96</t>
  </si>
  <si>
    <t>15.61</t>
  </si>
  <si>
    <t>67.52</t>
  </si>
  <si>
    <t>47.79</t>
  </si>
  <si>
    <t>67.92</t>
  </si>
  <si>
    <t>68.85</t>
  </si>
  <si>
    <t>17.79</t>
  </si>
  <si>
    <t>70.45</t>
  </si>
  <si>
    <t>10.93</t>
  </si>
  <si>
    <t>CAR, COL, DAL</t>
  </si>
  <si>
    <t>67.69</t>
  </si>
  <si>
    <t>72.07</t>
  </si>
  <si>
    <t>14.06</t>
  </si>
  <si>
    <t>71.03</t>
  </si>
  <si>
    <t>11.03</t>
  </si>
  <si>
    <t>66.34</t>
  </si>
  <si>
    <t>15.35</t>
  </si>
  <si>
    <t>58.88</t>
  </si>
  <si>
    <t>10.75</t>
  </si>
  <si>
    <t>72.80</t>
  </si>
  <si>
    <t>14.54</t>
  </si>
  <si>
    <t>55.79</t>
  </si>
  <si>
    <t>13.91</t>
  </si>
  <si>
    <t>67.42</t>
  </si>
  <si>
    <t>68.22</t>
  </si>
  <si>
    <t>14.77</t>
  </si>
  <si>
    <t>52.58</t>
  </si>
  <si>
    <t>13.53</t>
  </si>
  <si>
    <t>14.50</t>
  </si>
  <si>
    <t>54.05</t>
  </si>
  <si>
    <t>7.69</t>
  </si>
  <si>
    <t>69.39</t>
  </si>
  <si>
    <t>13.54</t>
  </si>
  <si>
    <t>63.79</t>
  </si>
  <si>
    <t>19.00</t>
  </si>
  <si>
    <t>13.79</t>
  </si>
  <si>
    <t>56.47</t>
  </si>
  <si>
    <t>67.06</t>
  </si>
  <si>
    <t>22.00</t>
  </si>
  <si>
    <t>58.10</t>
  </si>
  <si>
    <t>20.77</t>
  </si>
  <si>
    <t>12.77</t>
  </si>
  <si>
    <t>70.31</t>
  </si>
  <si>
    <t>17.54</t>
  </si>
  <si>
    <t>14.98</t>
  </si>
  <si>
    <t>12.24</t>
  </si>
  <si>
    <t>60.23</t>
  </si>
  <si>
    <t>15.52</t>
  </si>
  <si>
    <t>65.05</t>
  </si>
  <si>
    <t>18.27</t>
  </si>
  <si>
    <t>65.69</t>
  </si>
  <si>
    <t>18.72</t>
  </si>
  <si>
    <t>56.31</t>
  </si>
  <si>
    <t>19.08</t>
  </si>
  <si>
    <t>COL, NYI</t>
  </si>
  <si>
    <t>64.37</t>
  </si>
  <si>
    <t>13.47</t>
  </si>
  <si>
    <t>54.02</t>
  </si>
  <si>
    <t>10.61</t>
  </si>
  <si>
    <t>65.66</t>
  </si>
  <si>
    <t>16.32</t>
  </si>
  <si>
    <t>57.14</t>
  </si>
  <si>
    <t>13.78</t>
  </si>
  <si>
    <t>18.57</t>
  </si>
  <si>
    <t>79.41</t>
  </si>
  <si>
    <t>14.48</t>
  </si>
  <si>
    <t>55.08</t>
  </si>
  <si>
    <t>19.53</t>
  </si>
  <si>
    <t>69.23</t>
  </si>
  <si>
    <t>18.31</t>
  </si>
  <si>
    <t>68.92</t>
  </si>
  <si>
    <t>20.72</t>
  </si>
  <si>
    <t>68.49</t>
  </si>
  <si>
    <t>BUF, OTT</t>
  </si>
  <si>
    <t>55.95</t>
  </si>
  <si>
    <t>61.11</t>
  </si>
  <si>
    <t>9.80</t>
  </si>
  <si>
    <t>57.50</t>
  </si>
  <si>
    <t>17.56</t>
  </si>
  <si>
    <t>60.71</t>
  </si>
  <si>
    <t>10.37</t>
  </si>
  <si>
    <t>62.24</t>
  </si>
  <si>
    <t>18.08</t>
  </si>
  <si>
    <t>BOS, COL</t>
  </si>
  <si>
    <t>53.03</t>
  </si>
  <si>
    <t>14.78</t>
  </si>
  <si>
    <t>75.93</t>
  </si>
  <si>
    <t>19.33</t>
  </si>
  <si>
    <t>11.52</t>
  </si>
  <si>
    <t>58.44</t>
  </si>
  <si>
    <t>74.32</t>
  </si>
  <si>
    <t>11.17</t>
  </si>
  <si>
    <t>70.24</t>
  </si>
  <si>
    <t>12.00</t>
  </si>
  <si>
    <t>76.19</t>
  </si>
  <si>
    <t>7.46</t>
  </si>
  <si>
    <t>13.64</t>
  </si>
  <si>
    <t>57.61</t>
  </si>
  <si>
    <t>8.26</t>
  </si>
  <si>
    <t>BOS, FLA</t>
  </si>
  <si>
    <t>72.86</t>
  </si>
  <si>
    <t>61.36</t>
  </si>
  <si>
    <t>9.49</t>
  </si>
  <si>
    <t>12.58</t>
  </si>
  <si>
    <t>68.83</t>
  </si>
  <si>
    <t>20.41</t>
  </si>
  <si>
    <t>74.29</t>
  </si>
  <si>
    <t>12.64</t>
  </si>
  <si>
    <t>56.67</t>
  </si>
  <si>
    <t>11.89</t>
  </si>
  <si>
    <t>NYR, VAN</t>
  </si>
  <si>
    <t>75.27</t>
  </si>
  <si>
    <t>16.06</t>
  </si>
  <si>
    <t>55.66</t>
  </si>
  <si>
    <t>12.87</t>
  </si>
  <si>
    <t>61.70</t>
  </si>
  <si>
    <t>11.26</t>
  </si>
  <si>
    <t>41.12</t>
  </si>
  <si>
    <t>12.86</t>
  </si>
  <si>
    <t>54.29</t>
  </si>
  <si>
    <t>7.95</t>
  </si>
  <si>
    <t>20.98</t>
  </si>
  <si>
    <t>56.73</t>
  </si>
  <si>
    <t>16.77</t>
  </si>
  <si>
    <t>10.64</t>
  </si>
  <si>
    <t>14.61</t>
  </si>
  <si>
    <t>62.90</t>
  </si>
  <si>
    <t>13.07</t>
  </si>
  <si>
    <t>76.34</t>
  </si>
  <si>
    <t>13.42</t>
  </si>
  <si>
    <t>49.63</t>
  </si>
  <si>
    <t>5.96</t>
  </si>
  <si>
    <t>61.19</t>
  </si>
  <si>
    <t>7.72</t>
  </si>
  <si>
    <t>61.33</t>
  </si>
  <si>
    <t>56.90</t>
  </si>
  <si>
    <t>6.59</t>
  </si>
  <si>
    <t>62.30</t>
  </si>
  <si>
    <t>58.62</t>
  </si>
  <si>
    <t>8.50</t>
  </si>
  <si>
    <t>48.05</t>
  </si>
  <si>
    <t>45.30</t>
  </si>
  <si>
    <t>5.76</t>
  </si>
  <si>
    <t>35.71</t>
  </si>
  <si>
    <t>40.35</t>
  </si>
  <si>
    <t>45.19</t>
  </si>
  <si>
    <t>41.13</t>
  </si>
  <si>
    <t>2.99</t>
  </si>
  <si>
    <t>38.66</t>
  </si>
  <si>
    <t>4.94</t>
  </si>
  <si>
    <t>43.44</t>
  </si>
  <si>
    <t>57.33</t>
  </si>
  <si>
    <t>10.45</t>
  </si>
  <si>
    <t>49.60</t>
  </si>
  <si>
    <t>8.14</t>
  </si>
  <si>
    <t>6.00</t>
  </si>
  <si>
    <t>5.64</t>
  </si>
  <si>
    <t>54.46</t>
  </si>
  <si>
    <t>7.41</t>
  </si>
  <si>
    <t>8.06</t>
  </si>
  <si>
    <t>5.74</t>
  </si>
  <si>
    <t>43.06</t>
  </si>
  <si>
    <t>6.75</t>
  </si>
  <si>
    <t>48.75</t>
  </si>
  <si>
    <t>42.39</t>
  </si>
  <si>
    <t>8.03</t>
  </si>
  <si>
    <t>25.45</t>
  </si>
  <si>
    <t>6.29</t>
  </si>
  <si>
    <t>3.23</t>
  </si>
  <si>
    <t>4.35</t>
  </si>
  <si>
    <t>43.42</t>
  </si>
  <si>
    <t>3.82</t>
  </si>
  <si>
    <t>57.00</t>
  </si>
  <si>
    <t>5.47</t>
  </si>
  <si>
    <t>33.72</t>
  </si>
  <si>
    <t>3.39</t>
  </si>
  <si>
    <t>40.82</t>
  </si>
  <si>
    <t>4.84</t>
  </si>
  <si>
    <t>31.25</t>
  </si>
  <si>
    <t>32.53</t>
  </si>
  <si>
    <t>6.36</t>
  </si>
  <si>
    <t>31.63</t>
  </si>
  <si>
    <t>4.03</t>
  </si>
  <si>
    <t>38.36</t>
  </si>
  <si>
    <t>40.59</t>
  </si>
  <si>
    <t>9.36</t>
  </si>
  <si>
    <t>3.33</t>
  </si>
  <si>
    <t>4.46</t>
  </si>
  <si>
    <t>32.95</t>
  </si>
  <si>
    <t>ANA, NYR</t>
  </si>
  <si>
    <t>20.29</t>
  </si>
  <si>
    <t>0.90</t>
  </si>
  <si>
    <t>48.72</t>
  </si>
  <si>
    <t>47.54</t>
  </si>
  <si>
    <t>8.25</t>
  </si>
  <si>
    <t>5.49</t>
  </si>
  <si>
    <t>46.07</t>
  </si>
  <si>
    <t>7.79</t>
  </si>
  <si>
    <t>37.88</t>
  </si>
  <si>
    <t>CHI, FLA</t>
  </si>
  <si>
    <t>43.37</t>
  </si>
  <si>
    <t>6.98</t>
  </si>
  <si>
    <t>30.23</t>
  </si>
  <si>
    <t>5.05</t>
  </si>
  <si>
    <t>3.47</t>
  </si>
  <si>
    <t>34.38</t>
  </si>
  <si>
    <t>7.00</t>
  </si>
  <si>
    <t>80.70</t>
  </si>
  <si>
    <t>15.64</t>
  </si>
  <si>
    <t>80.75</t>
  </si>
  <si>
    <t>19.05</t>
  </si>
  <si>
    <t>75.15</t>
  </si>
  <si>
    <t>15.06</t>
  </si>
  <si>
    <t>84.56</t>
  </si>
  <si>
    <t>15.68</t>
  </si>
  <si>
    <t>77.44</t>
  </si>
  <si>
    <t>20.57</t>
  </si>
  <si>
    <t>69.18</t>
  </si>
  <si>
    <t>67.11</t>
  </si>
  <si>
    <t>18.45</t>
  </si>
  <si>
    <t>42.86</t>
  </si>
  <si>
    <t>71.85</t>
  </si>
  <si>
    <t>66.21</t>
  </si>
  <si>
    <t>15.25</t>
  </si>
  <si>
    <t>71.88</t>
  </si>
  <si>
    <t>14.23</t>
  </si>
  <si>
    <t>67.16</t>
  </si>
  <si>
    <t>10.38</t>
  </si>
  <si>
    <t>19.77</t>
  </si>
  <si>
    <t>17.35</t>
  </si>
  <si>
    <t>70.40</t>
  </si>
  <si>
    <t>11.56</t>
  </si>
  <si>
    <t>67.72</t>
  </si>
  <si>
    <t>21.84</t>
  </si>
  <si>
    <t>16.60</t>
  </si>
  <si>
    <t>44.35</t>
  </si>
  <si>
    <t>69.11</t>
  </si>
  <si>
    <t>L.A, NYR</t>
  </si>
  <si>
    <t>73.04</t>
  </si>
  <si>
    <t>68.03</t>
  </si>
  <si>
    <t>17.53</t>
  </si>
  <si>
    <t>71.05</t>
  </si>
  <si>
    <t>13.85</t>
  </si>
  <si>
    <t>65.57</t>
  </si>
  <si>
    <t>14.55</t>
  </si>
  <si>
    <t>78.22</t>
  </si>
  <si>
    <t>19.23</t>
  </si>
  <si>
    <t>71.56</t>
  </si>
  <si>
    <t>15.81</t>
  </si>
  <si>
    <t>81.05</t>
  </si>
  <si>
    <t>11.84</t>
  </si>
  <si>
    <t>74.76</t>
  </si>
  <si>
    <t>15.83</t>
  </si>
  <si>
    <t>69.09</t>
  </si>
  <si>
    <t>14.45</t>
  </si>
  <si>
    <t>73.53</t>
  </si>
  <si>
    <t>82.42</t>
  </si>
  <si>
    <t>69.16</t>
  </si>
  <si>
    <t>16.82</t>
  </si>
  <si>
    <t>62.71</t>
  </si>
  <si>
    <t>16.18</t>
  </si>
  <si>
    <t>71.15</t>
  </si>
  <si>
    <t>18.13</t>
  </si>
  <si>
    <t>55.17</t>
  </si>
  <si>
    <t>67.27</t>
  </si>
  <si>
    <t>70.19</t>
  </si>
  <si>
    <t>16.53</t>
  </si>
  <si>
    <t>73.74</t>
  </si>
  <si>
    <t>59.35</t>
  </si>
  <si>
    <t>16.57</t>
  </si>
  <si>
    <t>66.36</t>
  </si>
  <si>
    <t>21.71</t>
  </si>
  <si>
    <t>10.33</t>
  </si>
  <si>
    <t>73.20</t>
  </si>
  <si>
    <t>19.76</t>
  </si>
  <si>
    <t>72.45</t>
  </si>
  <si>
    <t>16.15</t>
  </si>
  <si>
    <t>70.30</t>
  </si>
  <si>
    <t>12.36</t>
  </si>
  <si>
    <t>15.20</t>
  </si>
  <si>
    <t>14.49</t>
  </si>
  <si>
    <t>64.15</t>
  </si>
  <si>
    <t>20.13</t>
  </si>
  <si>
    <t>73.91</t>
  </si>
  <si>
    <t>68.37</t>
  </si>
  <si>
    <t>15.03</t>
  </si>
  <si>
    <t>71.28</t>
  </si>
  <si>
    <t>12.39</t>
  </si>
  <si>
    <t>16.92</t>
  </si>
  <si>
    <t>67.35</t>
  </si>
  <si>
    <t>74.16</t>
  </si>
  <si>
    <t>16.43</t>
  </si>
  <si>
    <t>16.16</t>
  </si>
  <si>
    <t>13.17</t>
  </si>
  <si>
    <t>24.51</t>
  </si>
  <si>
    <t>19.61</t>
  </si>
  <si>
    <t>59.62</t>
  </si>
  <si>
    <t>14.96</t>
  </si>
  <si>
    <t>17.47</t>
  </si>
  <si>
    <t>17.29</t>
  </si>
  <si>
    <t>69.32</t>
  </si>
  <si>
    <t>12.93</t>
  </si>
  <si>
    <t>11.68</t>
  </si>
  <si>
    <t>62.77</t>
  </si>
  <si>
    <t>64.13</t>
  </si>
  <si>
    <t>11.21</t>
  </si>
  <si>
    <t>14.46</t>
  </si>
  <si>
    <t>72.84</t>
  </si>
  <si>
    <t>9.95</t>
  </si>
  <si>
    <t>19.51</t>
  </si>
  <si>
    <t>11.88</t>
  </si>
  <si>
    <t>69.05</t>
  </si>
  <si>
    <t>14.08</t>
  </si>
  <si>
    <t>53.21</t>
  </si>
  <si>
    <t>13.29</t>
  </si>
  <si>
    <t>13.72</t>
  </si>
  <si>
    <t>59.38</t>
  </si>
  <si>
    <t>11.80</t>
  </si>
  <si>
    <t>66.28</t>
  </si>
  <si>
    <t>9.47</t>
  </si>
  <si>
    <t>59.78</t>
  </si>
  <si>
    <t>15.48</t>
  </si>
  <si>
    <t>13.37</t>
  </si>
  <si>
    <t>60.44</t>
  </si>
  <si>
    <t>19.15</t>
  </si>
  <si>
    <t>19.57</t>
  </si>
  <si>
    <t>55.67</t>
  </si>
  <si>
    <t>15.56</t>
  </si>
  <si>
    <t>62.35</t>
  </si>
  <si>
    <t>66.25</t>
  </si>
  <si>
    <t>67.09</t>
  </si>
  <si>
    <t>11.81</t>
  </si>
  <si>
    <t>56.38</t>
  </si>
  <si>
    <t>14.04</t>
  </si>
  <si>
    <t>59.55</t>
  </si>
  <si>
    <t>8.47</t>
  </si>
  <si>
    <t>45.61</t>
  </si>
  <si>
    <t>19.50</t>
  </si>
  <si>
    <t>14.79</t>
  </si>
  <si>
    <t>58.43</t>
  </si>
  <si>
    <t>18.40</t>
  </si>
  <si>
    <t>12.67</t>
  </si>
  <si>
    <t>13.58</t>
  </si>
  <si>
    <t>66.23</t>
  </si>
  <si>
    <t>10.47</t>
  </si>
  <si>
    <t>71.83</t>
  </si>
  <si>
    <t>12.27</t>
  </si>
  <si>
    <t>9.50</t>
  </si>
  <si>
    <t>63.78</t>
  </si>
  <si>
    <t>8.46</t>
  </si>
  <si>
    <t>57.25</t>
  </si>
  <si>
    <t>51.32</t>
  </si>
  <si>
    <t>MIN, VAN</t>
  </si>
  <si>
    <t>55.64</t>
  </si>
  <si>
    <t>9.74</t>
  </si>
  <si>
    <t>51.97</t>
  </si>
  <si>
    <t>8.52</t>
  </si>
  <si>
    <t>47.73</t>
  </si>
  <si>
    <t>6.08</t>
  </si>
  <si>
    <t>49.19</t>
  </si>
  <si>
    <t>ANA, WSH</t>
  </si>
  <si>
    <t>5.35</t>
  </si>
  <si>
    <t>48.36</t>
  </si>
  <si>
    <t>46.61</t>
  </si>
  <si>
    <t>51.40</t>
  </si>
  <si>
    <t>7.18</t>
  </si>
  <si>
    <t>58.89</t>
  </si>
  <si>
    <t>9.89</t>
  </si>
  <si>
    <t>8.67</t>
  </si>
  <si>
    <t>60.98</t>
  </si>
  <si>
    <t>50.52</t>
  </si>
  <si>
    <t>5.84</t>
  </si>
  <si>
    <t>CGY, VGK</t>
  </si>
  <si>
    <t>46.08</t>
  </si>
  <si>
    <t>9.60</t>
  </si>
  <si>
    <t>49.47</t>
  </si>
  <si>
    <t>7.59</t>
  </si>
  <si>
    <t>48.35</t>
  </si>
  <si>
    <t>6.15</t>
  </si>
  <si>
    <t>39.05</t>
  </si>
  <si>
    <t>11.93</t>
  </si>
  <si>
    <t>37.61</t>
  </si>
  <si>
    <t>4.58</t>
  </si>
  <si>
    <t>DET, STL</t>
  </si>
  <si>
    <t>10.81</t>
  </si>
  <si>
    <t>5.03</t>
  </si>
  <si>
    <t>7.75</t>
  </si>
  <si>
    <t>38.61</t>
  </si>
  <si>
    <t>43.18</t>
  </si>
  <si>
    <t>5.91</t>
  </si>
  <si>
    <t>38.54</t>
  </si>
  <si>
    <t>11.58</t>
  </si>
  <si>
    <t>45.12</t>
  </si>
  <si>
    <t>6.50</t>
  </si>
  <si>
    <t>43.02</t>
  </si>
  <si>
    <t>6.14</t>
  </si>
  <si>
    <t>41.11</t>
  </si>
  <si>
    <t>3.30</t>
  </si>
  <si>
    <t>35.64</t>
  </si>
  <si>
    <t>7.80</t>
  </si>
  <si>
    <t>37.89</t>
  </si>
  <si>
    <t>40.70</t>
  </si>
  <si>
    <t>42.68</t>
  </si>
  <si>
    <t>47.30</t>
  </si>
  <si>
    <t>39.33</t>
  </si>
  <si>
    <t>52.24</t>
  </si>
  <si>
    <t>38.20</t>
  </si>
  <si>
    <t>6.12</t>
  </si>
  <si>
    <t>2.88</t>
  </si>
  <si>
    <t>36.26</t>
  </si>
  <si>
    <t>7.92</t>
  </si>
  <si>
    <t>8.60</t>
  </si>
  <si>
    <t>7.23</t>
  </si>
  <si>
    <t>46.27</t>
  </si>
  <si>
    <t>5.11</t>
  </si>
  <si>
    <t>31.96</t>
  </si>
  <si>
    <t>5.73</t>
  </si>
  <si>
    <t>6.48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</si>
</sst>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4"/>
      <name val="Arial"/>
      <family val="2"/>
    </font>
    <font>
      <sz val="10"/>
      <name val="Arial"/>
      <family val="2"/>
    </font>
    <font>
      <b/>
      <sz val="12"/>
      <name val="Arial"/>
      <family val="2"/>
    </font>
    <font>
      <b/>
      <sz val="11"/>
      <name val="Arial"/>
      <family val="2"/>
    </font>
    <font>
      <b/>
      <sz val="10"/>
      <color rgb="FFFFFFFF"/>
      <name val="Arial"/>
      <family val="2"/>
    </font>
  </fonts>
  <fills count="4">
    <fill>
      <patternFill patternType="none"/>
    </fill>
    <fill>
      <patternFill patternType="gray125"/>
    </fill>
    <fill>
      <patternFill patternType="solid">
        <fgColor rgb="FFD9E1F2"/>
        <bgColor rgb="FFCCFFFF"/>
      </patternFill>
    </fill>
    <fill>
      <patternFill patternType="solid">
        <fgColor rgb="FF1F4E78"/>
        <bgColor rgb="FF003366"/>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xf numFmtId="0" fontId="0" fillId="2" borderId="0" xfId="0" applyFill="1"/>
    <xf numFmtId="0" fontId="5" fillId="3" borderId="0" xfId="0" applyFont="1" applyFill="1" applyAlignment="1">
      <alignment horizontal="center"/>
    </xf>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1"/>
  <sheetViews>
    <sheetView zoomScaleNormal="100" workbookViewId="0"/>
  </sheetViews>
  <sheetFormatPr baseColWidth="10" defaultColWidth="8.6640625" defaultRowHeight="15" x14ac:dyDescent="0.2"/>
  <cols>
    <col min="1" max="1" width="105" customWidth="1"/>
  </cols>
  <sheetData>
    <row r="1" spans="1:1" ht="15.75" customHeight="1" x14ac:dyDescent="0.2">
      <c r="A1" s="1" t="s">
        <v>0</v>
      </c>
    </row>
    <row r="2" spans="1:1" ht="15.75" customHeight="1" x14ac:dyDescent="0.2">
      <c r="A2" s="2"/>
    </row>
    <row r="3" spans="1:1" ht="15.75" customHeight="1" x14ac:dyDescent="0.2">
      <c r="A3" s="3" t="s">
        <v>1</v>
      </c>
    </row>
    <row r="4" spans="1:1" ht="27.75" customHeight="1" x14ac:dyDescent="0.2">
      <c r="A4" s="2" t="s">
        <v>2</v>
      </c>
    </row>
    <row r="5" spans="1:1" ht="27.75" customHeight="1" x14ac:dyDescent="0.2">
      <c r="A5" s="2" t="s">
        <v>3</v>
      </c>
    </row>
    <row r="6" spans="1:1" ht="15.75" customHeight="1" x14ac:dyDescent="0.2">
      <c r="A6" s="2"/>
    </row>
    <row r="7" spans="1:1" ht="15.75" customHeight="1" x14ac:dyDescent="0.2">
      <c r="A7" s="3" t="s">
        <v>4</v>
      </c>
    </row>
    <row r="8" spans="1:1" ht="27.75" customHeight="1" x14ac:dyDescent="0.2">
      <c r="A8" s="2" t="s">
        <v>5</v>
      </c>
    </row>
    <row r="9" spans="1:1" ht="15.75" customHeight="1" x14ac:dyDescent="0.2">
      <c r="A9" s="2"/>
    </row>
    <row r="10" spans="1:1" ht="15.75" customHeight="1" x14ac:dyDescent="0.2">
      <c r="A10" s="3" t="s">
        <v>6</v>
      </c>
    </row>
    <row r="11" spans="1:1" ht="15.75" customHeight="1" x14ac:dyDescent="0.2">
      <c r="A11" s="2" t="s">
        <v>7</v>
      </c>
    </row>
    <row r="12" spans="1:1" ht="15.75" customHeight="1" x14ac:dyDescent="0.2">
      <c r="A12" s="2" t="s">
        <v>8</v>
      </c>
    </row>
    <row r="13" spans="1:1" ht="27.75" customHeight="1" x14ac:dyDescent="0.2">
      <c r="A13" s="2" t="s">
        <v>9</v>
      </c>
    </row>
    <row r="14" spans="1:1" ht="15.75" customHeight="1" x14ac:dyDescent="0.2">
      <c r="A14" s="2"/>
    </row>
    <row r="15" spans="1:1" ht="15.75" customHeight="1" x14ac:dyDescent="0.2">
      <c r="A15" s="3" t="s">
        <v>10</v>
      </c>
    </row>
    <row r="16" spans="1:1" ht="27.75" customHeight="1" x14ac:dyDescent="0.2">
      <c r="A16" s="2" t="s">
        <v>11</v>
      </c>
    </row>
    <row r="17" spans="1:1" ht="15.75" customHeight="1" x14ac:dyDescent="0.2">
      <c r="A17" s="2"/>
    </row>
    <row r="18" spans="1:1" ht="15.75" customHeight="1" x14ac:dyDescent="0.2">
      <c r="A18" s="3" t="s">
        <v>12</v>
      </c>
    </row>
    <row r="19" spans="1:1" ht="27.75" customHeight="1" x14ac:dyDescent="0.2">
      <c r="A19" s="2" t="s">
        <v>13</v>
      </c>
    </row>
    <row r="20" spans="1:1" ht="27.75" customHeight="1" x14ac:dyDescent="0.2">
      <c r="A20" s="2" t="s">
        <v>14</v>
      </c>
    </row>
    <row r="21" spans="1:1" ht="27.75" customHeight="1" x14ac:dyDescent="0.2">
      <c r="A21" s="2" t="s">
        <v>15</v>
      </c>
    </row>
    <row r="22" spans="1:1" ht="27.75" customHeight="1" x14ac:dyDescent="0.2">
      <c r="A22" s="2" t="s">
        <v>16</v>
      </c>
    </row>
    <row r="23" spans="1:1" ht="15.75" customHeight="1" x14ac:dyDescent="0.2">
      <c r="A23" s="2"/>
    </row>
    <row r="24" spans="1:1" ht="15.75" customHeight="1" x14ac:dyDescent="0.2">
      <c r="A24" s="3" t="s">
        <v>17</v>
      </c>
    </row>
    <row r="25" spans="1:1" ht="27.75" customHeight="1" x14ac:dyDescent="0.2">
      <c r="A25" s="2" t="s">
        <v>18</v>
      </c>
    </row>
    <row r="26" spans="1:1" ht="27.75" customHeight="1" x14ac:dyDescent="0.2">
      <c r="A26" s="2" t="s">
        <v>19</v>
      </c>
    </row>
    <row r="27" spans="1:1" ht="27.75" customHeight="1" x14ac:dyDescent="0.2">
      <c r="A27" s="2" t="s">
        <v>20</v>
      </c>
    </row>
    <row r="28" spans="1:1" ht="27.75" customHeight="1" x14ac:dyDescent="0.2">
      <c r="A28" s="2" t="s">
        <v>21</v>
      </c>
    </row>
    <row r="29" spans="1:1" ht="27.75" customHeight="1" x14ac:dyDescent="0.2">
      <c r="A29" s="2" t="s">
        <v>22</v>
      </c>
    </row>
    <row r="30" spans="1:1" ht="15.75" customHeight="1" x14ac:dyDescent="0.2">
      <c r="A30" s="2"/>
    </row>
    <row r="31" spans="1:1" ht="27.75" customHeight="1" x14ac:dyDescent="0.2">
      <c r="A31" s="2" t="s">
        <v>23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73"/>
  <sheetViews>
    <sheetView zoomScaleNormal="100" workbookViewId="0">
      <pane xSplit="4" ySplit="2" topLeftCell="P3" activePane="bottomRight" state="frozen"/>
      <selection pane="topRight" activeCell="E1" sqref="E1"/>
      <selection pane="bottomLeft" activeCell="A3" sqref="A3"/>
      <selection pane="bottomRight" activeCell="W1" sqref="W1:W1048576"/>
    </sheetView>
  </sheetViews>
  <sheetFormatPr baseColWidth="10" defaultColWidth="8.6640625" defaultRowHeight="15" x14ac:dyDescent="0.2"/>
  <cols>
    <col min="1" max="1" width="14" customWidth="1"/>
    <col min="2" max="2" width="10" customWidth="1"/>
    <col min="3" max="3" width="14" customWidth="1"/>
    <col min="4" max="29" width="10" customWidth="1"/>
  </cols>
  <sheetData>
    <row r="1" spans="1:29" ht="15" customHeight="1" x14ac:dyDescent="0.2">
      <c r="A1" s="4" t="s">
        <v>24</v>
      </c>
      <c r="B1" s="5"/>
      <c r="C1" s="5"/>
      <c r="D1" s="5"/>
      <c r="E1" s="5"/>
      <c r="F1" s="5"/>
      <c r="G1" s="5"/>
      <c r="H1" s="5"/>
      <c r="I1" s="5"/>
      <c r="J1" s="5"/>
      <c r="K1" s="5"/>
      <c r="L1" s="5"/>
      <c r="M1" s="5"/>
      <c r="N1" s="5"/>
      <c r="O1" s="5"/>
      <c r="P1" s="5"/>
      <c r="Q1" s="5"/>
      <c r="R1" s="5"/>
      <c r="S1" s="5"/>
      <c r="T1" s="5"/>
      <c r="U1" s="5"/>
      <c r="V1" s="5"/>
      <c r="W1" s="5"/>
      <c r="X1" s="5"/>
      <c r="Y1" s="5"/>
      <c r="Z1" s="5"/>
      <c r="AA1" s="5"/>
      <c r="AB1" s="5"/>
      <c r="AC1" s="5"/>
    </row>
    <row r="2" spans="1:29" ht="15" customHeight="1" x14ac:dyDescent="0.2">
      <c r="A2" s="6" t="s">
        <v>25</v>
      </c>
      <c r="B2" s="6" t="s">
        <v>26</v>
      </c>
      <c r="C2" s="6" t="s">
        <v>27</v>
      </c>
      <c r="D2" s="6" t="s">
        <v>28</v>
      </c>
      <c r="E2" s="6" t="s">
        <v>29</v>
      </c>
      <c r="F2" s="6" t="s">
        <v>30</v>
      </c>
      <c r="G2" s="6" t="s">
        <v>31</v>
      </c>
      <c r="H2" s="6" t="s">
        <v>32</v>
      </c>
      <c r="I2" s="6" t="s">
        <v>33</v>
      </c>
      <c r="J2" s="6" t="s">
        <v>34</v>
      </c>
      <c r="K2" s="6" t="s">
        <v>35</v>
      </c>
      <c r="L2" s="6" t="s">
        <v>36</v>
      </c>
      <c r="M2" s="6" t="s">
        <v>37</v>
      </c>
      <c r="N2" s="6" t="s">
        <v>38</v>
      </c>
      <c r="O2" s="6" t="s">
        <v>39</v>
      </c>
      <c r="P2" s="6" t="s">
        <v>40</v>
      </c>
      <c r="Q2" s="6" t="s">
        <v>41</v>
      </c>
      <c r="R2" s="6" t="s">
        <v>42</v>
      </c>
      <c r="S2" s="6" t="s">
        <v>43</v>
      </c>
      <c r="T2" s="6" t="s">
        <v>44</v>
      </c>
      <c r="U2" s="6" t="s">
        <v>45</v>
      </c>
      <c r="V2" s="6" t="s">
        <v>46</v>
      </c>
      <c r="W2" s="6" t="s">
        <v>47</v>
      </c>
      <c r="X2" s="6" t="s">
        <v>48</v>
      </c>
      <c r="Y2" s="6" t="s">
        <v>49</v>
      </c>
      <c r="Z2" s="6" t="s">
        <v>50</v>
      </c>
      <c r="AA2" s="6" t="s">
        <v>51</v>
      </c>
      <c r="AB2" s="6" t="s">
        <v>52</v>
      </c>
      <c r="AC2" s="6" t="s">
        <v>53</v>
      </c>
    </row>
    <row r="3" spans="1:29" ht="15" customHeight="1" x14ac:dyDescent="0.2">
      <c r="A3" s="7" t="s">
        <v>54</v>
      </c>
      <c r="B3" s="7" t="s">
        <v>55</v>
      </c>
      <c r="C3" s="7" t="s">
        <v>56</v>
      </c>
      <c r="D3" s="7">
        <v>24</v>
      </c>
      <c r="E3" s="7">
        <v>80</v>
      </c>
      <c r="F3" s="7">
        <f>ROUND(44/E3,3)</f>
        <v>0.55000000000000004</v>
      </c>
      <c r="G3" s="7">
        <f>ROUND(79/E3,3)</f>
        <v>0.98799999999999999</v>
      </c>
      <c r="H3" s="7">
        <f>ROUND(315/E3,3)</f>
        <v>3.9380000000000002</v>
      </c>
      <c r="I3" s="7">
        <f>ROUND(75/E3,3)</f>
        <v>0.93799999999999994</v>
      </c>
      <c r="J3" s="7">
        <f>ROUND(24/E3,3)</f>
        <v>0.3</v>
      </c>
      <c r="K3" s="7">
        <f>8*F3+6*G3+1*H3+1*J3+0.5*I3</f>
        <v>15.035</v>
      </c>
      <c r="L3" s="7">
        <f>ROUND(1765.3/E3,3)</f>
        <v>22.065999999999999</v>
      </c>
      <c r="M3" s="7">
        <f>ROUND(45/E3,3)</f>
        <v>0.56299999999999994</v>
      </c>
      <c r="N3" s="7" t="s">
        <v>57</v>
      </c>
      <c r="O3" s="7" t="s">
        <v>58</v>
      </c>
      <c r="P3" s="7">
        <f>ROUND(481/E3,3)</f>
        <v>6.0129999999999999</v>
      </c>
      <c r="Q3" s="7">
        <f>ROUND(393/E3,3)</f>
        <v>4.9130000000000003</v>
      </c>
      <c r="R3" s="7">
        <f>ROUND(338/E3,3)</f>
        <v>4.2249999999999996</v>
      </c>
      <c r="S3" s="7">
        <f>ROUND(156/E3,3)</f>
        <v>1.95</v>
      </c>
      <c r="T3" s="7">
        <f>ROUND(40.84/E3,3)</f>
        <v>0.51100000000000001</v>
      </c>
      <c r="U3" s="7">
        <f>ROUND(68/E3,3)</f>
        <v>0.85</v>
      </c>
      <c r="V3" s="7">
        <f>ROUND(73/E3,3)</f>
        <v>0.91300000000000003</v>
      </c>
      <c r="W3" s="7">
        <f>ROUND(42.51/E3,3)</f>
        <v>0.53100000000000003</v>
      </c>
      <c r="X3" s="7">
        <v>0.67</v>
      </c>
      <c r="Y3" s="7">
        <v>0.62</v>
      </c>
      <c r="Z3" s="7">
        <v>0.62</v>
      </c>
      <c r="AA3" s="7">
        <f>ROUND(136.31/E3,3)</f>
        <v>1.704</v>
      </c>
      <c r="AB3" s="7">
        <f>ROUND(54/E3,3)</f>
        <v>0.67500000000000004</v>
      </c>
      <c r="AC3" s="7">
        <v>8478402</v>
      </c>
    </row>
    <row r="4" spans="1:29" ht="15" customHeight="1" x14ac:dyDescent="0.2">
      <c r="A4" s="7" t="s">
        <v>59</v>
      </c>
      <c r="B4" s="7" t="s">
        <v>60</v>
      </c>
      <c r="C4" s="7" t="s">
        <v>61</v>
      </c>
      <c r="D4" s="7">
        <v>28</v>
      </c>
      <c r="E4" s="7">
        <v>47</v>
      </c>
      <c r="F4" s="7">
        <f>ROUND(25/E4,3)</f>
        <v>0.53200000000000003</v>
      </c>
      <c r="G4" s="7">
        <f>ROUND(44/E4,3)</f>
        <v>0.93600000000000005</v>
      </c>
      <c r="H4" s="7">
        <f>ROUND(156/E4,3)</f>
        <v>3.319</v>
      </c>
      <c r="I4" s="7">
        <f>ROUND(32/E4,3)</f>
        <v>0.68100000000000005</v>
      </c>
      <c r="J4" s="7">
        <f>ROUND(1/E4,3)</f>
        <v>2.1000000000000001E-2</v>
      </c>
      <c r="K4" s="7">
        <f>8*F4+6*G4+1*H4+1*J4+0.5*I4</f>
        <v>13.5525</v>
      </c>
      <c r="L4" s="7">
        <f>ROUND(938.05/E4,3)</f>
        <v>19.959</v>
      </c>
      <c r="M4" s="7">
        <f>ROUND(22/E4,3)</f>
        <v>0.46800000000000003</v>
      </c>
      <c r="N4" s="7" t="s">
        <v>62</v>
      </c>
      <c r="O4" s="7" t="s">
        <v>63</v>
      </c>
      <c r="P4" s="7">
        <f>ROUND(276/E4,3)</f>
        <v>5.8719999999999999</v>
      </c>
      <c r="Q4" s="7">
        <f>ROUND(214/E4,3)</f>
        <v>4.5529999999999999</v>
      </c>
      <c r="R4" s="7">
        <f>ROUND(161/E4,3)</f>
        <v>3.4260000000000002</v>
      </c>
      <c r="S4" s="7">
        <f>ROUND(45/E4,3)</f>
        <v>0.95699999999999996</v>
      </c>
      <c r="T4" s="7">
        <f>ROUND(15.83/E4,3)</f>
        <v>0.33700000000000002</v>
      </c>
      <c r="U4" s="7">
        <f>ROUND(37/E4,3)</f>
        <v>0.78700000000000003</v>
      </c>
      <c r="V4" s="7">
        <f>ROUND(24/E4,3)</f>
        <v>0.51100000000000001</v>
      </c>
      <c r="W4" s="7">
        <f>ROUND(16.46/E4,3)</f>
        <v>0.35</v>
      </c>
      <c r="X4" s="7">
        <v>0.6</v>
      </c>
      <c r="Y4" s="7">
        <v>0.6</v>
      </c>
      <c r="Z4" s="7">
        <v>0.6</v>
      </c>
      <c r="AA4" s="7">
        <f>ROUND(62.86/E4,3)</f>
        <v>1.337</v>
      </c>
      <c r="AB4" s="7">
        <f>ROUND(15/E4,3)</f>
        <v>0.31900000000000001</v>
      </c>
      <c r="AC4" s="7">
        <v>8476453</v>
      </c>
    </row>
    <row r="5" spans="1:29" ht="15" customHeight="1" x14ac:dyDescent="0.2">
      <c r="A5" s="7" t="s">
        <v>65</v>
      </c>
      <c r="B5" s="7" t="s">
        <v>55</v>
      </c>
      <c r="C5" s="7" t="s">
        <v>66</v>
      </c>
      <c r="D5" s="7">
        <v>26</v>
      </c>
      <c r="E5" s="7">
        <v>65</v>
      </c>
      <c r="F5" s="7">
        <f>ROUND(32/E5,3)</f>
        <v>0.49199999999999999</v>
      </c>
      <c r="G5" s="7">
        <f>ROUND(56/E5,3)</f>
        <v>0.86199999999999999</v>
      </c>
      <c r="H5" s="7">
        <f>ROUND(299/E5,3)</f>
        <v>4.5999999999999996</v>
      </c>
      <c r="I5" s="7">
        <f>ROUND(68/E5,3)</f>
        <v>1.046</v>
      </c>
      <c r="J5" s="7">
        <f>ROUND(37/E5,3)</f>
        <v>0.56899999999999995</v>
      </c>
      <c r="K5" s="7">
        <f>8*F5+6*G5+1*H5+1*J5+0.5*I5</f>
        <v>14.8</v>
      </c>
      <c r="L5" s="7">
        <f>ROUND(1368.9666666667/E5,3)</f>
        <v>21.061</v>
      </c>
      <c r="M5" s="7">
        <f>ROUND(42/E5,3)</f>
        <v>0.64600000000000002</v>
      </c>
      <c r="N5" s="7" t="s">
        <v>67</v>
      </c>
      <c r="O5" s="7" t="s">
        <v>68</v>
      </c>
      <c r="P5" s="7">
        <f>ROUND(501/E5,3)</f>
        <v>7.7080000000000002</v>
      </c>
      <c r="Q5" s="7">
        <f>ROUND(385/E5,3)</f>
        <v>5.923</v>
      </c>
      <c r="R5" s="7">
        <f>ROUND(283/E5,3)</f>
        <v>4.3540000000000001</v>
      </c>
      <c r="S5" s="7">
        <f>ROUND(84/E5,3)</f>
        <v>1.292</v>
      </c>
      <c r="T5" s="7">
        <f>ROUND(26.46/E5,3)</f>
        <v>0.40699999999999997</v>
      </c>
      <c r="U5" s="7">
        <f>ROUND(56/E5,3)</f>
        <v>0.86199999999999999</v>
      </c>
      <c r="V5" s="7">
        <f>ROUND(37/E5,3)</f>
        <v>0.56899999999999995</v>
      </c>
      <c r="W5" s="7">
        <f>ROUND(28.36/E5,3)</f>
        <v>0.436</v>
      </c>
      <c r="X5" s="7">
        <v>0.62</v>
      </c>
      <c r="Y5" s="7">
        <v>0.61</v>
      </c>
      <c r="Z5" s="7">
        <v>0.6</v>
      </c>
      <c r="AA5" s="7">
        <f>ROUND(100.05/E5,3)</f>
        <v>1.5389999999999999</v>
      </c>
      <c r="AB5" s="7">
        <f>ROUND(28/E5,3)</f>
        <v>0.43099999999999999</v>
      </c>
      <c r="AC5" s="7">
        <v>8477492</v>
      </c>
    </row>
    <row r="6" spans="1:29" ht="15" customHeight="1" x14ac:dyDescent="0.2">
      <c r="A6" s="7" t="s">
        <v>70</v>
      </c>
      <c r="B6" s="7" t="s">
        <v>55</v>
      </c>
      <c r="D6" s="7">
        <v>15</v>
      </c>
      <c r="K6" s="7"/>
      <c r="AC6" s="7">
        <v>8484801</v>
      </c>
    </row>
    <row r="7" spans="1:29" ht="15" customHeight="1" x14ac:dyDescent="0.2">
      <c r="A7" s="7" t="s">
        <v>71</v>
      </c>
      <c r="B7" s="7" t="s">
        <v>55</v>
      </c>
      <c r="C7" s="7" t="s">
        <v>72</v>
      </c>
      <c r="D7" s="7">
        <v>28</v>
      </c>
      <c r="E7" s="7">
        <v>67</v>
      </c>
      <c r="F7" s="7">
        <f>ROUND(29/E7,3)</f>
        <v>0.433</v>
      </c>
      <c r="G7" s="7">
        <f>ROUND(41/E7,3)</f>
        <v>0.61199999999999999</v>
      </c>
      <c r="H7" s="7">
        <f>ROUND(159/E7,3)</f>
        <v>2.3730000000000002</v>
      </c>
      <c r="I7" s="7">
        <f>ROUND(36/E7,3)</f>
        <v>0.53700000000000003</v>
      </c>
      <c r="J7" s="7">
        <f>ROUND(45/E7,3)</f>
        <v>0.67200000000000004</v>
      </c>
      <c r="K7" s="7">
        <f t="shared" ref="K7:K18" si="0">8*F7+6*G7+1*H7+1*J7+0.5*I7</f>
        <v>10.4495</v>
      </c>
      <c r="L7" s="7">
        <f>ROUND(1415.9666666667/E7,3)</f>
        <v>21.134</v>
      </c>
      <c r="M7" s="7">
        <f>ROUND(23/E7,3)</f>
        <v>0.34300000000000003</v>
      </c>
      <c r="N7" s="7" t="s">
        <v>73</v>
      </c>
      <c r="O7" s="7" t="s">
        <v>74</v>
      </c>
      <c r="P7" s="7">
        <f>ROUND(264/E7,3)</f>
        <v>3.94</v>
      </c>
      <c r="Q7" s="7">
        <f>ROUND(215/E7,3)</f>
        <v>3.2090000000000001</v>
      </c>
      <c r="R7" s="7">
        <f>ROUND(182/E7,3)</f>
        <v>2.7160000000000002</v>
      </c>
      <c r="S7" s="7">
        <f>ROUND(78/E7,3)</f>
        <v>1.1639999999999999</v>
      </c>
      <c r="T7" s="7">
        <f>ROUND(19.24/E7,3)</f>
        <v>0.28699999999999998</v>
      </c>
      <c r="U7" s="7">
        <f>ROUND(60/E7,3)</f>
        <v>0.89600000000000002</v>
      </c>
      <c r="V7" s="7">
        <f>ROUND(49/E7,3)</f>
        <v>0.73099999999999998</v>
      </c>
      <c r="W7" s="7">
        <f>ROUND(20.43/E7,3)</f>
        <v>0.30499999999999999</v>
      </c>
      <c r="X7" s="7">
        <v>0.54</v>
      </c>
      <c r="Y7" s="7">
        <v>0.56000000000000005</v>
      </c>
      <c r="Z7" s="7">
        <v>0.56000000000000005</v>
      </c>
      <c r="AA7" s="7">
        <f>ROUND(63.04/E7,3)</f>
        <v>0.94099999999999995</v>
      </c>
      <c r="AB7" s="7">
        <f>ROUND(21/E7,3)</f>
        <v>0.313</v>
      </c>
      <c r="AC7" s="7">
        <v>8476460</v>
      </c>
    </row>
    <row r="8" spans="1:29" ht="15" customHeight="1" x14ac:dyDescent="0.2">
      <c r="A8" s="7" t="s">
        <v>75</v>
      </c>
      <c r="B8" s="7" t="s">
        <v>55</v>
      </c>
      <c r="C8" s="7" t="s">
        <v>76</v>
      </c>
      <c r="D8" s="7">
        <v>22</v>
      </c>
      <c r="E8" s="7">
        <v>82</v>
      </c>
      <c r="F8" s="7">
        <f>ROUND(21/E8,3)</f>
        <v>0.25600000000000001</v>
      </c>
      <c r="G8" s="7">
        <f>ROUND(40/E8,3)</f>
        <v>0.48799999999999999</v>
      </c>
      <c r="H8" s="7">
        <f>ROUND(186/E8,3)</f>
        <v>2.2679999999999998</v>
      </c>
      <c r="I8" s="7">
        <f>ROUND(89/E8,3)</f>
        <v>1.085</v>
      </c>
      <c r="J8" s="7">
        <f>ROUND(59/E8,3)</f>
        <v>0.72</v>
      </c>
      <c r="K8" s="7">
        <f t="shared" si="0"/>
        <v>8.5064999999999991</v>
      </c>
      <c r="L8" s="7">
        <f>ROUND(1681.8333333333/E8,3)</f>
        <v>20.51</v>
      </c>
      <c r="M8" s="7">
        <f>ROUND(30/E8,3)</f>
        <v>0.36599999999999999</v>
      </c>
      <c r="N8" s="7" t="s">
        <v>77</v>
      </c>
      <c r="O8" s="7" t="s">
        <v>78</v>
      </c>
      <c r="P8" s="7">
        <f>ROUND(309/E8,3)</f>
        <v>3.7679999999999998</v>
      </c>
      <c r="Q8" s="7">
        <f>ROUND(238/E8,3)</f>
        <v>2.9020000000000001</v>
      </c>
      <c r="R8" s="7">
        <f>ROUND(177/E8,3)</f>
        <v>2.1589999999999998</v>
      </c>
      <c r="S8" s="7">
        <f>ROUND(69/E8,3)</f>
        <v>0.84099999999999997</v>
      </c>
      <c r="T8" s="7">
        <f>ROUND(18.85/E8,3)</f>
        <v>0.23</v>
      </c>
      <c r="U8" s="7">
        <f>ROUND(71/E8,3)</f>
        <v>0.86599999999999999</v>
      </c>
      <c r="V8" s="7">
        <f>ROUND(50/E8,3)</f>
        <v>0.61</v>
      </c>
      <c r="W8" s="7">
        <f>ROUND(18.81/E8,3)</f>
        <v>0.22900000000000001</v>
      </c>
      <c r="X8" s="7">
        <v>0.45</v>
      </c>
      <c r="Y8" s="7">
        <v>0.51</v>
      </c>
      <c r="Z8" s="7">
        <v>0.51</v>
      </c>
      <c r="AA8" s="7">
        <f>ROUND(50.28/E8,3)</f>
        <v>0.61299999999999999</v>
      </c>
      <c r="AB8" s="7">
        <f>ROUND(21/E8,3)</f>
        <v>0.25600000000000001</v>
      </c>
      <c r="AC8" s="7">
        <v>8480018</v>
      </c>
    </row>
    <row r="9" spans="1:29" ht="15" customHeight="1" x14ac:dyDescent="0.2">
      <c r="A9" s="7" t="s">
        <v>79</v>
      </c>
      <c r="B9" s="7" t="s">
        <v>55</v>
      </c>
      <c r="C9" s="7" t="s">
        <v>80</v>
      </c>
      <c r="D9" s="7">
        <v>22</v>
      </c>
      <c r="E9" s="7">
        <v>78</v>
      </c>
      <c r="F9" s="7">
        <f>ROUND(14/E9,3)</f>
        <v>0.17899999999999999</v>
      </c>
      <c r="G9" s="7">
        <f>ROUND(26/E9,3)</f>
        <v>0.33300000000000002</v>
      </c>
      <c r="H9" s="7">
        <f>ROUND(159/E9,3)</f>
        <v>2.0379999999999998</v>
      </c>
      <c r="I9" s="7">
        <f>ROUND(55/E9,3)</f>
        <v>0.70499999999999996</v>
      </c>
      <c r="J9" s="7">
        <f>ROUND(15/E9,3)</f>
        <v>0.192</v>
      </c>
      <c r="K9" s="7">
        <f t="shared" si="0"/>
        <v>6.0125000000000002</v>
      </c>
      <c r="L9" s="7">
        <f>ROUND(1262/E9,3)</f>
        <v>16.178999999999998</v>
      </c>
      <c r="M9" s="7">
        <f>ROUND(32/E9,3)</f>
        <v>0.41</v>
      </c>
      <c r="N9" s="7" t="s">
        <v>81</v>
      </c>
      <c r="O9" s="7" t="s">
        <v>82</v>
      </c>
      <c r="P9" s="7">
        <f>ROUND(295/E9,3)</f>
        <v>3.782</v>
      </c>
      <c r="Q9" s="7">
        <f>ROUND(226/E9,3)</f>
        <v>2.8969999999999998</v>
      </c>
      <c r="R9" s="7">
        <f>ROUND(140/E9,3)</f>
        <v>1.7949999999999999</v>
      </c>
      <c r="S9" s="7">
        <f>ROUND(48/E9,3)</f>
        <v>0.61499999999999999</v>
      </c>
      <c r="T9" s="7">
        <f>ROUND(14.34/E9,3)</f>
        <v>0.184</v>
      </c>
      <c r="U9" s="7">
        <f>ROUND(75/E9,3)</f>
        <v>0.96199999999999997</v>
      </c>
      <c r="V9" s="7">
        <f>ROUND(38/E9,3)</f>
        <v>0.48699999999999999</v>
      </c>
      <c r="W9" s="7">
        <f>ROUND(14.1/E9,3)</f>
        <v>0.18099999999999999</v>
      </c>
      <c r="X9" s="7">
        <v>0.52</v>
      </c>
      <c r="Y9" s="7">
        <v>0.56000000000000005</v>
      </c>
      <c r="Z9" s="7">
        <v>0.55000000000000004</v>
      </c>
      <c r="AA9" s="7">
        <f>ROUND(50.78/E9,3)</f>
        <v>0.65100000000000002</v>
      </c>
      <c r="AB9" s="7">
        <f>ROUND(12/E9,3)</f>
        <v>0.154</v>
      </c>
      <c r="AC9" s="7">
        <v>8480039</v>
      </c>
    </row>
    <row r="10" spans="1:29" ht="15" customHeight="1" x14ac:dyDescent="0.2">
      <c r="A10" s="7" t="s">
        <v>83</v>
      </c>
      <c r="B10" s="7" t="s">
        <v>60</v>
      </c>
      <c r="C10" s="7" t="s">
        <v>84</v>
      </c>
      <c r="D10" s="7">
        <v>25</v>
      </c>
      <c r="E10" s="7">
        <v>72</v>
      </c>
      <c r="F10" s="7">
        <f>ROUND(40/E10,3)</f>
        <v>0.55600000000000005</v>
      </c>
      <c r="G10" s="7">
        <f>ROUND(37/E10,3)</f>
        <v>0.51400000000000001</v>
      </c>
      <c r="H10" s="7">
        <f>ROUND(312/E10,3)</f>
        <v>4.3330000000000002</v>
      </c>
      <c r="I10" s="7">
        <f>ROUND(63/E10,3)</f>
        <v>0.875</v>
      </c>
      <c r="J10" s="7">
        <f>ROUND(14/E10,3)</f>
        <v>0.19400000000000001</v>
      </c>
      <c r="K10" s="7">
        <f t="shared" si="0"/>
        <v>12.496500000000001</v>
      </c>
      <c r="L10" s="7">
        <f>ROUND(1339.3833333333/E10,3)</f>
        <v>18.603000000000002</v>
      </c>
      <c r="M10" s="7">
        <f>ROUND(20/E10,3)</f>
        <v>0.27800000000000002</v>
      </c>
      <c r="N10" s="7" t="s">
        <v>85</v>
      </c>
      <c r="O10" s="7" t="s">
        <v>86</v>
      </c>
      <c r="P10" s="7">
        <f>ROUND(560/E10,3)</f>
        <v>7.7779999999999996</v>
      </c>
      <c r="Q10" s="7">
        <f>ROUND(438/E10,3)</f>
        <v>6.0830000000000002</v>
      </c>
      <c r="R10" s="7">
        <f>ROUND(274/E10,3)</f>
        <v>3.806</v>
      </c>
      <c r="S10" s="7">
        <f>ROUND(76/E10,3)</f>
        <v>1.056</v>
      </c>
      <c r="T10" s="7">
        <f>ROUND(28.79/E10,3)</f>
        <v>0.4</v>
      </c>
      <c r="U10" s="7">
        <f>ROUND(77/E10,3)</f>
        <v>1.069</v>
      </c>
      <c r="V10" s="7">
        <f>ROUND(35/E10,3)</f>
        <v>0.48599999999999999</v>
      </c>
      <c r="W10" s="7">
        <f>ROUND(31.08/E10,3)</f>
        <v>0.432</v>
      </c>
      <c r="X10" s="7">
        <v>0.64</v>
      </c>
      <c r="Y10" s="7">
        <v>0.64</v>
      </c>
      <c r="Z10" s="7">
        <v>0.64</v>
      </c>
      <c r="AA10" s="7">
        <f>ROUND(98.73/E10,3)</f>
        <v>1.371</v>
      </c>
      <c r="AB10" s="7">
        <f>ROUND(26/E10,3)</f>
        <v>0.36099999999999999</v>
      </c>
      <c r="AC10" s="7">
        <v>8477956</v>
      </c>
    </row>
    <row r="11" spans="1:29" ht="15" customHeight="1" x14ac:dyDescent="0.2">
      <c r="A11" s="7" t="s">
        <v>88</v>
      </c>
      <c r="B11" s="7" t="s">
        <v>55</v>
      </c>
      <c r="C11" s="7" t="s">
        <v>56</v>
      </c>
      <c r="D11" s="7">
        <v>25</v>
      </c>
      <c r="E11" s="7">
        <v>80</v>
      </c>
      <c r="F11" s="7">
        <f>ROUND(55/E11,3)</f>
        <v>0.68799999999999994</v>
      </c>
      <c r="G11" s="7">
        <f>ROUND(55/E11,3)</f>
        <v>0.68799999999999994</v>
      </c>
      <c r="H11" s="7">
        <f>ROUND(278/E11,3)</f>
        <v>3.4750000000000001</v>
      </c>
      <c r="I11" s="7">
        <f>ROUND(53/E11,3)</f>
        <v>0.66300000000000003</v>
      </c>
      <c r="J11" s="7">
        <f>ROUND(22/E11,3)</f>
        <v>0.27500000000000002</v>
      </c>
      <c r="K11" s="7">
        <f t="shared" si="0"/>
        <v>13.7135</v>
      </c>
      <c r="L11" s="7">
        <f>ROUND(1787.9333333333/E11,3)</f>
        <v>22.349</v>
      </c>
      <c r="M11" s="7">
        <f>ROUND(40/E11,3)</f>
        <v>0.5</v>
      </c>
      <c r="N11" s="7" t="s">
        <v>89</v>
      </c>
      <c r="O11" s="7" t="s">
        <v>90</v>
      </c>
      <c r="P11" s="7">
        <f>ROUND(482/E11,3)</f>
        <v>6.0250000000000004</v>
      </c>
      <c r="Q11" s="7">
        <f>ROUND(387/E11,3)</f>
        <v>4.8380000000000001</v>
      </c>
      <c r="R11" s="7">
        <f>ROUND(289/E11,3)</f>
        <v>3.613</v>
      </c>
      <c r="S11" s="7">
        <f>ROUND(123/E11,3)</f>
        <v>1.538</v>
      </c>
      <c r="T11" s="7">
        <f>ROUND(35.89/E11,3)</f>
        <v>0.44900000000000001</v>
      </c>
      <c r="U11" s="7">
        <f>ROUND(88/E11,3)</f>
        <v>1.1000000000000001</v>
      </c>
      <c r="V11" s="7">
        <f>ROUND(74/E11,3)</f>
        <v>0.92500000000000004</v>
      </c>
      <c r="W11" s="7">
        <f>ROUND(42.54/E11,3)</f>
        <v>0.53200000000000003</v>
      </c>
      <c r="X11" s="7">
        <v>0.62</v>
      </c>
      <c r="Y11" s="7">
        <v>0.56999999999999995</v>
      </c>
      <c r="Z11" s="7">
        <v>0.56000000000000005</v>
      </c>
      <c r="AA11" s="7">
        <f>ROUND(103.83/E11,3)</f>
        <v>1.298</v>
      </c>
      <c r="AB11" s="7">
        <f>ROUND(49/E11,3)</f>
        <v>0.61299999999999999</v>
      </c>
      <c r="AC11" s="7">
        <v>8477934</v>
      </c>
    </row>
    <row r="12" spans="1:29" ht="15" customHeight="1" x14ac:dyDescent="0.2">
      <c r="A12" s="7" t="s">
        <v>91</v>
      </c>
      <c r="B12" s="7" t="s">
        <v>92</v>
      </c>
      <c r="C12" s="7" t="s">
        <v>93</v>
      </c>
      <c r="D12" s="7">
        <v>22</v>
      </c>
      <c r="E12" s="7">
        <v>74</v>
      </c>
      <c r="F12" s="7">
        <f>ROUND(41/E12,3)</f>
        <v>0.55400000000000005</v>
      </c>
      <c r="G12" s="7">
        <f>ROUND(38/E12,3)</f>
        <v>0.51400000000000001</v>
      </c>
      <c r="H12" s="7">
        <f>ROUND(220/E12,3)</f>
        <v>2.9729999999999999</v>
      </c>
      <c r="I12" s="7">
        <f>ROUND(50/E12,3)</f>
        <v>0.67600000000000005</v>
      </c>
      <c r="J12" s="7">
        <f>ROUND(22/E12,3)</f>
        <v>0.29699999999999999</v>
      </c>
      <c r="K12" s="7">
        <f t="shared" si="0"/>
        <v>11.124000000000001</v>
      </c>
      <c r="L12" s="7">
        <f>ROUND(1340.2333333333/E12,3)</f>
        <v>18.111000000000001</v>
      </c>
      <c r="M12" s="7">
        <f>ROUND(22/E12,3)</f>
        <v>0.29699999999999999</v>
      </c>
      <c r="N12" s="7" t="s">
        <v>94</v>
      </c>
      <c r="O12" s="7" t="s">
        <v>95</v>
      </c>
      <c r="P12" s="7">
        <f>ROUND(400/E12,3)</f>
        <v>5.4050000000000002</v>
      </c>
      <c r="Q12" s="7">
        <f>ROUND(293/E12,3)</f>
        <v>3.9590000000000001</v>
      </c>
      <c r="R12" s="7">
        <f>ROUND(243/E12,3)</f>
        <v>3.2839999999999998</v>
      </c>
      <c r="S12" s="7">
        <f>ROUND(111/E12,3)</f>
        <v>1.5</v>
      </c>
      <c r="T12" s="7">
        <f>ROUND(26.29/E12,3)</f>
        <v>0.35499999999999998</v>
      </c>
      <c r="U12" s="7">
        <f>ROUND(50/E12,3)</f>
        <v>0.67600000000000005</v>
      </c>
      <c r="V12" s="7">
        <f>ROUND(48/E12,3)</f>
        <v>0.64900000000000002</v>
      </c>
      <c r="W12" s="7">
        <f>ROUND(30.15/E12,3)</f>
        <v>0.40699999999999997</v>
      </c>
      <c r="X12" s="7">
        <v>0.63</v>
      </c>
      <c r="Y12" s="7">
        <v>0.6</v>
      </c>
      <c r="Z12" s="7">
        <v>0.6</v>
      </c>
      <c r="AA12" s="7">
        <f>ROUND(87.45/E12,3)</f>
        <v>1.1819999999999999</v>
      </c>
      <c r="AB12" s="7">
        <f>ROUND(36/E12,3)</f>
        <v>0.48599999999999999</v>
      </c>
      <c r="AC12" s="7">
        <v>8480027</v>
      </c>
    </row>
    <row r="13" spans="1:29" ht="15" customHeight="1" x14ac:dyDescent="0.2">
      <c r="A13" s="7" t="s">
        <v>97</v>
      </c>
      <c r="B13" s="7" t="s">
        <v>92</v>
      </c>
      <c r="C13" s="7" t="s">
        <v>72</v>
      </c>
      <c r="D13" s="7">
        <v>24</v>
      </c>
      <c r="E13" s="7">
        <v>79</v>
      </c>
      <c r="F13" s="7">
        <f>ROUND(47/E13,3)</f>
        <v>0.59499999999999997</v>
      </c>
      <c r="G13" s="7">
        <f>ROUND(46/E13,3)</f>
        <v>0.58199999999999996</v>
      </c>
      <c r="H13" s="7">
        <f>ROUND(317/E13,3)</f>
        <v>4.0129999999999999</v>
      </c>
      <c r="I13" s="7">
        <f>ROUND(32/E13,3)</f>
        <v>0.40500000000000003</v>
      </c>
      <c r="J13" s="7">
        <f>ROUND(22/E13,3)</f>
        <v>0.27800000000000002</v>
      </c>
      <c r="K13" s="7">
        <f t="shared" si="0"/>
        <v>12.7455</v>
      </c>
      <c r="L13" s="7">
        <f>ROUND(1720.3166666667/E13,3)</f>
        <v>21.776</v>
      </c>
      <c r="M13" s="7">
        <f>ROUND(4/E13,3)</f>
        <v>5.0999999999999997E-2</v>
      </c>
      <c r="N13" s="7" t="s">
        <v>98</v>
      </c>
      <c r="O13" s="7" t="s">
        <v>99</v>
      </c>
      <c r="P13" s="7">
        <f>ROUND(499/E13,3)</f>
        <v>6.3159999999999998</v>
      </c>
      <c r="Q13" s="7">
        <f>ROUND(395/E13,3)</f>
        <v>5</v>
      </c>
      <c r="R13" s="7">
        <f>ROUND(311/E13,3)</f>
        <v>3.9369999999999998</v>
      </c>
      <c r="S13" s="7">
        <f>ROUND(99/E13,3)</f>
        <v>1.2529999999999999</v>
      </c>
      <c r="T13" s="7">
        <f>ROUND(33.04/E13,3)</f>
        <v>0.41799999999999998</v>
      </c>
      <c r="U13" s="7">
        <f>ROUND(47/E13,3)</f>
        <v>0.59499999999999997</v>
      </c>
      <c r="V13" s="7">
        <f>ROUND(66/E13,3)</f>
        <v>0.83499999999999996</v>
      </c>
      <c r="W13" s="7">
        <f>ROUND(35.14/E13,3)</f>
        <v>0.44500000000000001</v>
      </c>
      <c r="X13" s="7">
        <v>0.54</v>
      </c>
      <c r="Y13" s="7">
        <v>0.54</v>
      </c>
      <c r="Z13" s="7">
        <v>0.53</v>
      </c>
      <c r="AA13" s="7">
        <f>ROUND(88.08/E13,3)</f>
        <v>1.115</v>
      </c>
      <c r="AB13" s="7">
        <f>ROUND(32/E13,3)</f>
        <v>0.40500000000000003</v>
      </c>
      <c r="AC13" s="7">
        <v>8478398</v>
      </c>
    </row>
    <row r="14" spans="1:29" ht="15" customHeight="1" x14ac:dyDescent="0.2">
      <c r="A14" s="7" t="s">
        <v>101</v>
      </c>
      <c r="B14" s="7" t="s">
        <v>55</v>
      </c>
      <c r="C14" s="7" t="s">
        <v>102</v>
      </c>
      <c r="D14" s="7">
        <v>24</v>
      </c>
      <c r="E14" s="7">
        <v>34</v>
      </c>
      <c r="F14" s="7">
        <f>ROUND(14/E14,3)</f>
        <v>0.41199999999999998</v>
      </c>
      <c r="G14" s="7">
        <f>ROUND(11/E14,3)</f>
        <v>0.32400000000000001</v>
      </c>
      <c r="H14" s="7">
        <f>ROUND(133/E14,3)</f>
        <v>3.9119999999999999</v>
      </c>
      <c r="I14" s="7">
        <f>ROUND(45/E14,3)</f>
        <v>1.3240000000000001</v>
      </c>
      <c r="J14" s="7">
        <f>ROUND(30/E14,3)</f>
        <v>0.88200000000000001</v>
      </c>
      <c r="K14" s="7">
        <f t="shared" si="0"/>
        <v>10.696000000000002</v>
      </c>
      <c r="L14" s="7">
        <f>ROUND(659.31666666667/E14,3)</f>
        <v>19.391999999999999</v>
      </c>
      <c r="M14" s="7">
        <f>ROUND(10/E14,3)</f>
        <v>0.29399999999999998</v>
      </c>
      <c r="N14" s="7" t="s">
        <v>103</v>
      </c>
      <c r="O14" s="7" t="s">
        <v>104</v>
      </c>
      <c r="P14" s="7">
        <f>ROUND(193/E14,3)</f>
        <v>5.6760000000000002</v>
      </c>
      <c r="Q14" s="7">
        <f>ROUND(160/E14,3)</f>
        <v>4.7060000000000004</v>
      </c>
      <c r="R14" s="7">
        <f>ROUND(111/E14,3)</f>
        <v>3.2650000000000001</v>
      </c>
      <c r="S14" s="7">
        <f>ROUND(36/E14,3)</f>
        <v>1.0589999999999999</v>
      </c>
      <c r="T14" s="7">
        <f>ROUND(10.84/E14,3)</f>
        <v>0.31900000000000001</v>
      </c>
      <c r="U14" s="7">
        <f>ROUND(29/E14,3)</f>
        <v>0.85299999999999998</v>
      </c>
      <c r="V14" s="7">
        <f>ROUND(25/E14,3)</f>
        <v>0.73499999999999999</v>
      </c>
      <c r="W14" s="7">
        <f>ROUND(11.21/E14,3)</f>
        <v>0.33</v>
      </c>
      <c r="X14" s="7">
        <v>0.54</v>
      </c>
      <c r="Y14" s="7">
        <v>0.56999999999999995</v>
      </c>
      <c r="Z14" s="7">
        <v>0.56999999999999995</v>
      </c>
      <c r="AA14" s="7">
        <f>ROUND(31.77/E14,3)</f>
        <v>0.93400000000000005</v>
      </c>
      <c r="AB14" s="7">
        <f>ROUND(10/E14,3)</f>
        <v>0.29399999999999998</v>
      </c>
      <c r="AC14" s="7">
        <v>8478403</v>
      </c>
    </row>
    <row r="15" spans="1:29" ht="15" customHeight="1" x14ac:dyDescent="0.2">
      <c r="A15" s="7" t="s">
        <v>105</v>
      </c>
      <c r="B15" s="7" t="s">
        <v>92</v>
      </c>
      <c r="C15" s="7" t="s">
        <v>106</v>
      </c>
      <c r="D15" s="7">
        <v>24</v>
      </c>
      <c r="E15" s="7">
        <v>81</v>
      </c>
      <c r="F15" s="7">
        <f>ROUND(47/E15,3)</f>
        <v>0.57999999999999996</v>
      </c>
      <c r="G15" s="7">
        <f>ROUND(61/E15,3)</f>
        <v>0.753</v>
      </c>
      <c r="H15" s="7">
        <f>ROUND(289/E15,3)</f>
        <v>3.5680000000000001</v>
      </c>
      <c r="I15" s="7">
        <f>ROUND(73/E15,3)</f>
        <v>0.90100000000000002</v>
      </c>
      <c r="J15" s="7">
        <f>ROUND(25/E15,3)</f>
        <v>0.309</v>
      </c>
      <c r="K15" s="7">
        <f t="shared" si="0"/>
        <v>13.485499999999998</v>
      </c>
      <c r="L15" s="7">
        <f>ROUND(1547.6166666667/E15,3)</f>
        <v>19.106000000000002</v>
      </c>
      <c r="M15" s="7">
        <f>ROUND(34/E15,3)</f>
        <v>0.42</v>
      </c>
      <c r="N15" s="7" t="s">
        <v>107</v>
      </c>
      <c r="O15" s="7" t="s">
        <v>108</v>
      </c>
      <c r="P15" s="7">
        <f>ROUND(515/E15,3)</f>
        <v>6.3579999999999997</v>
      </c>
      <c r="Q15" s="7">
        <f>ROUND(400/E15,3)</f>
        <v>4.9379999999999997</v>
      </c>
      <c r="R15" s="7">
        <f>ROUND(287/E15,3)</f>
        <v>3.5430000000000001</v>
      </c>
      <c r="S15" s="7">
        <f>ROUND(93/E15,3)</f>
        <v>1.1479999999999999</v>
      </c>
      <c r="T15" s="7">
        <f>ROUND(27.9/E15,3)</f>
        <v>0.34399999999999997</v>
      </c>
      <c r="U15" s="7">
        <f>ROUND(72/E15,3)</f>
        <v>0.88900000000000001</v>
      </c>
      <c r="V15" s="7">
        <f>ROUND(57/E15,3)</f>
        <v>0.70399999999999996</v>
      </c>
      <c r="W15" s="7">
        <f>ROUND(31.19/E15,3)</f>
        <v>0.38500000000000001</v>
      </c>
      <c r="X15" s="7">
        <v>0.61</v>
      </c>
      <c r="Y15" s="7">
        <v>0.61</v>
      </c>
      <c r="Z15" s="7">
        <v>0.6</v>
      </c>
      <c r="AA15" s="7">
        <f>ROUND(112.88/E15,3)</f>
        <v>1.3939999999999999</v>
      </c>
      <c r="AB15" s="7">
        <f>ROUND(32/E15,3)</f>
        <v>0.39500000000000002</v>
      </c>
      <c r="AC15" s="7">
        <v>8478864</v>
      </c>
    </row>
    <row r="16" spans="1:29" ht="15" customHeight="1" x14ac:dyDescent="0.2">
      <c r="A16" s="7" t="s">
        <v>109</v>
      </c>
      <c r="B16" s="7" t="s">
        <v>60</v>
      </c>
      <c r="C16" s="7" t="s">
        <v>76</v>
      </c>
      <c r="D16" s="7">
        <v>20</v>
      </c>
      <c r="E16" s="7">
        <v>67</v>
      </c>
      <c r="F16" s="7">
        <f>ROUND(23/E16,3)</f>
        <v>0.34300000000000003</v>
      </c>
      <c r="G16" s="7">
        <f>ROUND(20/E16,3)</f>
        <v>0.29899999999999999</v>
      </c>
      <c r="H16" s="7">
        <f>ROUND(188/E16,3)</f>
        <v>2.806</v>
      </c>
      <c r="I16" s="7">
        <f>ROUND(18/E16,3)</f>
        <v>0.26900000000000002</v>
      </c>
      <c r="J16" s="7">
        <f>ROUND(7/E16,3)</f>
        <v>0.104</v>
      </c>
      <c r="K16" s="7">
        <f t="shared" si="0"/>
        <v>7.5825000000000005</v>
      </c>
      <c r="L16" s="7">
        <f>ROUND(1117.5833333333/E16,3)</f>
        <v>16.68</v>
      </c>
      <c r="M16" s="7">
        <f>ROUND(10/E16,3)</f>
        <v>0.14899999999999999</v>
      </c>
      <c r="N16" s="7" t="s">
        <v>110</v>
      </c>
      <c r="O16" s="7" t="s">
        <v>111</v>
      </c>
      <c r="P16" s="7">
        <f>ROUND(327/E16,3)</f>
        <v>4.8810000000000002</v>
      </c>
      <c r="Q16" s="7">
        <f>ROUND(259/E16,3)</f>
        <v>3.8660000000000001</v>
      </c>
      <c r="R16" s="7">
        <f>ROUND(197/E16,3)</f>
        <v>2.94</v>
      </c>
      <c r="S16" s="7">
        <f>ROUND(55/E16,3)</f>
        <v>0.82099999999999995</v>
      </c>
      <c r="T16" s="7">
        <f>ROUND(17.96/E16,3)</f>
        <v>0.26800000000000002</v>
      </c>
      <c r="U16" s="7">
        <f>ROUND(27/E16,3)</f>
        <v>0.40300000000000002</v>
      </c>
      <c r="V16" s="7">
        <f>ROUND(32/E16,3)</f>
        <v>0.47799999999999998</v>
      </c>
      <c r="W16" s="7">
        <f>ROUND(15.75/E16,3)</f>
        <v>0.23499999999999999</v>
      </c>
      <c r="X16" s="7">
        <v>0.48</v>
      </c>
      <c r="Y16" s="7">
        <v>0.54</v>
      </c>
      <c r="Z16" s="7">
        <v>0.54</v>
      </c>
      <c r="AA16" s="7">
        <f>ROUND(41.05/E16,3)</f>
        <v>0.61299999999999999</v>
      </c>
      <c r="AB16" s="7">
        <f>ROUND(9/E16,3)</f>
        <v>0.13400000000000001</v>
      </c>
      <c r="AC16" s="7">
        <v>8481540</v>
      </c>
    </row>
    <row r="17" spans="1:29" ht="15" customHeight="1" x14ac:dyDescent="0.2">
      <c r="A17" s="7" t="s">
        <v>113</v>
      </c>
      <c r="B17" s="7" t="s">
        <v>55</v>
      </c>
      <c r="C17" s="7" t="s">
        <v>114</v>
      </c>
      <c r="D17" s="7">
        <v>26</v>
      </c>
      <c r="E17" s="7">
        <v>76</v>
      </c>
      <c r="F17" s="7">
        <f>ROUND(40/E17,3)</f>
        <v>0.52600000000000002</v>
      </c>
      <c r="G17" s="7">
        <f>ROUND(44/E17,3)</f>
        <v>0.57899999999999996</v>
      </c>
      <c r="H17" s="7">
        <f>ROUND(264/E17,3)</f>
        <v>3.4740000000000002</v>
      </c>
      <c r="I17" s="7">
        <f>ROUND(72/E17,3)</f>
        <v>0.94699999999999995</v>
      </c>
      <c r="J17" s="7">
        <f>ROUND(37/E17,3)</f>
        <v>0.48699999999999999</v>
      </c>
      <c r="K17" s="7">
        <f t="shared" si="0"/>
        <v>12.1165</v>
      </c>
      <c r="L17" s="7">
        <f>ROUND(1527.4/E17,3)</f>
        <v>20.097000000000001</v>
      </c>
      <c r="M17" s="7">
        <f>ROUND(44/E17,3)</f>
        <v>0.57899999999999996</v>
      </c>
      <c r="N17" s="7" t="s">
        <v>115</v>
      </c>
      <c r="O17" s="7" t="s">
        <v>116</v>
      </c>
      <c r="P17" s="7">
        <f>ROUND(434/E17,3)</f>
        <v>5.7110000000000003</v>
      </c>
      <c r="Q17" s="7">
        <f>ROUND(348/E17,3)</f>
        <v>4.5789999999999997</v>
      </c>
      <c r="R17" s="7">
        <f>ROUND(334/E17,3)</f>
        <v>4.3949999999999996</v>
      </c>
      <c r="S17" s="7">
        <f>ROUND(161/E17,3)</f>
        <v>2.1179999999999999</v>
      </c>
      <c r="T17" s="7">
        <f>ROUND(36.06/E17,3)</f>
        <v>0.47399999999999998</v>
      </c>
      <c r="U17" s="7">
        <f>ROUND(23/E17,3)</f>
        <v>0.30299999999999999</v>
      </c>
      <c r="V17" s="7">
        <f>ROUND(41/E17,3)</f>
        <v>0.53900000000000003</v>
      </c>
      <c r="W17" s="7">
        <f>ROUND(37.28/E17,3)</f>
        <v>0.49099999999999999</v>
      </c>
      <c r="X17" s="7">
        <v>0.59</v>
      </c>
      <c r="Y17" s="7">
        <v>0.59</v>
      </c>
      <c r="Z17" s="7">
        <v>0.57999999999999996</v>
      </c>
      <c r="AA17" s="7">
        <f>ROUND(91.41/E17,3)</f>
        <v>1.2030000000000001</v>
      </c>
      <c r="AB17" s="7">
        <f>ROUND(41/E17,3)</f>
        <v>0.53900000000000003</v>
      </c>
      <c r="AC17" s="7">
        <v>8477404</v>
      </c>
    </row>
    <row r="18" spans="1:29" ht="15" customHeight="1" x14ac:dyDescent="0.2">
      <c r="A18" s="7" t="s">
        <v>117</v>
      </c>
      <c r="B18" s="7" t="s">
        <v>60</v>
      </c>
      <c r="C18" s="7" t="s">
        <v>118</v>
      </c>
      <c r="D18" s="7">
        <v>23</v>
      </c>
      <c r="E18" s="7">
        <v>67</v>
      </c>
      <c r="F18" s="7">
        <f>ROUND(28/E18,3)</f>
        <v>0.41799999999999998</v>
      </c>
      <c r="G18" s="7">
        <f>ROUND(35/E18,3)</f>
        <v>0.52200000000000002</v>
      </c>
      <c r="H18" s="7">
        <f>ROUND(177/E18,3)</f>
        <v>2.6419999999999999</v>
      </c>
      <c r="I18" s="7">
        <f>ROUND(17/E18,3)</f>
        <v>0.254</v>
      </c>
      <c r="J18" s="7">
        <f>ROUND(28/E18,3)</f>
        <v>0.41799999999999998</v>
      </c>
      <c r="K18" s="7">
        <f t="shared" si="0"/>
        <v>9.6630000000000003</v>
      </c>
      <c r="L18" s="7">
        <f>ROUND(1347.85/E18,3)</f>
        <v>20.117000000000001</v>
      </c>
      <c r="M18" s="7">
        <f>ROUND(28/E18,3)</f>
        <v>0.41799999999999998</v>
      </c>
      <c r="N18" s="7" t="s">
        <v>119</v>
      </c>
      <c r="O18" s="7" t="s">
        <v>120</v>
      </c>
      <c r="P18" s="7">
        <f>ROUND(274/E18,3)</f>
        <v>4.09</v>
      </c>
      <c r="Q18" s="7">
        <f>ROUND(228/E18,3)</f>
        <v>3.403</v>
      </c>
      <c r="R18" s="7">
        <f>ROUND(156/E18,3)</f>
        <v>2.3279999999999998</v>
      </c>
      <c r="S18" s="7">
        <f>ROUND(60/E18,3)</f>
        <v>0.89600000000000002</v>
      </c>
      <c r="T18" s="7">
        <f>ROUND(19.01/E18,3)</f>
        <v>0.28399999999999997</v>
      </c>
      <c r="U18" s="7">
        <f>ROUND(53/E18,3)</f>
        <v>0.79100000000000004</v>
      </c>
      <c r="V18" s="7">
        <f>ROUND(61/E18,3)</f>
        <v>0.91</v>
      </c>
      <c r="W18" s="7">
        <f>ROUND(20.52/E18,3)</f>
        <v>0.30599999999999999</v>
      </c>
      <c r="X18" s="7">
        <v>0.5</v>
      </c>
      <c r="Y18" s="7">
        <v>0.49</v>
      </c>
      <c r="Z18" s="7">
        <v>0.49</v>
      </c>
      <c r="AA18" s="7">
        <f>ROUND(50.78/E18,3)</f>
        <v>0.75800000000000001</v>
      </c>
      <c r="AB18" s="7">
        <f>ROUND(27/E18,3)</f>
        <v>0.40300000000000002</v>
      </c>
      <c r="AC18" s="7">
        <v>8479343</v>
      </c>
    </row>
    <row r="19" spans="1:29" ht="15" customHeight="1" x14ac:dyDescent="0.2">
      <c r="A19" s="7" t="s">
        <v>121</v>
      </c>
      <c r="B19" s="7" t="s">
        <v>55</v>
      </c>
      <c r="D19" s="7">
        <v>18</v>
      </c>
      <c r="K19" s="7"/>
      <c r="AC19" s="7">
        <v>8482740</v>
      </c>
    </row>
    <row r="20" spans="1:29" ht="15" customHeight="1" x14ac:dyDescent="0.2">
      <c r="A20" s="7" t="s">
        <v>122</v>
      </c>
      <c r="B20" s="7" t="s">
        <v>92</v>
      </c>
      <c r="C20" s="7" t="s">
        <v>106</v>
      </c>
      <c r="D20" s="7">
        <v>20</v>
      </c>
      <c r="E20" s="7">
        <v>47</v>
      </c>
      <c r="F20" s="7">
        <f>ROUND(15/E20,3)</f>
        <v>0.31900000000000001</v>
      </c>
      <c r="G20" s="7">
        <f>ROUND(24/E20,3)</f>
        <v>0.51100000000000001</v>
      </c>
      <c r="H20" s="7">
        <f>ROUND(113/E20,3)</f>
        <v>2.4039999999999999</v>
      </c>
      <c r="I20" s="7">
        <f>ROUND(23/E20,3)</f>
        <v>0.48899999999999999</v>
      </c>
      <c r="J20" s="7">
        <f>ROUND(24/E20,3)</f>
        <v>0.51100000000000001</v>
      </c>
      <c r="K20" s="7">
        <f t="shared" ref="K20:K25" si="1">8*F20+6*G20+1*H20+1*J20+0.5*I20</f>
        <v>8.7774999999999999</v>
      </c>
      <c r="L20" s="7">
        <f>ROUND(722.56666666667/E20,3)</f>
        <v>15.374000000000001</v>
      </c>
      <c r="M20" s="7">
        <f>ROUND(10/E20,3)</f>
        <v>0.21299999999999999</v>
      </c>
      <c r="N20" s="7" t="s">
        <v>123</v>
      </c>
      <c r="O20" s="7" t="s">
        <v>124</v>
      </c>
      <c r="P20" s="7">
        <f>ROUND(196/E20,3)</f>
        <v>4.17</v>
      </c>
      <c r="Q20" s="7">
        <f>ROUND(146/E20,3)</f>
        <v>3.1059999999999999</v>
      </c>
      <c r="R20" s="7">
        <f>ROUND(110/E20,3)</f>
        <v>2.34</v>
      </c>
      <c r="S20" s="7">
        <f>ROUND(35/E20,3)</f>
        <v>0.745</v>
      </c>
      <c r="T20" s="7">
        <f>ROUND(9.74/E20,3)</f>
        <v>0.20699999999999999</v>
      </c>
      <c r="U20" s="7">
        <f>ROUND(22/E20,3)</f>
        <v>0.46800000000000003</v>
      </c>
      <c r="V20" s="7">
        <f>ROUND(27/E20,3)</f>
        <v>0.57399999999999995</v>
      </c>
      <c r="W20" s="7">
        <f>ROUND(8.49/E20,3)</f>
        <v>0.18099999999999999</v>
      </c>
      <c r="X20" s="7">
        <v>0.59</v>
      </c>
      <c r="Y20" s="7">
        <v>0.56999999999999995</v>
      </c>
      <c r="Z20" s="7">
        <v>0.56999999999999995</v>
      </c>
      <c r="AA20" s="7">
        <f>ROUND(40.36/E20,3)</f>
        <v>0.85899999999999999</v>
      </c>
      <c r="AB20" s="7">
        <f>ROUND(5/E20,3)</f>
        <v>0.106</v>
      </c>
      <c r="AC20" s="7">
        <v>8481557</v>
      </c>
    </row>
    <row r="21" spans="1:29" ht="15" customHeight="1" x14ac:dyDescent="0.2">
      <c r="A21" s="7" t="s">
        <v>126</v>
      </c>
      <c r="B21" s="7" t="s">
        <v>60</v>
      </c>
      <c r="C21" s="7" t="s">
        <v>127</v>
      </c>
      <c r="D21" s="7">
        <v>23</v>
      </c>
      <c r="E21" s="7">
        <v>82</v>
      </c>
      <c r="F21" s="7">
        <f>ROUND(41/E21,3)</f>
        <v>0.5</v>
      </c>
      <c r="G21" s="7">
        <f>ROUND(37/E21,3)</f>
        <v>0.45100000000000001</v>
      </c>
      <c r="H21" s="7">
        <f>ROUND(270/E21,3)</f>
        <v>3.2930000000000001</v>
      </c>
      <c r="I21" s="7">
        <f>ROUND(101/E21,3)</f>
        <v>1.232</v>
      </c>
      <c r="J21" s="7">
        <f>ROUND(33/E21,3)</f>
        <v>0.40200000000000002</v>
      </c>
      <c r="K21" s="7">
        <f t="shared" si="1"/>
        <v>11.016999999999998</v>
      </c>
      <c r="L21" s="7">
        <f>ROUND(1710.2166666667/E21,3)</f>
        <v>20.856000000000002</v>
      </c>
      <c r="M21" s="7">
        <f>ROUND(19/E21,3)</f>
        <v>0.23200000000000001</v>
      </c>
      <c r="N21" s="7" t="s">
        <v>128</v>
      </c>
      <c r="O21" s="7" t="s">
        <v>129</v>
      </c>
      <c r="P21" s="7">
        <f>ROUND(470/E21,3)</f>
        <v>5.7320000000000002</v>
      </c>
      <c r="Q21" s="7">
        <f>ROUND(354/E21,3)</f>
        <v>4.3170000000000002</v>
      </c>
      <c r="R21" s="7">
        <f>ROUND(296/E21,3)</f>
        <v>3.61</v>
      </c>
      <c r="S21" s="7">
        <f>ROUND(87/E21,3)</f>
        <v>1.0609999999999999</v>
      </c>
      <c r="T21" s="7">
        <f>ROUND(31.03/E21,3)</f>
        <v>0.378</v>
      </c>
      <c r="U21" s="7">
        <f>ROUND(47/E21,3)</f>
        <v>0.57299999999999995</v>
      </c>
      <c r="V21" s="7">
        <f>ROUND(67/E21,3)</f>
        <v>0.81699999999999995</v>
      </c>
      <c r="W21" s="7">
        <f>ROUND(31.16/E21,3)</f>
        <v>0.38</v>
      </c>
      <c r="X21" s="7">
        <v>0.57999999999999996</v>
      </c>
      <c r="Y21" s="7">
        <v>0.56000000000000005</v>
      </c>
      <c r="Z21" s="7">
        <v>0.56000000000000005</v>
      </c>
      <c r="AA21" s="7">
        <f>ROUND(74.99/E21,3)</f>
        <v>0.91500000000000004</v>
      </c>
      <c r="AB21" s="7">
        <f>ROUND(28/E21,3)</f>
        <v>0.34100000000000003</v>
      </c>
      <c r="AC21" s="7">
        <v>8479337</v>
      </c>
    </row>
    <row r="22" spans="1:29" ht="15" customHeight="1" x14ac:dyDescent="0.2">
      <c r="A22" s="7" t="s">
        <v>130</v>
      </c>
      <c r="B22" s="7" t="s">
        <v>92</v>
      </c>
      <c r="C22" s="7" t="s">
        <v>131</v>
      </c>
      <c r="D22" s="7">
        <v>29</v>
      </c>
      <c r="E22" s="7">
        <v>75</v>
      </c>
      <c r="F22" s="7">
        <f>ROUND(22/E22,3)</f>
        <v>0.29299999999999998</v>
      </c>
      <c r="G22" s="7">
        <f>ROUND(74/E22,3)</f>
        <v>0.98699999999999999</v>
      </c>
      <c r="H22" s="7">
        <f>ROUND(177/E22,3)</f>
        <v>2.36</v>
      </c>
      <c r="I22" s="7">
        <f>ROUND(22/E22,3)</f>
        <v>0.29299999999999998</v>
      </c>
      <c r="J22" s="7">
        <f>ROUND(10/E22,3)</f>
        <v>0.13300000000000001</v>
      </c>
      <c r="K22" s="7">
        <f t="shared" si="1"/>
        <v>10.9055</v>
      </c>
      <c r="L22" s="7">
        <f>ROUND(1441.6833333333/E22,3)</f>
        <v>19.222000000000001</v>
      </c>
      <c r="M22" s="7">
        <f>ROUND(18/E22,3)</f>
        <v>0.24</v>
      </c>
      <c r="N22" s="7" t="s">
        <v>132</v>
      </c>
      <c r="O22" s="7" t="s">
        <v>133</v>
      </c>
      <c r="P22" s="7">
        <f>ROUND(370/E22,3)</f>
        <v>4.9329999999999998</v>
      </c>
      <c r="Q22" s="7">
        <f>ROUND(265/E22,3)</f>
        <v>3.5329999999999999</v>
      </c>
      <c r="R22" s="7">
        <f>ROUND(190/E22,3)</f>
        <v>2.5329999999999999</v>
      </c>
      <c r="S22" s="7">
        <f>ROUND(36/E22,3)</f>
        <v>0.48</v>
      </c>
      <c r="T22" s="7">
        <f>ROUND(17.07/E22,3)</f>
        <v>0.22800000000000001</v>
      </c>
      <c r="U22" s="7">
        <f>ROUND(71/E22,3)</f>
        <v>0.94699999999999995</v>
      </c>
      <c r="V22" s="7">
        <f>ROUND(56/E22,3)</f>
        <v>0.747</v>
      </c>
      <c r="W22" s="7">
        <f>ROUND(17.7/E22,3)</f>
        <v>0.23599999999999999</v>
      </c>
      <c r="X22" s="7">
        <v>0.62</v>
      </c>
      <c r="Y22" s="7">
        <v>0.56999999999999995</v>
      </c>
      <c r="Z22" s="7">
        <v>0.56999999999999995</v>
      </c>
      <c r="AA22" s="7">
        <f>ROUND(79.58/E22,3)</f>
        <v>1.0609999999999999</v>
      </c>
      <c r="AB22" s="7">
        <f>ROUND(16/E22,3)</f>
        <v>0.21299999999999999</v>
      </c>
      <c r="AC22" s="7">
        <v>8478550</v>
      </c>
    </row>
    <row r="23" spans="1:29" ht="15" customHeight="1" x14ac:dyDescent="0.2">
      <c r="A23" s="7" t="s">
        <v>134</v>
      </c>
      <c r="B23" s="7" t="s">
        <v>55</v>
      </c>
      <c r="C23" s="7" t="s">
        <v>135</v>
      </c>
      <c r="D23" s="7">
        <v>19</v>
      </c>
      <c r="E23" s="7">
        <v>79</v>
      </c>
      <c r="F23" s="7">
        <f>ROUND(22/E23,3)</f>
        <v>0.27800000000000002</v>
      </c>
      <c r="G23" s="7">
        <f>ROUND(36/E23,3)</f>
        <v>0.45600000000000002</v>
      </c>
      <c r="H23" s="7">
        <f>ROUND(177/E23,3)</f>
        <v>2.2410000000000001</v>
      </c>
      <c r="I23" s="7">
        <f>ROUND(125/E23,3)</f>
        <v>1.5820000000000001</v>
      </c>
      <c r="J23" s="7">
        <f>ROUND(48/E23,3)</f>
        <v>0.60799999999999998</v>
      </c>
      <c r="K23" s="7">
        <f t="shared" si="1"/>
        <v>8.6</v>
      </c>
      <c r="L23" s="7">
        <f>ROUND(1454.5/E23,3)</f>
        <v>18.411000000000001</v>
      </c>
      <c r="M23" s="7">
        <f>ROUND(37/E23,3)</f>
        <v>0.46800000000000003</v>
      </c>
      <c r="N23" s="7" t="s">
        <v>136</v>
      </c>
      <c r="O23" s="7" t="s">
        <v>133</v>
      </c>
      <c r="P23" s="7">
        <f>ROUND(314/E23,3)</f>
        <v>3.9750000000000001</v>
      </c>
      <c r="Q23" s="7">
        <f>ROUND(241/E23,3)</f>
        <v>3.0510000000000002</v>
      </c>
      <c r="R23" s="7">
        <f>ROUND(212/E23,3)</f>
        <v>2.6840000000000002</v>
      </c>
      <c r="S23" s="7">
        <f>ROUND(86/E23,3)</f>
        <v>1.089</v>
      </c>
      <c r="T23" s="7">
        <f>ROUND(21.83/E23,3)</f>
        <v>0.27600000000000002</v>
      </c>
      <c r="U23" s="7">
        <f>ROUND(51/E23,3)</f>
        <v>0.64600000000000002</v>
      </c>
      <c r="V23" s="7">
        <f>ROUND(38/E23,3)</f>
        <v>0.48099999999999998</v>
      </c>
      <c r="W23" s="7">
        <f>ROUND(25.97/E23,3)</f>
        <v>0.32900000000000001</v>
      </c>
      <c r="X23" s="7">
        <v>0.57999999999999996</v>
      </c>
      <c r="Y23" s="7">
        <v>0.56999999999999995</v>
      </c>
      <c r="Z23" s="7">
        <v>0.56999999999999995</v>
      </c>
      <c r="AA23" s="7">
        <f>ROUND(55.8/E23,3)</f>
        <v>0.70599999999999996</v>
      </c>
      <c r="AB23" s="7">
        <f>ROUND(31/E23,3)</f>
        <v>0.39200000000000002</v>
      </c>
      <c r="AC23" s="7">
        <v>8482116</v>
      </c>
    </row>
    <row r="24" spans="1:29" ht="15" customHeight="1" x14ac:dyDescent="0.2">
      <c r="A24" s="7" t="s">
        <v>137</v>
      </c>
      <c r="B24" s="7" t="s">
        <v>55</v>
      </c>
      <c r="C24" s="7" t="s">
        <v>138</v>
      </c>
      <c r="D24" s="7">
        <v>23</v>
      </c>
      <c r="E24" s="7">
        <v>78</v>
      </c>
      <c r="F24" s="7">
        <f>ROUND(38/E24,3)</f>
        <v>0.48699999999999999</v>
      </c>
      <c r="G24" s="7">
        <f>ROUND(30/E24,3)</f>
        <v>0.38500000000000001</v>
      </c>
      <c r="H24" s="7">
        <f>ROUND(253/E24,3)</f>
        <v>3.2440000000000002</v>
      </c>
      <c r="I24" s="7">
        <f>ROUND(66/E24,3)</f>
        <v>0.84599999999999997</v>
      </c>
      <c r="J24" s="7">
        <f>ROUND(24/E24,3)</f>
        <v>0.308</v>
      </c>
      <c r="K24" s="7">
        <f t="shared" si="1"/>
        <v>10.180999999999999</v>
      </c>
      <c r="L24" s="7">
        <f>ROUND(1394.8666666667/E24,3)</f>
        <v>17.882999999999999</v>
      </c>
      <c r="M24" s="7">
        <f>ROUND(37/E24,3)</f>
        <v>0.47399999999999998</v>
      </c>
      <c r="N24" s="7" t="s">
        <v>139</v>
      </c>
      <c r="O24" s="7" t="s">
        <v>140</v>
      </c>
      <c r="P24" s="7">
        <f>ROUND(457/E24,3)</f>
        <v>5.859</v>
      </c>
      <c r="Q24" s="7">
        <f>ROUND(348/E24,3)</f>
        <v>4.4619999999999997</v>
      </c>
      <c r="R24" s="7">
        <f>ROUND(224/E24,3)</f>
        <v>2.8719999999999999</v>
      </c>
      <c r="S24" s="7">
        <f>ROUND(70/E24,3)</f>
        <v>0.89700000000000002</v>
      </c>
      <c r="T24" s="7">
        <f>ROUND(23.22/E24,3)</f>
        <v>0.29799999999999999</v>
      </c>
      <c r="U24" s="7">
        <f>ROUND(42/E24,3)</f>
        <v>0.53800000000000003</v>
      </c>
      <c r="V24" s="7">
        <f>ROUND(49/E24,3)</f>
        <v>0.628</v>
      </c>
      <c r="W24" s="7">
        <f>ROUND(26.09/E24,3)</f>
        <v>0.33400000000000002</v>
      </c>
      <c r="X24" s="7">
        <v>0.52</v>
      </c>
      <c r="Y24" s="7">
        <v>0.54</v>
      </c>
      <c r="Z24" s="7">
        <v>0.53</v>
      </c>
      <c r="AA24" s="7">
        <f>ROUND(66.89/E24,3)</f>
        <v>0.85799999999999998</v>
      </c>
      <c r="AB24" s="7">
        <f>ROUND(18/E24,3)</f>
        <v>0.23100000000000001</v>
      </c>
      <c r="AC24" s="7">
        <v>8479420</v>
      </c>
    </row>
    <row r="25" spans="1:29" ht="15" customHeight="1" x14ac:dyDescent="0.2">
      <c r="A25" s="7" t="s">
        <v>141</v>
      </c>
      <c r="B25" s="7" t="s">
        <v>55</v>
      </c>
      <c r="C25" s="7" t="s">
        <v>80</v>
      </c>
      <c r="D25" s="7">
        <v>24</v>
      </c>
      <c r="E25" s="7">
        <v>79</v>
      </c>
      <c r="F25" s="7">
        <f>ROUND(37/E25,3)</f>
        <v>0.46800000000000003</v>
      </c>
      <c r="G25" s="7">
        <f>ROUND(44/E25,3)</f>
        <v>0.55700000000000005</v>
      </c>
      <c r="H25" s="7">
        <f>ROUND(221/E25,3)</f>
        <v>2.7970000000000002</v>
      </c>
      <c r="I25" s="7">
        <f>ROUND(76/E25,3)</f>
        <v>0.96199999999999997</v>
      </c>
      <c r="J25" s="7">
        <f>ROUND(22/E25,3)</f>
        <v>0.27800000000000002</v>
      </c>
      <c r="K25" s="7">
        <f t="shared" si="1"/>
        <v>10.642000000000001</v>
      </c>
      <c r="L25" s="7">
        <f>ROUND(1496.6833333333/E25,3)</f>
        <v>18.945</v>
      </c>
      <c r="M25" s="7">
        <f>ROUND(38/E25,3)</f>
        <v>0.48099999999999998</v>
      </c>
      <c r="N25" s="7" t="s">
        <v>142</v>
      </c>
      <c r="O25" s="7" t="s">
        <v>143</v>
      </c>
      <c r="P25" s="7">
        <f>ROUND(402/E25,3)</f>
        <v>5.0890000000000004</v>
      </c>
      <c r="Q25" s="7">
        <f>ROUND(329/E25,3)</f>
        <v>4.165</v>
      </c>
      <c r="R25" s="7">
        <f>ROUND(296/E25,3)</f>
        <v>3.7469999999999999</v>
      </c>
      <c r="S25" s="7">
        <f>ROUND(153/E25,3)</f>
        <v>1.9370000000000001</v>
      </c>
      <c r="T25" s="7">
        <f>ROUND(35.65/E25,3)</f>
        <v>0.45100000000000001</v>
      </c>
      <c r="U25" s="7">
        <f>ROUND(56/E25,3)</f>
        <v>0.70899999999999996</v>
      </c>
      <c r="V25" s="7">
        <f>ROUND(68/E25,3)</f>
        <v>0.86099999999999999</v>
      </c>
      <c r="W25" s="7">
        <f>ROUND(37.6/E25,3)</f>
        <v>0.47599999999999998</v>
      </c>
      <c r="X25" s="7">
        <v>0.6</v>
      </c>
      <c r="Y25" s="7">
        <v>0.59</v>
      </c>
      <c r="Z25" s="7">
        <v>0.57999999999999996</v>
      </c>
      <c r="AA25" s="7">
        <f>ROUND(85.19/E25,3)</f>
        <v>1.0780000000000001</v>
      </c>
      <c r="AB25" s="7">
        <f>ROUND(41/E25,3)</f>
        <v>0.51900000000000002</v>
      </c>
      <c r="AC25" s="7">
        <v>8478427</v>
      </c>
    </row>
    <row r="26" spans="1:29" ht="15" customHeight="1" x14ac:dyDescent="0.2">
      <c r="A26" s="7" t="s">
        <v>144</v>
      </c>
      <c r="B26" s="7" t="s">
        <v>60</v>
      </c>
      <c r="D26" s="7">
        <v>24</v>
      </c>
      <c r="K26" s="7"/>
      <c r="W26" s="7">
        <v>26.51</v>
      </c>
      <c r="X26" s="7">
        <v>0.63</v>
      </c>
      <c r="Y26" s="7">
        <v>0.6</v>
      </c>
      <c r="Z26" s="7">
        <v>0.6</v>
      </c>
      <c r="AA26" s="7">
        <v>105.32</v>
      </c>
      <c r="AB26" s="7">
        <v>31</v>
      </c>
      <c r="AC26" s="7">
        <v>8478483</v>
      </c>
    </row>
    <row r="27" spans="1:29" ht="15" customHeight="1" x14ac:dyDescent="0.2">
      <c r="A27" s="7" t="s">
        <v>145</v>
      </c>
      <c r="B27" s="7" t="s">
        <v>60</v>
      </c>
      <c r="C27" s="7" t="s">
        <v>146</v>
      </c>
      <c r="D27" s="7">
        <v>25</v>
      </c>
      <c r="E27" s="7">
        <v>81</v>
      </c>
      <c r="F27" s="7">
        <f>ROUND(34/E27,3)</f>
        <v>0.42</v>
      </c>
      <c r="G27" s="7">
        <f>ROUND(46/E27,3)</f>
        <v>0.56799999999999995</v>
      </c>
      <c r="H27" s="7">
        <f>ROUND(256/E27,3)</f>
        <v>3.16</v>
      </c>
      <c r="I27" s="7">
        <f>ROUND(19/E27,3)</f>
        <v>0.23499999999999999</v>
      </c>
      <c r="J27" s="7">
        <f>ROUND(30/E27,3)</f>
        <v>0.37</v>
      </c>
      <c r="K27" s="7">
        <f t="shared" ref="K27:K32" si="2">8*F27+6*G27+1*H27+1*J27+0.5*I27</f>
        <v>10.415499999999998</v>
      </c>
      <c r="L27" s="7">
        <f>ROUND(1480.1166666667/E27,3)</f>
        <v>18.273</v>
      </c>
      <c r="M27" s="7">
        <f>ROUND(16/E27,3)</f>
        <v>0.19800000000000001</v>
      </c>
      <c r="N27" s="7" t="s">
        <v>147</v>
      </c>
      <c r="O27" s="7" t="s">
        <v>148</v>
      </c>
      <c r="P27" s="7">
        <f>ROUND(467/E27,3)</f>
        <v>5.7649999999999997</v>
      </c>
      <c r="Q27" s="7">
        <f>ROUND(365/E27,3)</f>
        <v>4.5060000000000002</v>
      </c>
      <c r="R27" s="7">
        <f>ROUND(286/E27,3)</f>
        <v>3.5310000000000001</v>
      </c>
      <c r="S27" s="7">
        <f>ROUND(114/E27,3)</f>
        <v>1.407</v>
      </c>
      <c r="T27" s="7">
        <f>ROUND(27.33/E27,3)</f>
        <v>0.33700000000000002</v>
      </c>
      <c r="U27" s="7">
        <f>ROUND(33/E27,3)</f>
        <v>0.40699999999999997</v>
      </c>
      <c r="V27" s="7">
        <f>ROUND(59/E27,3)</f>
        <v>0.72799999999999998</v>
      </c>
      <c r="W27" s="7">
        <f>ROUND(28.22/E27,3)</f>
        <v>0.34799999999999998</v>
      </c>
      <c r="X27" s="7">
        <v>0.62</v>
      </c>
      <c r="Y27" s="7">
        <v>0.6</v>
      </c>
      <c r="Z27" s="7">
        <v>0.61</v>
      </c>
      <c r="AA27" s="7">
        <f>ROUND(83.53/E27,3)</f>
        <v>1.0309999999999999</v>
      </c>
      <c r="AB27" s="7">
        <f>ROUND(22/E27,3)</f>
        <v>0.27200000000000002</v>
      </c>
      <c r="AC27" s="7">
        <v>8477939</v>
      </c>
    </row>
    <row r="28" spans="1:29" ht="15" customHeight="1" x14ac:dyDescent="0.2">
      <c r="A28" s="7" t="s">
        <v>149</v>
      </c>
      <c r="B28" s="7" t="s">
        <v>55</v>
      </c>
      <c r="C28" s="7" t="s">
        <v>131</v>
      </c>
      <c r="D28" s="7">
        <v>28</v>
      </c>
      <c r="E28" s="7">
        <v>81</v>
      </c>
      <c r="F28" s="7">
        <f>ROUND(29/E28,3)</f>
        <v>0.35799999999999998</v>
      </c>
      <c r="G28" s="7">
        <f>ROUND(52/E28,3)</f>
        <v>0.64200000000000002</v>
      </c>
      <c r="H28" s="7">
        <f>ROUND(219/E28,3)</f>
        <v>2.7040000000000002</v>
      </c>
      <c r="I28" s="7">
        <f>ROUND(67/E28,3)</f>
        <v>0.82699999999999996</v>
      </c>
      <c r="J28" s="7">
        <f>ROUND(46/E28,3)</f>
        <v>0.56799999999999995</v>
      </c>
      <c r="K28" s="7">
        <f t="shared" si="2"/>
        <v>10.401499999999999</v>
      </c>
      <c r="L28" s="7">
        <f>ROUND(1590.25/E28,3)</f>
        <v>19.632999999999999</v>
      </c>
      <c r="M28" s="7">
        <f>ROUND(12/E28,3)</f>
        <v>0.14799999999999999</v>
      </c>
      <c r="N28" s="7" t="s">
        <v>150</v>
      </c>
      <c r="O28" s="7" t="s">
        <v>151</v>
      </c>
      <c r="P28" s="7">
        <f>ROUND(383/E28,3)</f>
        <v>4.7279999999999998</v>
      </c>
      <c r="Q28" s="7">
        <f>ROUND(313/E28,3)</f>
        <v>3.8639999999999999</v>
      </c>
      <c r="R28" s="7">
        <f>ROUND(186/E28,3)</f>
        <v>2.2959999999999998</v>
      </c>
      <c r="S28" s="7">
        <f>ROUND(79/E28,3)</f>
        <v>0.97499999999999998</v>
      </c>
      <c r="T28" s="7">
        <f>ROUND(24.75/E28,3)</f>
        <v>0.30599999999999999</v>
      </c>
      <c r="U28" s="7">
        <f>ROUND(58/E28,3)</f>
        <v>0.71599999999999997</v>
      </c>
      <c r="V28" s="7">
        <f>ROUND(62/E28,3)</f>
        <v>0.76500000000000001</v>
      </c>
      <c r="W28" s="7">
        <f>ROUND(28.61/E28,3)</f>
        <v>0.35299999999999998</v>
      </c>
      <c r="X28" s="7">
        <v>0.61</v>
      </c>
      <c r="Y28" s="7">
        <v>0.53</v>
      </c>
      <c r="Z28" s="7">
        <v>0.55000000000000004</v>
      </c>
      <c r="AA28" s="7">
        <f>ROUND(74.84/E28,3)</f>
        <v>0.92400000000000004</v>
      </c>
      <c r="AB28" s="7">
        <f>ROUND(37/E28,3)</f>
        <v>0.45700000000000002</v>
      </c>
      <c r="AC28" s="7">
        <v>8476459</v>
      </c>
    </row>
    <row r="29" spans="1:29" ht="15" customHeight="1" x14ac:dyDescent="0.2">
      <c r="A29" s="7" t="s">
        <v>152</v>
      </c>
      <c r="B29" s="7" t="s">
        <v>55</v>
      </c>
      <c r="C29" s="7" t="s">
        <v>153</v>
      </c>
      <c r="D29" s="7">
        <v>20</v>
      </c>
      <c r="E29" s="7">
        <v>49</v>
      </c>
      <c r="F29" s="7">
        <f>ROUND(26/E29,3)</f>
        <v>0.53100000000000003</v>
      </c>
      <c r="G29" s="7">
        <f>ROUND(30/E29,3)</f>
        <v>0.61199999999999999</v>
      </c>
      <c r="H29" s="7">
        <f>ROUND(165/E29,3)</f>
        <v>3.367</v>
      </c>
      <c r="I29" s="7">
        <f>ROUND(6/E29,3)</f>
        <v>0.122</v>
      </c>
      <c r="J29" s="7">
        <f>ROUND(9/E29,3)</f>
        <v>0.184</v>
      </c>
      <c r="K29" s="7">
        <f t="shared" si="2"/>
        <v>11.531999999999998</v>
      </c>
      <c r="L29" s="7">
        <f>ROUND(958.73333333333/E29,3)</f>
        <v>19.565999999999999</v>
      </c>
      <c r="M29" s="7">
        <f>ROUND(0/E29,3)</f>
        <v>0</v>
      </c>
      <c r="N29" s="7" t="s">
        <v>154</v>
      </c>
      <c r="O29" s="7" t="s">
        <v>155</v>
      </c>
      <c r="P29" s="7">
        <f>ROUND(296/E29,3)</f>
        <v>6.0410000000000004</v>
      </c>
      <c r="Q29" s="7">
        <f>ROUND(223/E29,3)</f>
        <v>4.5510000000000002</v>
      </c>
      <c r="R29" s="7">
        <f>ROUND(182/E29,3)</f>
        <v>3.714</v>
      </c>
      <c r="S29" s="7">
        <f>ROUND(69/E29,3)</f>
        <v>1.4079999999999999</v>
      </c>
      <c r="T29" s="7">
        <f>ROUND(17.54/E29,3)</f>
        <v>0.35799999999999998</v>
      </c>
      <c r="U29" s="7">
        <f>ROUND(60/E29,3)</f>
        <v>1.224</v>
      </c>
      <c r="V29" s="7">
        <f>ROUND(49/E29,3)</f>
        <v>1</v>
      </c>
      <c r="W29" s="7">
        <f>ROUND(18.2/E29,3)</f>
        <v>0.371</v>
      </c>
      <c r="X29" s="7">
        <v>0.56999999999999995</v>
      </c>
      <c r="Y29" s="7">
        <v>0.57999999999999996</v>
      </c>
      <c r="Z29" s="7">
        <v>0.56000000000000005</v>
      </c>
      <c r="AA29" s="7">
        <f>ROUND(56.23/E29,3)</f>
        <v>1.1479999999999999</v>
      </c>
      <c r="AB29" s="7">
        <f>ROUND(14/E29,3)</f>
        <v>0.28599999999999998</v>
      </c>
      <c r="AC29" s="7">
        <v>8481559</v>
      </c>
    </row>
    <row r="30" spans="1:29" ht="15" customHeight="1" x14ac:dyDescent="0.2">
      <c r="A30" s="7" t="s">
        <v>156</v>
      </c>
      <c r="B30" s="7" t="s">
        <v>60</v>
      </c>
      <c r="C30" s="7" t="s">
        <v>66</v>
      </c>
      <c r="D30" s="7">
        <v>24</v>
      </c>
      <c r="E30" s="7">
        <v>75</v>
      </c>
      <c r="F30" s="7">
        <f>ROUND(36/E30,3)</f>
        <v>0.48</v>
      </c>
      <c r="G30" s="7">
        <f>ROUND(56/E30,3)</f>
        <v>0.747</v>
      </c>
      <c r="H30" s="7">
        <f>ROUND(254/E30,3)</f>
        <v>3.387</v>
      </c>
      <c r="I30" s="7">
        <f>ROUND(58/E30,3)</f>
        <v>0.77300000000000002</v>
      </c>
      <c r="J30" s="7">
        <f>ROUND(37/E30,3)</f>
        <v>0.49299999999999999</v>
      </c>
      <c r="K30" s="7">
        <f t="shared" si="2"/>
        <v>12.5885</v>
      </c>
      <c r="L30" s="7">
        <f>ROUND(1572.8333333333/E30,3)</f>
        <v>20.971</v>
      </c>
      <c r="M30" s="7">
        <f>ROUND(56/E30,3)</f>
        <v>0.747</v>
      </c>
      <c r="N30" s="7" t="s">
        <v>157</v>
      </c>
      <c r="O30" s="7" t="s">
        <v>158</v>
      </c>
      <c r="P30" s="7">
        <f>ROUND(459/E30,3)</f>
        <v>6.12</v>
      </c>
      <c r="Q30" s="7">
        <f>ROUND(364/E30,3)</f>
        <v>4.8529999999999998</v>
      </c>
      <c r="R30" s="7">
        <f>ROUND(266/E30,3)</f>
        <v>3.5470000000000002</v>
      </c>
      <c r="S30" s="7">
        <f>ROUND(92/E30,3)</f>
        <v>1.2270000000000001</v>
      </c>
      <c r="T30" s="7">
        <f>ROUND(28.69/E30,3)</f>
        <v>0.38300000000000001</v>
      </c>
      <c r="U30" s="7">
        <f>ROUND(49/E30,3)</f>
        <v>0.65300000000000002</v>
      </c>
      <c r="V30" s="7">
        <f>ROUND(48/E30,3)</f>
        <v>0.64</v>
      </c>
      <c r="W30" s="7">
        <f>ROUND(30.68/E30,3)</f>
        <v>0.40899999999999997</v>
      </c>
      <c r="X30" s="7">
        <v>0.64</v>
      </c>
      <c r="Y30" s="7">
        <v>0.62</v>
      </c>
      <c r="Z30" s="7">
        <v>0.62</v>
      </c>
      <c r="AA30" s="7">
        <f>ROUND(105.19/E30,3)</f>
        <v>1.403</v>
      </c>
      <c r="AB30" s="7">
        <f>ROUND(32/E30,3)</f>
        <v>0.42699999999999999</v>
      </c>
      <c r="AC30" s="7">
        <v>8478420</v>
      </c>
    </row>
    <row r="31" spans="1:29" ht="15" customHeight="1" x14ac:dyDescent="0.2">
      <c r="A31" s="7" t="s">
        <v>159</v>
      </c>
      <c r="B31" s="7" t="s">
        <v>92</v>
      </c>
      <c r="C31" s="7" t="s">
        <v>160</v>
      </c>
      <c r="D31" s="7">
        <v>19</v>
      </c>
      <c r="E31" s="7">
        <v>82</v>
      </c>
      <c r="F31" s="7">
        <f>ROUND(23/E31,3)</f>
        <v>0.28000000000000003</v>
      </c>
      <c r="G31" s="7">
        <f>ROUND(34/E31,3)</f>
        <v>0.41499999999999998</v>
      </c>
      <c r="H31" s="7">
        <f>ROUND(184/E31,3)</f>
        <v>2.2440000000000002</v>
      </c>
      <c r="I31" s="7">
        <f>ROUND(62/E31,3)</f>
        <v>0.75600000000000001</v>
      </c>
      <c r="J31" s="7">
        <f>ROUND(24/E31,3)</f>
        <v>0.29299999999999998</v>
      </c>
      <c r="K31" s="7">
        <f t="shared" si="2"/>
        <v>7.6450000000000005</v>
      </c>
      <c r="L31" s="7">
        <f>ROUND(1488.8666666667/E31,3)</f>
        <v>18.157</v>
      </c>
      <c r="M31" s="7">
        <f>ROUND(16/E31,3)</f>
        <v>0.19500000000000001</v>
      </c>
      <c r="N31" s="7" t="s">
        <v>161</v>
      </c>
      <c r="O31" s="7" t="s">
        <v>162</v>
      </c>
      <c r="P31" s="7">
        <f>ROUND(287/E31,3)</f>
        <v>3.5</v>
      </c>
      <c r="Q31" s="7">
        <f>ROUND(224/E31,3)</f>
        <v>2.7320000000000002</v>
      </c>
      <c r="R31" s="7">
        <f>ROUND(191/E31,3)</f>
        <v>2.3290000000000002</v>
      </c>
      <c r="S31" s="7">
        <f>ROUND(79/E31,3)</f>
        <v>0.96299999999999997</v>
      </c>
      <c r="T31" s="7">
        <f>ROUND(19.32/E31,3)</f>
        <v>0.23599999999999999</v>
      </c>
      <c r="U31" s="7">
        <f>ROUND(36/E31,3)</f>
        <v>0.439</v>
      </c>
      <c r="V31" s="7">
        <f>ROUND(26/E31,3)</f>
        <v>0.317</v>
      </c>
      <c r="W31" s="7">
        <f>ROUND(21.34/E31,3)</f>
        <v>0.26</v>
      </c>
      <c r="X31" s="7">
        <v>0.52</v>
      </c>
      <c r="Y31" s="7">
        <v>0.55000000000000004</v>
      </c>
      <c r="Z31" s="7">
        <v>0.54</v>
      </c>
      <c r="AA31" s="7">
        <f>ROUND(50.88/E31,3)</f>
        <v>0.62</v>
      </c>
      <c r="AB31" s="7">
        <f>ROUND(23/E31,3)</f>
        <v>0.28000000000000003</v>
      </c>
      <c r="AC31" s="7">
        <v>8482078</v>
      </c>
    </row>
    <row r="32" spans="1:29" ht="15" customHeight="1" x14ac:dyDescent="0.2">
      <c r="A32" s="7" t="s">
        <v>163</v>
      </c>
      <c r="B32" s="7" t="s">
        <v>92</v>
      </c>
      <c r="C32" s="7" t="s">
        <v>164</v>
      </c>
      <c r="D32" s="7">
        <v>27</v>
      </c>
      <c r="E32" s="7">
        <v>69</v>
      </c>
      <c r="F32" s="7">
        <f>ROUND(42/E32,3)</f>
        <v>0.60899999999999999</v>
      </c>
      <c r="G32" s="7">
        <f>ROUND(42/E32,3)</f>
        <v>0.60899999999999999</v>
      </c>
      <c r="H32" s="7">
        <f>ROUND(226/E32,3)</f>
        <v>3.2749999999999999</v>
      </c>
      <c r="I32" s="7">
        <f>ROUND(112/E32,3)</f>
        <v>1.623</v>
      </c>
      <c r="J32" s="7">
        <f>ROUND(43/E32,3)</f>
        <v>0.623</v>
      </c>
      <c r="K32" s="7">
        <f t="shared" si="2"/>
        <v>13.2355</v>
      </c>
      <c r="L32" s="7">
        <f>ROUND(1248.75/E32,3)</f>
        <v>18.097999999999999</v>
      </c>
      <c r="M32" s="7">
        <f>ROUND(22/E32,3)</f>
        <v>0.31900000000000001</v>
      </c>
      <c r="N32" s="7" t="s">
        <v>165</v>
      </c>
      <c r="O32" s="7" t="s">
        <v>166</v>
      </c>
      <c r="P32" s="7">
        <f>ROUND(424/E32,3)</f>
        <v>6.1449999999999996</v>
      </c>
      <c r="Q32" s="7">
        <f>ROUND(333/E32,3)</f>
        <v>4.8259999999999996</v>
      </c>
      <c r="R32" s="7">
        <f>ROUND(241/E32,3)</f>
        <v>3.4929999999999999</v>
      </c>
      <c r="S32" s="7">
        <f>ROUND(81/E32,3)</f>
        <v>1.1739999999999999</v>
      </c>
      <c r="T32" s="7">
        <f>ROUND(24.75/E32,3)</f>
        <v>0.35899999999999999</v>
      </c>
      <c r="U32" s="7">
        <f>ROUND(56/E32,3)</f>
        <v>0.81200000000000006</v>
      </c>
      <c r="V32" s="7">
        <f>ROUND(53/E32,3)</f>
        <v>0.76800000000000002</v>
      </c>
      <c r="W32" s="7">
        <f>ROUND(26.94/E32,3)</f>
        <v>0.39</v>
      </c>
      <c r="X32" s="7">
        <v>0.61</v>
      </c>
      <c r="Y32" s="7">
        <v>0.6</v>
      </c>
      <c r="Z32" s="7">
        <v>0.6</v>
      </c>
      <c r="AA32" s="7">
        <f>ROUND(86.96/E32,3)</f>
        <v>1.26</v>
      </c>
      <c r="AB32" s="7">
        <f>ROUND(24/E32,3)</f>
        <v>0.34799999999999998</v>
      </c>
      <c r="AC32" s="7">
        <v>8476887</v>
      </c>
    </row>
    <row r="33" spans="1:29" ht="15" customHeight="1" x14ac:dyDescent="0.2">
      <c r="A33" s="7" t="s">
        <v>167</v>
      </c>
      <c r="B33" s="7" t="s">
        <v>55</v>
      </c>
      <c r="D33" s="7">
        <v>16</v>
      </c>
      <c r="K33" s="7"/>
      <c r="AC33" s="7">
        <v>8484144</v>
      </c>
    </row>
    <row r="34" spans="1:29" ht="15" customHeight="1" x14ac:dyDescent="0.2">
      <c r="A34" s="7" t="s">
        <v>168</v>
      </c>
      <c r="B34" s="7" t="s">
        <v>92</v>
      </c>
      <c r="C34" s="7" t="s">
        <v>169</v>
      </c>
      <c r="D34" s="7">
        <v>23</v>
      </c>
      <c r="E34" s="7">
        <v>77</v>
      </c>
      <c r="F34" s="7">
        <f>ROUND(25/E34,3)</f>
        <v>0.32500000000000001</v>
      </c>
      <c r="G34" s="7">
        <f>ROUND(19/E34,3)</f>
        <v>0.247</v>
      </c>
      <c r="H34" s="7">
        <f>ROUND(125/E34,3)</f>
        <v>1.623</v>
      </c>
      <c r="I34" s="7">
        <f>ROUND(63/E34,3)</f>
        <v>0.81799999999999995</v>
      </c>
      <c r="J34" s="7">
        <f>ROUND(28/E34,3)</f>
        <v>0.36399999999999999</v>
      </c>
      <c r="K34" s="7">
        <f>8*F34+6*G34+1*H34+1*J34+0.5*I34</f>
        <v>6.4779999999999998</v>
      </c>
      <c r="L34" s="7">
        <f>ROUND(1259.4666666667/E34,3)</f>
        <v>16.356999999999999</v>
      </c>
      <c r="M34" s="7">
        <f>ROUND(31/E34,3)</f>
        <v>0.40300000000000002</v>
      </c>
      <c r="N34" s="7" t="s">
        <v>170</v>
      </c>
      <c r="O34" s="7" t="s">
        <v>171</v>
      </c>
      <c r="P34" s="7">
        <f>ROUND(223/E34,3)</f>
        <v>2.8959999999999999</v>
      </c>
      <c r="Q34" s="7">
        <f>ROUND(166/E34,3)</f>
        <v>2.1560000000000001</v>
      </c>
      <c r="R34" s="7">
        <f>ROUND(141/E34,3)</f>
        <v>1.831</v>
      </c>
      <c r="S34" s="7">
        <f>ROUND(66/E34,3)</f>
        <v>0.85699999999999998</v>
      </c>
      <c r="T34" s="7">
        <f>ROUND(16.03/E34,3)</f>
        <v>0.20799999999999999</v>
      </c>
      <c r="U34" s="7">
        <f>ROUND(33/E34,3)</f>
        <v>0.42899999999999999</v>
      </c>
      <c r="V34" s="7">
        <f>ROUND(53/E34,3)</f>
        <v>0.68799999999999994</v>
      </c>
      <c r="W34" s="7">
        <f>ROUND(17.92/E34,3)</f>
        <v>0.23300000000000001</v>
      </c>
      <c r="X34" s="7">
        <v>0.49</v>
      </c>
      <c r="Y34" s="7">
        <v>0.5</v>
      </c>
      <c r="Z34" s="7">
        <v>0.5</v>
      </c>
      <c r="AA34" s="7">
        <f>ROUND(43.88/E34,3)</f>
        <v>0.56999999999999995</v>
      </c>
      <c r="AB34" s="7">
        <f>ROUND(18/E34,3)</f>
        <v>0.23400000000000001</v>
      </c>
      <c r="AC34" s="7">
        <v>8479542</v>
      </c>
    </row>
    <row r="35" spans="1:29" ht="15" customHeight="1" x14ac:dyDescent="0.2">
      <c r="A35" s="7" t="s">
        <v>173</v>
      </c>
      <c r="B35" s="7" t="s">
        <v>55</v>
      </c>
      <c r="C35" s="7" t="s">
        <v>118</v>
      </c>
      <c r="D35" s="7">
        <v>25</v>
      </c>
      <c r="E35" s="7">
        <v>63</v>
      </c>
      <c r="F35" s="7">
        <f>ROUND(23/E35,3)</f>
        <v>0.36499999999999999</v>
      </c>
      <c r="G35" s="7">
        <f>ROUND(36/E35,3)</f>
        <v>0.57099999999999995</v>
      </c>
      <c r="H35" s="7">
        <f>ROUND(123/E35,3)</f>
        <v>1.952</v>
      </c>
      <c r="I35" s="7">
        <f>ROUND(15/E35,3)</f>
        <v>0.23799999999999999</v>
      </c>
      <c r="J35" s="7">
        <f>ROUND(25/E35,3)</f>
        <v>0.39700000000000002</v>
      </c>
      <c r="K35" s="7">
        <f>8*F35+6*G35+1*H35+1*J35+0.5*I35</f>
        <v>8.8140000000000001</v>
      </c>
      <c r="L35" s="7">
        <f>ROUND(1149.5833333333/E35,3)</f>
        <v>18.247</v>
      </c>
      <c r="M35" s="7">
        <f>ROUND(14/E35,3)</f>
        <v>0.222</v>
      </c>
      <c r="N35" s="7" t="s">
        <v>174</v>
      </c>
      <c r="O35" s="7" t="s">
        <v>175</v>
      </c>
      <c r="P35" s="7">
        <f>ROUND(212/E35,3)</f>
        <v>3.3650000000000002</v>
      </c>
      <c r="Q35" s="7">
        <f>ROUND(163/E35,3)</f>
        <v>2.5870000000000002</v>
      </c>
      <c r="R35" s="7">
        <f>ROUND(129/E35,3)</f>
        <v>2.048</v>
      </c>
      <c r="S35" s="7">
        <f>ROUND(55/E35,3)</f>
        <v>0.873</v>
      </c>
      <c r="T35" s="7">
        <f>ROUND(15.28/E35,3)</f>
        <v>0.24299999999999999</v>
      </c>
      <c r="U35" s="7">
        <f>ROUND(42/E35,3)</f>
        <v>0.66700000000000004</v>
      </c>
      <c r="V35" s="7">
        <f>ROUND(52/E35,3)</f>
        <v>0.82499999999999996</v>
      </c>
      <c r="W35" s="7">
        <f>ROUND(14.3/E35,3)</f>
        <v>0.22700000000000001</v>
      </c>
      <c r="X35" s="7">
        <v>0.52</v>
      </c>
      <c r="Y35" s="7">
        <v>0.5</v>
      </c>
      <c r="Z35" s="7">
        <v>0.49</v>
      </c>
      <c r="AA35" s="7">
        <f>ROUND(44.51/E35,3)</f>
        <v>0.70699999999999996</v>
      </c>
      <c r="AB35" s="7">
        <f>ROUND(12/E35,3)</f>
        <v>0.19</v>
      </c>
      <c r="AC35" s="7">
        <v>8477951</v>
      </c>
    </row>
    <row r="36" spans="1:29" ht="15" customHeight="1" x14ac:dyDescent="0.2">
      <c r="A36" s="7" t="s">
        <v>176</v>
      </c>
      <c r="B36" s="7" t="s">
        <v>55</v>
      </c>
      <c r="C36" s="7" t="s">
        <v>114</v>
      </c>
      <c r="D36" s="7">
        <v>34</v>
      </c>
      <c r="E36" s="7">
        <v>69</v>
      </c>
      <c r="F36" s="7">
        <f>ROUND(31/E36,3)</f>
        <v>0.44900000000000001</v>
      </c>
      <c r="G36" s="7">
        <f>ROUND(53/E36,3)</f>
        <v>0.76800000000000002</v>
      </c>
      <c r="H36" s="7">
        <f>ROUND(208/E36,3)</f>
        <v>3.0139999999999998</v>
      </c>
      <c r="I36" s="7">
        <f>ROUND(50/E36,3)</f>
        <v>0.72499999999999998</v>
      </c>
      <c r="J36" s="7">
        <f>ROUND(35/E36,3)</f>
        <v>0.50700000000000001</v>
      </c>
      <c r="K36" s="7">
        <f>8*F36+6*G36+1*H36+1*J36+0.5*I36</f>
        <v>12.083500000000001</v>
      </c>
      <c r="L36" s="7">
        <f>ROUND(1378.2333333333/E36,3)</f>
        <v>19.974</v>
      </c>
      <c r="M36" s="7">
        <f>ROUND(32/E36,3)</f>
        <v>0.46400000000000002</v>
      </c>
      <c r="N36" s="7" t="s">
        <v>177</v>
      </c>
      <c r="O36" s="7" t="s">
        <v>178</v>
      </c>
      <c r="P36" s="7">
        <f>ROUND(334/E36,3)</f>
        <v>4.8410000000000002</v>
      </c>
      <c r="Q36" s="7">
        <f>ROUND(272/E36,3)</f>
        <v>3.9420000000000002</v>
      </c>
      <c r="R36" s="7">
        <f>ROUND(210/E36,3)</f>
        <v>3.0430000000000001</v>
      </c>
      <c r="S36" s="7">
        <f>ROUND(104/E36,3)</f>
        <v>1.5069999999999999</v>
      </c>
      <c r="T36" s="7">
        <f>ROUND(24.2/E36,3)</f>
        <v>0.35099999999999998</v>
      </c>
      <c r="U36" s="7">
        <f>ROUND(54/E36,3)</f>
        <v>0.78300000000000003</v>
      </c>
      <c r="V36" s="7">
        <f>ROUND(34/E36,3)</f>
        <v>0.49299999999999999</v>
      </c>
      <c r="W36" s="7">
        <f>ROUND(26.02/E36,3)</f>
        <v>0.377</v>
      </c>
      <c r="X36" s="7">
        <v>0.6</v>
      </c>
      <c r="Y36" s="7">
        <v>0.6</v>
      </c>
      <c r="Z36" s="7">
        <v>0.59</v>
      </c>
      <c r="AA36" s="7">
        <f>ROUND(86.95/E36,3)</f>
        <v>1.26</v>
      </c>
      <c r="AB36" s="7">
        <f>ROUND(31/E36,3)</f>
        <v>0.44900000000000001</v>
      </c>
      <c r="AC36" s="7">
        <v>8471675</v>
      </c>
    </row>
    <row r="37" spans="1:29" ht="15" customHeight="1" x14ac:dyDescent="0.2">
      <c r="A37" s="7" t="s">
        <v>179</v>
      </c>
      <c r="B37" s="7" t="s">
        <v>55</v>
      </c>
      <c r="C37" s="7" t="s">
        <v>180</v>
      </c>
      <c r="D37" s="7">
        <v>30</v>
      </c>
      <c r="E37" s="7">
        <v>78</v>
      </c>
      <c r="F37" s="7">
        <f>ROUND(21/E37,3)</f>
        <v>0.26900000000000002</v>
      </c>
      <c r="G37" s="7">
        <f>ROUND(37/E37,3)</f>
        <v>0.47399999999999998</v>
      </c>
      <c r="H37" s="7">
        <f>ROUND(168/E37,3)</f>
        <v>2.1539999999999999</v>
      </c>
      <c r="I37" s="7">
        <f>ROUND(20/E37,3)</f>
        <v>0.25600000000000001</v>
      </c>
      <c r="J37" s="7">
        <f>ROUND(35/E37,3)</f>
        <v>0.44900000000000001</v>
      </c>
      <c r="K37" s="7">
        <f>8*F37+6*G37+1*H37+1*J37+0.5*I37</f>
        <v>7.7270000000000003</v>
      </c>
      <c r="L37" s="7">
        <f>ROUND(1487.0666666667/E37,3)</f>
        <v>19.065000000000001</v>
      </c>
      <c r="M37" s="7">
        <f>ROUND(12/E37,3)</f>
        <v>0.154</v>
      </c>
      <c r="N37" s="7" t="s">
        <v>181</v>
      </c>
      <c r="O37" s="7" t="s">
        <v>162</v>
      </c>
      <c r="P37" s="7">
        <f>ROUND(252/E37,3)</f>
        <v>3.2309999999999999</v>
      </c>
      <c r="Q37" s="7">
        <f>ROUND(215/E37,3)</f>
        <v>2.7559999999999998</v>
      </c>
      <c r="R37" s="7">
        <f>ROUND(194/E37,3)</f>
        <v>2.4870000000000001</v>
      </c>
      <c r="S37" s="7">
        <f>ROUND(89/E37,3)</f>
        <v>1.141</v>
      </c>
      <c r="T37" s="7">
        <f>ROUND(21.26/E37,3)</f>
        <v>0.27300000000000002</v>
      </c>
      <c r="U37" s="7">
        <f>ROUND(26/E37,3)</f>
        <v>0.33300000000000002</v>
      </c>
      <c r="V37" s="7">
        <f>ROUND(50/E37,3)</f>
        <v>0.64100000000000001</v>
      </c>
      <c r="W37" s="7">
        <f>ROUND(23.2/E37,3)</f>
        <v>0.29699999999999999</v>
      </c>
      <c r="X37" s="7">
        <v>0.52</v>
      </c>
      <c r="Y37" s="7">
        <v>0.51</v>
      </c>
      <c r="Z37" s="7">
        <v>0.51</v>
      </c>
      <c r="AA37" s="7">
        <f>ROUND(58.8/E37,3)</f>
        <v>0.754</v>
      </c>
      <c r="AB37" s="7">
        <f>ROUND(23/E37,3)</f>
        <v>0.29499999999999998</v>
      </c>
      <c r="AC37" s="7">
        <v>8475158</v>
      </c>
    </row>
    <row r="38" spans="1:29" ht="15" customHeight="1" x14ac:dyDescent="0.2">
      <c r="A38" s="7" t="s">
        <v>182</v>
      </c>
      <c r="B38" s="7" t="s">
        <v>60</v>
      </c>
      <c r="D38" s="7">
        <v>18</v>
      </c>
      <c r="K38" s="7"/>
      <c r="AC38" s="7">
        <v>8482699</v>
      </c>
    </row>
    <row r="39" spans="1:29" ht="15" customHeight="1" x14ac:dyDescent="0.2">
      <c r="A39" s="7" t="s">
        <v>183</v>
      </c>
      <c r="B39" s="7" t="s">
        <v>60</v>
      </c>
      <c r="C39" s="7" t="s">
        <v>184</v>
      </c>
      <c r="D39" s="7">
        <v>25</v>
      </c>
      <c r="E39" s="7">
        <v>78</v>
      </c>
      <c r="F39" s="7">
        <f>ROUND(35/E39,3)</f>
        <v>0.44900000000000001</v>
      </c>
      <c r="G39" s="7">
        <f>ROUND(19/E39,3)</f>
        <v>0.24399999999999999</v>
      </c>
      <c r="H39" s="7">
        <f>ROUND(247/E39,3)</f>
        <v>3.1669999999999998</v>
      </c>
      <c r="I39" s="7">
        <f>ROUND(111/E39,3)</f>
        <v>1.423</v>
      </c>
      <c r="J39" s="7">
        <f>ROUND(9/E39,3)</f>
        <v>0.115</v>
      </c>
      <c r="K39" s="7">
        <f>8*F39+6*G39+1*H39+1*J39+0.5*I39</f>
        <v>9.0494999999999983</v>
      </c>
      <c r="L39" s="7">
        <f>ROUND(1449.5333333333/E39,3)</f>
        <v>18.584</v>
      </c>
      <c r="M39" s="7">
        <f>ROUND(46/E39,3)</f>
        <v>0.59</v>
      </c>
      <c r="N39" s="7" t="s">
        <v>185</v>
      </c>
      <c r="O39" s="7" t="s">
        <v>158</v>
      </c>
      <c r="P39" s="7">
        <f>ROUND(443/E39,3)</f>
        <v>5.6790000000000003</v>
      </c>
      <c r="Q39" s="7">
        <f>ROUND(331/E39,3)</f>
        <v>4.2439999999999998</v>
      </c>
      <c r="R39" s="7">
        <f>ROUND(240/E39,3)</f>
        <v>3.077</v>
      </c>
      <c r="S39" s="7">
        <f>ROUND(96/E39,3)</f>
        <v>1.2310000000000001</v>
      </c>
      <c r="T39" s="7">
        <f>ROUND(28.1/E39,3)</f>
        <v>0.36</v>
      </c>
      <c r="U39" s="7">
        <f>ROUND(43/E39,3)</f>
        <v>0.55100000000000005</v>
      </c>
      <c r="V39" s="7">
        <f>ROUND(34/E39,3)</f>
        <v>0.436</v>
      </c>
      <c r="W39" s="7">
        <f>ROUND(30.25/E39,3)</f>
        <v>0.38800000000000001</v>
      </c>
      <c r="X39" s="7">
        <v>0.53</v>
      </c>
      <c r="Y39" s="7">
        <v>0.56999999999999995</v>
      </c>
      <c r="Z39" s="7">
        <v>0.56000000000000005</v>
      </c>
      <c r="AA39" s="7">
        <f>ROUND(65.63/E39,3)</f>
        <v>0.84099999999999997</v>
      </c>
      <c r="AB39" s="7">
        <f>ROUND(35/E39,3)</f>
        <v>0.44900000000000001</v>
      </c>
      <c r="AC39" s="7">
        <v>8477960</v>
      </c>
    </row>
    <row r="40" spans="1:29" ht="15" customHeight="1" x14ac:dyDescent="0.2">
      <c r="A40" s="7" t="s">
        <v>186</v>
      </c>
      <c r="B40" s="7" t="s">
        <v>92</v>
      </c>
      <c r="D40" s="7">
        <v>17</v>
      </c>
      <c r="K40" s="7"/>
      <c r="AC40" s="7">
        <v>8483515</v>
      </c>
    </row>
    <row r="41" spans="1:29" ht="15" customHeight="1" x14ac:dyDescent="0.2">
      <c r="A41" s="7" t="s">
        <v>187</v>
      </c>
      <c r="B41" s="7" t="s">
        <v>60</v>
      </c>
      <c r="C41" s="7" t="s">
        <v>102</v>
      </c>
      <c r="D41" s="7">
        <v>29</v>
      </c>
      <c r="E41" s="7">
        <v>37</v>
      </c>
      <c r="F41" s="7">
        <f>ROUND(9/E41,3)</f>
        <v>0.24299999999999999</v>
      </c>
      <c r="G41" s="7">
        <f>ROUND(21/E41,3)</f>
        <v>0.56799999999999995</v>
      </c>
      <c r="H41" s="7">
        <f>ROUND(71/E41,3)</f>
        <v>1.919</v>
      </c>
      <c r="I41" s="7">
        <f>ROUND(19/E41,3)</f>
        <v>0.51400000000000001</v>
      </c>
      <c r="J41" s="7">
        <f>ROUND(23/E41,3)</f>
        <v>0.622</v>
      </c>
      <c r="K41" s="7">
        <f t="shared" ref="K41:K47" si="3">8*F41+6*G41+1*H41+1*J41+0.5*I41</f>
        <v>8.1499999999999986</v>
      </c>
      <c r="L41" s="7">
        <f>ROUND(678.7/E41,3)</f>
        <v>18.343</v>
      </c>
      <c r="M41" s="7">
        <f>ROUND(8/E41,3)</f>
        <v>0.216</v>
      </c>
      <c r="N41" s="7" t="s">
        <v>188</v>
      </c>
      <c r="O41" s="7" t="s">
        <v>189</v>
      </c>
      <c r="P41" s="7">
        <f>ROUND(118/E41,3)</f>
        <v>3.1890000000000001</v>
      </c>
      <c r="Q41" s="7">
        <f>ROUND(94/E41,3)</f>
        <v>2.5409999999999999</v>
      </c>
      <c r="R41" s="7">
        <f>ROUND(84/E41,3)</f>
        <v>2.27</v>
      </c>
      <c r="S41" s="7">
        <f>ROUND(42/E41,3)</f>
        <v>1.135</v>
      </c>
      <c r="T41" s="7">
        <f>ROUND(11.11/E41,3)</f>
        <v>0.3</v>
      </c>
      <c r="U41" s="7">
        <f>ROUND(29/E41,3)</f>
        <v>0.78400000000000003</v>
      </c>
      <c r="V41" s="7">
        <f>ROUND(56/E41,3)</f>
        <v>1.514</v>
      </c>
      <c r="W41" s="7">
        <f>ROUND(11.04/E41,3)</f>
        <v>0.29799999999999999</v>
      </c>
      <c r="X41" s="7">
        <v>0.56999999999999995</v>
      </c>
      <c r="Y41" s="7">
        <v>0.55000000000000004</v>
      </c>
      <c r="Z41" s="7">
        <v>0.56999999999999995</v>
      </c>
      <c r="AA41" s="7">
        <f>ROUND(30.55/E41,3)</f>
        <v>0.82599999999999996</v>
      </c>
      <c r="AB41" s="7">
        <f>ROUND(18/E41,3)</f>
        <v>0.48599999999999999</v>
      </c>
      <c r="AC41" s="7">
        <v>8475913</v>
      </c>
    </row>
    <row r="42" spans="1:29" ht="15" customHeight="1" x14ac:dyDescent="0.2">
      <c r="A42" s="7" t="s">
        <v>190</v>
      </c>
      <c r="B42" s="7" t="s">
        <v>55</v>
      </c>
      <c r="C42" s="7" t="s">
        <v>191</v>
      </c>
      <c r="D42" s="7">
        <v>24</v>
      </c>
      <c r="E42" s="7">
        <v>73</v>
      </c>
      <c r="F42" s="7">
        <f>ROUND(15/E42,3)</f>
        <v>0.20499999999999999</v>
      </c>
      <c r="G42" s="7">
        <f>ROUND(44/E42,3)</f>
        <v>0.60299999999999998</v>
      </c>
      <c r="H42" s="7">
        <f>ROUND(161/E42,3)</f>
        <v>2.2050000000000001</v>
      </c>
      <c r="I42" s="7">
        <f>ROUND(36/E42,3)</f>
        <v>0.49299999999999999</v>
      </c>
      <c r="J42" s="7">
        <f>ROUND(16/E42,3)</f>
        <v>0.219</v>
      </c>
      <c r="K42" s="7">
        <f t="shared" si="3"/>
        <v>7.9285000000000005</v>
      </c>
      <c r="L42" s="7">
        <f>ROUND(1315.4333333333/E42,3)</f>
        <v>18.02</v>
      </c>
      <c r="M42" s="7">
        <f>ROUND(18/E42,3)</f>
        <v>0.247</v>
      </c>
      <c r="N42" s="7" t="s">
        <v>192</v>
      </c>
      <c r="O42" s="7" t="s">
        <v>193</v>
      </c>
      <c r="P42" s="7">
        <f>ROUND(252/E42,3)</f>
        <v>3.452</v>
      </c>
      <c r="Q42" s="7">
        <f>ROUND(208/E42,3)</f>
        <v>2.8490000000000002</v>
      </c>
      <c r="R42" s="7">
        <f>ROUND(156/E42,3)</f>
        <v>2.137</v>
      </c>
      <c r="S42" s="7">
        <f>ROUND(68/E42,3)</f>
        <v>0.93200000000000005</v>
      </c>
      <c r="T42" s="7">
        <f>ROUND(16.79/E42,3)</f>
        <v>0.23</v>
      </c>
      <c r="U42" s="7">
        <f>ROUND(82/E42,3)</f>
        <v>1.123</v>
      </c>
      <c r="V42" s="7">
        <f>ROUND(43/E42,3)</f>
        <v>0.58899999999999997</v>
      </c>
      <c r="W42" s="7">
        <f>ROUND(15.65/E42,3)</f>
        <v>0.214</v>
      </c>
      <c r="X42" s="7">
        <v>0.53</v>
      </c>
      <c r="Y42" s="7">
        <v>0.55000000000000004</v>
      </c>
      <c r="Z42" s="7">
        <v>0.54</v>
      </c>
      <c r="AA42" s="7">
        <f>ROUND(51.66/E42,3)</f>
        <v>0.70799999999999996</v>
      </c>
      <c r="AB42" s="7">
        <f>ROUND(16/E42,3)</f>
        <v>0.219</v>
      </c>
      <c r="AC42" s="7">
        <v>8478445</v>
      </c>
    </row>
    <row r="43" spans="1:29" ht="15" customHeight="1" x14ac:dyDescent="0.2">
      <c r="A43" s="7" t="s">
        <v>195</v>
      </c>
      <c r="B43" s="7" t="s">
        <v>60</v>
      </c>
      <c r="C43" s="7" t="s">
        <v>135</v>
      </c>
      <c r="D43" s="7">
        <v>23</v>
      </c>
      <c r="E43" s="7">
        <v>46</v>
      </c>
      <c r="F43" s="7">
        <f>ROUND(17/E43,3)</f>
        <v>0.37</v>
      </c>
      <c r="G43" s="7">
        <f>ROUND(27/E43,3)</f>
        <v>0.58699999999999997</v>
      </c>
      <c r="H43" s="7">
        <f>ROUND(111/E43,3)</f>
        <v>2.4129999999999998</v>
      </c>
      <c r="I43" s="7">
        <f>ROUND(89/E43,3)</f>
        <v>1.9350000000000001</v>
      </c>
      <c r="J43" s="7">
        <f>ROUND(15/E43,3)</f>
        <v>0.32600000000000001</v>
      </c>
      <c r="K43" s="7">
        <f t="shared" si="3"/>
        <v>10.188499999999999</v>
      </c>
      <c r="L43" s="7">
        <f>ROUND(870.71666666667/E43,3)</f>
        <v>18.928999999999998</v>
      </c>
      <c r="M43" s="7">
        <f>ROUND(32/E43,3)</f>
        <v>0.69599999999999995</v>
      </c>
      <c r="N43" s="7" t="s">
        <v>196</v>
      </c>
      <c r="O43" s="7" t="s">
        <v>197</v>
      </c>
      <c r="P43" s="7">
        <f>ROUND(189/E43,3)</f>
        <v>4.109</v>
      </c>
      <c r="Q43" s="7">
        <f>ROUND(149/E43,3)</f>
        <v>3.2389999999999999</v>
      </c>
      <c r="R43" s="7">
        <f>ROUND(120/E43,3)</f>
        <v>2.609</v>
      </c>
      <c r="S43" s="7">
        <f>ROUND(51/E43,3)</f>
        <v>1.109</v>
      </c>
      <c r="T43" s="7">
        <f>ROUND(12.14/E43,3)</f>
        <v>0.26400000000000001</v>
      </c>
      <c r="U43" s="7">
        <f>ROUND(30/E43,3)</f>
        <v>0.65200000000000002</v>
      </c>
      <c r="V43" s="7">
        <f>ROUND(21/E43,3)</f>
        <v>0.45700000000000002</v>
      </c>
      <c r="W43" s="7">
        <f>ROUND(11.66/E43,3)</f>
        <v>0.253</v>
      </c>
      <c r="X43" s="7">
        <v>0.56000000000000005</v>
      </c>
      <c r="Y43" s="7">
        <v>0.55000000000000004</v>
      </c>
      <c r="Z43" s="7">
        <v>0.55000000000000004</v>
      </c>
      <c r="AA43" s="7">
        <f>ROUND(39.4/E43,3)</f>
        <v>0.85699999999999998</v>
      </c>
      <c r="AB43" s="7">
        <f>ROUND(5/E43,3)</f>
        <v>0.109</v>
      </c>
      <c r="AC43" s="7">
        <v>8480208</v>
      </c>
    </row>
    <row r="44" spans="1:29" ht="15" customHeight="1" x14ac:dyDescent="0.2">
      <c r="A44" s="7" t="s">
        <v>198</v>
      </c>
      <c r="B44" s="7" t="s">
        <v>55</v>
      </c>
      <c r="C44" s="7" t="s">
        <v>146</v>
      </c>
      <c r="D44" s="7">
        <v>31</v>
      </c>
      <c r="E44" s="7">
        <v>79</v>
      </c>
      <c r="F44" s="7">
        <f>ROUND(27/E44,3)</f>
        <v>0.34200000000000003</v>
      </c>
      <c r="G44" s="7">
        <f>ROUND(49/E44,3)</f>
        <v>0.62</v>
      </c>
      <c r="H44" s="7">
        <f>ROUND(237/E44,3)</f>
        <v>3</v>
      </c>
      <c r="I44" s="7">
        <f>ROUND(90/E44,3)</f>
        <v>1.139</v>
      </c>
      <c r="J44" s="7">
        <f>ROUND(43/E44,3)</f>
        <v>0.54400000000000004</v>
      </c>
      <c r="K44" s="7">
        <f t="shared" si="3"/>
        <v>10.5695</v>
      </c>
      <c r="L44" s="7">
        <f>ROUND(1427.5166666667/E44,3)</f>
        <v>18.07</v>
      </c>
      <c r="M44" s="7">
        <f>ROUND(32/E44,3)</f>
        <v>0.40500000000000003</v>
      </c>
      <c r="N44" s="7" t="s">
        <v>199</v>
      </c>
      <c r="O44" s="7" t="s">
        <v>200</v>
      </c>
      <c r="P44" s="7">
        <f>ROUND(429/E44,3)</f>
        <v>5.43</v>
      </c>
      <c r="Q44" s="7">
        <f>ROUND(347/E44,3)</f>
        <v>4.3920000000000003</v>
      </c>
      <c r="R44" s="7">
        <f>ROUND(320/E44,3)</f>
        <v>4.0510000000000002</v>
      </c>
      <c r="S44" s="7">
        <f>ROUND(160/E44,3)</f>
        <v>2.0249999999999999</v>
      </c>
      <c r="T44" s="7">
        <f>ROUND(33.89/E44,3)</f>
        <v>0.42899999999999999</v>
      </c>
      <c r="U44" s="7">
        <f>ROUND(65/E44,3)</f>
        <v>0.82299999999999995</v>
      </c>
      <c r="V44" s="7">
        <f>ROUND(40/E44,3)</f>
        <v>0.50600000000000001</v>
      </c>
      <c r="W44" s="7">
        <f>ROUND(33.38/E44,3)</f>
        <v>0.42299999999999999</v>
      </c>
      <c r="X44" s="7">
        <v>0.62</v>
      </c>
      <c r="Y44" s="7">
        <v>0.6</v>
      </c>
      <c r="Z44" s="7">
        <v>0.6</v>
      </c>
      <c r="AA44" s="7">
        <f>ROUND(78.51/E44,3)</f>
        <v>0.99399999999999999</v>
      </c>
      <c r="AB44" s="7">
        <f>ROUND(42/E44,3)</f>
        <v>0.53200000000000003</v>
      </c>
      <c r="AC44" s="7">
        <v>8475166</v>
      </c>
    </row>
    <row r="45" spans="1:29" ht="15" customHeight="1" x14ac:dyDescent="0.2">
      <c r="A45" s="7" t="s">
        <v>201</v>
      </c>
      <c r="B45" s="7" t="s">
        <v>92</v>
      </c>
      <c r="C45" s="7" t="s">
        <v>72</v>
      </c>
      <c r="D45" s="7">
        <v>25</v>
      </c>
      <c r="E45" s="7">
        <v>62</v>
      </c>
      <c r="F45" s="7">
        <f>ROUND(28/E45,3)</f>
        <v>0.45200000000000001</v>
      </c>
      <c r="G45" s="7">
        <f>ROUND(27/E45,3)</f>
        <v>0.435</v>
      </c>
      <c r="H45" s="7">
        <f>ROUND(245/E45,3)</f>
        <v>3.952</v>
      </c>
      <c r="I45" s="7">
        <f>ROUND(32/E45,3)</f>
        <v>0.51600000000000001</v>
      </c>
      <c r="J45" s="7">
        <f>ROUND(22/E45,3)</f>
        <v>0.35499999999999998</v>
      </c>
      <c r="K45" s="7">
        <f t="shared" si="3"/>
        <v>10.791</v>
      </c>
      <c r="L45" s="7">
        <f>ROUND(1120.2666666667/E45,3)</f>
        <v>18.068999999999999</v>
      </c>
      <c r="M45" s="7">
        <f>ROUND(20/E45,3)</f>
        <v>0.32300000000000001</v>
      </c>
      <c r="N45" s="7" t="s">
        <v>202</v>
      </c>
      <c r="O45" s="7" t="s">
        <v>203</v>
      </c>
      <c r="P45" s="7">
        <f>ROUND(450/E45,3)</f>
        <v>7.258</v>
      </c>
      <c r="Q45" s="7">
        <f>ROUND(342/E45,3)</f>
        <v>5.516</v>
      </c>
      <c r="R45" s="7">
        <f>ROUND(246/E45,3)</f>
        <v>3.968</v>
      </c>
      <c r="S45" s="7">
        <f>ROUND(73/E45,3)</f>
        <v>1.177</v>
      </c>
      <c r="T45" s="7">
        <f>ROUND(22.59/E45,3)</f>
        <v>0.36399999999999999</v>
      </c>
      <c r="U45" s="7">
        <f>ROUND(44/E45,3)</f>
        <v>0.71</v>
      </c>
      <c r="V45" s="7">
        <f>ROUND(41/E45,3)</f>
        <v>0.66100000000000003</v>
      </c>
      <c r="W45" s="7">
        <f>ROUND(22.68/E45,3)</f>
        <v>0.36599999999999999</v>
      </c>
      <c r="X45" s="7">
        <v>0.54</v>
      </c>
      <c r="Y45" s="7">
        <v>0.57999999999999996</v>
      </c>
      <c r="Z45" s="7">
        <v>0.57999999999999996</v>
      </c>
      <c r="AA45" s="7">
        <f>ROUND(70.93/E45,3)</f>
        <v>1.1439999999999999</v>
      </c>
      <c r="AB45" s="7">
        <f>ROUND(17/E45,3)</f>
        <v>0.27400000000000002</v>
      </c>
      <c r="AC45" s="7">
        <v>8477940</v>
      </c>
    </row>
    <row r="46" spans="1:29" ht="15" customHeight="1" x14ac:dyDescent="0.2">
      <c r="A46" s="7" t="s">
        <v>204</v>
      </c>
      <c r="B46" s="7" t="s">
        <v>92</v>
      </c>
      <c r="C46" s="7" t="s">
        <v>153</v>
      </c>
      <c r="D46" s="7">
        <v>23</v>
      </c>
      <c r="E46" s="7">
        <v>76</v>
      </c>
      <c r="F46" s="7">
        <f>ROUND(26/E46,3)</f>
        <v>0.34200000000000003</v>
      </c>
      <c r="G46" s="7">
        <f>ROUND(47/E46,3)</f>
        <v>0.61799999999999999</v>
      </c>
      <c r="H46" s="7">
        <f>ROUND(197/E46,3)</f>
        <v>2.5920000000000001</v>
      </c>
      <c r="I46" s="7">
        <f>ROUND(26/E46,3)</f>
        <v>0.34200000000000003</v>
      </c>
      <c r="J46" s="7">
        <f>ROUND(15/E46,3)</f>
        <v>0.19700000000000001</v>
      </c>
      <c r="K46" s="7">
        <f t="shared" si="3"/>
        <v>9.4039999999999999</v>
      </c>
      <c r="L46" s="7">
        <f>ROUND(1324.15/E46,3)</f>
        <v>17.422999999999998</v>
      </c>
      <c r="M46" s="7">
        <f>ROUND(16/E46,3)</f>
        <v>0.21099999999999999</v>
      </c>
      <c r="N46" s="7" t="s">
        <v>205</v>
      </c>
      <c r="O46" s="7" t="s">
        <v>206</v>
      </c>
      <c r="P46" s="7">
        <f>ROUND(324/E46,3)</f>
        <v>4.2629999999999999</v>
      </c>
      <c r="Q46" s="7">
        <f>ROUND(263/E46,3)</f>
        <v>3.4609999999999999</v>
      </c>
      <c r="R46" s="7">
        <f>ROUND(188/E46,3)</f>
        <v>2.4740000000000002</v>
      </c>
      <c r="S46" s="7">
        <f>ROUND(75/E46,3)</f>
        <v>0.98699999999999999</v>
      </c>
      <c r="T46" s="7">
        <f>ROUND(17.75/E46,3)</f>
        <v>0.23400000000000001</v>
      </c>
      <c r="U46" s="7">
        <f>ROUND(46/E46,3)</f>
        <v>0.60499999999999998</v>
      </c>
      <c r="V46" s="7">
        <f>ROUND(29/E46,3)</f>
        <v>0.38200000000000001</v>
      </c>
      <c r="W46" s="7">
        <f>ROUND(19.14/E46,3)</f>
        <v>0.252</v>
      </c>
      <c r="X46" s="7">
        <v>0.59</v>
      </c>
      <c r="Y46" s="7">
        <v>0.59</v>
      </c>
      <c r="Z46" s="7">
        <v>0.6</v>
      </c>
      <c r="AA46" s="7">
        <f>ROUND(76.49/E46,3)</f>
        <v>1.006</v>
      </c>
      <c r="AB46" s="7">
        <f>ROUND(18/E46,3)</f>
        <v>0.23699999999999999</v>
      </c>
      <c r="AC46" s="7">
        <v>8479407</v>
      </c>
    </row>
    <row r="47" spans="1:29" ht="15" customHeight="1" x14ac:dyDescent="0.2">
      <c r="A47" s="7" t="s">
        <v>208</v>
      </c>
      <c r="B47" s="7" t="s">
        <v>60</v>
      </c>
      <c r="C47" s="7" t="s">
        <v>80</v>
      </c>
      <c r="D47" s="7">
        <v>21</v>
      </c>
      <c r="E47" s="7">
        <v>78</v>
      </c>
      <c r="F47" s="7">
        <f>ROUND(30/E47,3)</f>
        <v>0.38500000000000001</v>
      </c>
      <c r="G47" s="7">
        <f>ROUND(39/E47,3)</f>
        <v>0.5</v>
      </c>
      <c r="H47" s="7">
        <f>ROUND(249/E47,3)</f>
        <v>3.1920000000000002</v>
      </c>
      <c r="I47" s="7">
        <f>ROUND(189/E47,3)</f>
        <v>2.423</v>
      </c>
      <c r="J47" s="7">
        <f>ROUND(14/E47,3)</f>
        <v>0.17899999999999999</v>
      </c>
      <c r="K47" s="7">
        <f t="shared" si="3"/>
        <v>10.662500000000001</v>
      </c>
      <c r="L47" s="7">
        <f>ROUND(1346.2666666667/E47,3)</f>
        <v>17.260000000000002</v>
      </c>
      <c r="M47" s="7">
        <f>ROUND(79/E47,3)</f>
        <v>1.0129999999999999</v>
      </c>
      <c r="N47" s="7" t="s">
        <v>209</v>
      </c>
      <c r="O47" s="7" t="s">
        <v>210</v>
      </c>
      <c r="P47" s="7">
        <f>ROUND(467/E47,3)</f>
        <v>5.9870000000000001</v>
      </c>
      <c r="Q47" s="7">
        <f>ROUND(363/E47,3)</f>
        <v>4.6539999999999999</v>
      </c>
      <c r="R47" s="7">
        <f>ROUND(264/E47,3)</f>
        <v>3.3849999999999998</v>
      </c>
      <c r="S47" s="7">
        <f>ROUND(107/E47,3)</f>
        <v>1.3720000000000001</v>
      </c>
      <c r="T47" s="7">
        <f>ROUND(30.96/E47,3)</f>
        <v>0.39700000000000002</v>
      </c>
      <c r="U47" s="7">
        <f>ROUND(72/E47,3)</f>
        <v>0.92300000000000004</v>
      </c>
      <c r="V47" s="7">
        <f>ROUND(44/E47,3)</f>
        <v>0.56399999999999995</v>
      </c>
      <c r="W47" s="7">
        <f>ROUND(31.74/E47,3)</f>
        <v>0.40699999999999997</v>
      </c>
      <c r="X47" s="7">
        <v>0.63</v>
      </c>
      <c r="Y47" s="7">
        <v>0.62</v>
      </c>
      <c r="Z47" s="7">
        <v>0.61</v>
      </c>
      <c r="AA47" s="7">
        <f>ROUND(79.62/E47,3)</f>
        <v>1.0209999999999999</v>
      </c>
      <c r="AB47" s="7">
        <f>ROUND(38/E47,3)</f>
        <v>0.48699999999999999</v>
      </c>
      <c r="AC47" s="7">
        <v>8480830</v>
      </c>
    </row>
    <row r="48" spans="1:29" ht="15" customHeight="1" x14ac:dyDescent="0.2">
      <c r="A48" s="7" t="s">
        <v>211</v>
      </c>
      <c r="B48" s="7" t="s">
        <v>92</v>
      </c>
      <c r="D48" s="7">
        <v>17</v>
      </c>
      <c r="K48" s="7"/>
      <c r="AC48" s="7">
        <v>8483445</v>
      </c>
    </row>
    <row r="49" spans="1:29" ht="15" customHeight="1" x14ac:dyDescent="0.2">
      <c r="A49" s="7" t="s">
        <v>212</v>
      </c>
      <c r="B49" s="7" t="s">
        <v>55</v>
      </c>
      <c r="C49" s="7" t="s">
        <v>213</v>
      </c>
      <c r="D49" s="7">
        <v>23</v>
      </c>
      <c r="E49" s="7">
        <v>73</v>
      </c>
      <c r="F49" s="7">
        <f>ROUND(7/E49,3)</f>
        <v>9.6000000000000002E-2</v>
      </c>
      <c r="G49" s="7">
        <f>ROUND(15/E49,3)</f>
        <v>0.20499999999999999</v>
      </c>
      <c r="H49" s="7">
        <f>ROUND(97/E49,3)</f>
        <v>1.329</v>
      </c>
      <c r="I49" s="7">
        <f>ROUND(55/E49,3)</f>
        <v>0.753</v>
      </c>
      <c r="J49" s="7">
        <f>ROUND(18/E49,3)</f>
        <v>0.247</v>
      </c>
      <c r="K49" s="7">
        <f>8*F49+6*G49+1*H49+1*J49+0.5*I49</f>
        <v>3.9504999999999999</v>
      </c>
      <c r="L49" s="7">
        <f>ROUND(921.26666666667/E49,3)</f>
        <v>12.62</v>
      </c>
      <c r="M49" s="7">
        <f>ROUND(18/E49,3)</f>
        <v>0.247</v>
      </c>
      <c r="N49" s="7" t="s">
        <v>214</v>
      </c>
      <c r="O49" s="7" t="s">
        <v>215</v>
      </c>
      <c r="P49" s="7">
        <f>ROUND(189/E49,3)</f>
        <v>2.589</v>
      </c>
      <c r="Q49" s="7">
        <f>ROUND(142/E49,3)</f>
        <v>1.9450000000000001</v>
      </c>
      <c r="R49" s="7">
        <f>ROUND(108/E49,3)</f>
        <v>1.4790000000000001</v>
      </c>
      <c r="S49" s="7">
        <f>ROUND(40/E49,3)</f>
        <v>0.54800000000000004</v>
      </c>
      <c r="T49" s="7">
        <f>ROUND(9.75/E49,3)</f>
        <v>0.13400000000000001</v>
      </c>
      <c r="U49" s="7">
        <f>ROUND(26/E49,3)</f>
        <v>0.35599999999999998</v>
      </c>
      <c r="V49" s="7">
        <f>ROUND(25/E49,3)</f>
        <v>0.34200000000000003</v>
      </c>
      <c r="W49" s="7">
        <f>ROUND(9.72/E49,3)</f>
        <v>0.13300000000000001</v>
      </c>
      <c r="X49" s="7">
        <v>0.48</v>
      </c>
      <c r="Y49" s="7">
        <v>0.56000000000000005</v>
      </c>
      <c r="Z49" s="7">
        <v>0.54</v>
      </c>
      <c r="AA49" s="7">
        <f>ROUND(26.01/E49,3)</f>
        <v>0.35599999999999998</v>
      </c>
      <c r="AB49" s="7">
        <f>ROUND(7/E49,3)</f>
        <v>9.6000000000000002E-2</v>
      </c>
      <c r="AC49" s="7">
        <v>8479987</v>
      </c>
    </row>
    <row r="50" spans="1:29" ht="15" customHeight="1" x14ac:dyDescent="0.2">
      <c r="A50" s="7" t="s">
        <v>216</v>
      </c>
      <c r="B50" s="7" t="s">
        <v>55</v>
      </c>
      <c r="C50" s="7" t="s">
        <v>184</v>
      </c>
      <c r="D50" s="7">
        <v>22</v>
      </c>
      <c r="E50" s="7">
        <v>25</v>
      </c>
      <c r="F50" s="7">
        <f>ROUND(5/E50,3)</f>
        <v>0.2</v>
      </c>
      <c r="G50" s="7">
        <f>ROUND(2/E50,3)</f>
        <v>0.08</v>
      </c>
      <c r="H50" s="7">
        <f>ROUND(41/E50,3)</f>
        <v>1.64</v>
      </c>
      <c r="I50" s="7">
        <f>ROUND(6/E50,3)</f>
        <v>0.24</v>
      </c>
      <c r="J50" s="7">
        <f>ROUND(5/E50,3)</f>
        <v>0.2</v>
      </c>
      <c r="K50" s="7">
        <f>8*F50+6*G50+1*H50+1*J50+0.5*I50</f>
        <v>4.04</v>
      </c>
      <c r="L50" s="7">
        <f>ROUND(337.85/E50,3)</f>
        <v>13.513999999999999</v>
      </c>
      <c r="M50" s="7">
        <f>ROUND(8/E50,3)</f>
        <v>0.32</v>
      </c>
      <c r="N50" s="7" t="s">
        <v>217</v>
      </c>
      <c r="O50" s="7" t="s">
        <v>218</v>
      </c>
      <c r="P50" s="7">
        <f>ROUND(60/E50,3)</f>
        <v>2.4</v>
      </c>
      <c r="Q50" s="7">
        <f>ROUND(52/E50,3)</f>
        <v>2.08</v>
      </c>
      <c r="R50" s="7">
        <f>ROUND(43/E50,3)</f>
        <v>1.72</v>
      </c>
      <c r="S50" s="7">
        <f>ROUND(23/E50,3)</f>
        <v>0.92</v>
      </c>
      <c r="T50" s="7">
        <f>ROUND(4.36/E50,3)</f>
        <v>0.17399999999999999</v>
      </c>
      <c r="U50" s="7">
        <f>ROUND(5/E50,3)</f>
        <v>0.2</v>
      </c>
      <c r="V50" s="7">
        <f>ROUND(6/E50,3)</f>
        <v>0.24</v>
      </c>
      <c r="W50" s="7">
        <f>ROUND(4.15/E50,3)</f>
        <v>0.16600000000000001</v>
      </c>
      <c r="X50" s="7">
        <v>0.5</v>
      </c>
      <c r="Y50" s="7">
        <v>0.5</v>
      </c>
      <c r="Z50" s="7">
        <v>0.52</v>
      </c>
      <c r="AA50" s="7">
        <f>ROUND(5.51/E50,3)</f>
        <v>0.22</v>
      </c>
      <c r="AB50" s="7">
        <f>ROUND(3/E50,3)</f>
        <v>0.12</v>
      </c>
      <c r="AC50" s="7">
        <v>8480014</v>
      </c>
    </row>
    <row r="51" spans="1:29" ht="15" customHeight="1" x14ac:dyDescent="0.2">
      <c r="A51" s="7" t="s">
        <v>219</v>
      </c>
      <c r="B51" s="7" t="s">
        <v>60</v>
      </c>
      <c r="C51" s="7" t="s">
        <v>220</v>
      </c>
      <c r="D51" s="7">
        <v>24</v>
      </c>
      <c r="E51" s="7">
        <v>79</v>
      </c>
      <c r="F51" s="7">
        <f>ROUND(16/E51,3)</f>
        <v>0.20300000000000001</v>
      </c>
      <c r="G51" s="7">
        <f>ROUND(36/E51,3)</f>
        <v>0.45600000000000002</v>
      </c>
      <c r="H51" s="7">
        <f>ROUND(220/E51,3)</f>
        <v>2.7850000000000001</v>
      </c>
      <c r="I51" s="7">
        <f>ROUND(80/E51,3)</f>
        <v>1.0129999999999999</v>
      </c>
      <c r="J51" s="7">
        <f>ROUND(32/E51,3)</f>
        <v>0.40500000000000003</v>
      </c>
      <c r="K51" s="7">
        <f>8*F51+6*G51+1*H51+1*J51+0.5*I51</f>
        <v>8.0564999999999998</v>
      </c>
      <c r="L51" s="7">
        <f>ROUND(1391.4833333333/E51,3)</f>
        <v>17.614000000000001</v>
      </c>
      <c r="M51" s="7">
        <f>ROUND(77/E51,3)</f>
        <v>0.97499999999999998</v>
      </c>
      <c r="N51" s="7" t="s">
        <v>221</v>
      </c>
      <c r="O51" s="7" t="s">
        <v>222</v>
      </c>
      <c r="P51" s="7">
        <f>ROUND(382/E51,3)</f>
        <v>4.835</v>
      </c>
      <c r="Q51" s="7">
        <f>ROUND(297/E51,3)</f>
        <v>3.7589999999999999</v>
      </c>
      <c r="R51" s="7">
        <f>ROUND(215/E51,3)</f>
        <v>2.722</v>
      </c>
      <c r="S51" s="7">
        <f>ROUND(86/E51,3)</f>
        <v>1.089</v>
      </c>
      <c r="T51" s="7">
        <f>ROUND(22.06/E51,3)</f>
        <v>0.27900000000000003</v>
      </c>
      <c r="U51" s="7">
        <f>ROUND(28/E51,3)</f>
        <v>0.35399999999999998</v>
      </c>
      <c r="V51" s="7">
        <f>ROUND(22/E51,3)</f>
        <v>0.27800000000000002</v>
      </c>
      <c r="W51" s="7">
        <f>ROUND(23.47/E51,3)</f>
        <v>0.29699999999999999</v>
      </c>
      <c r="X51" s="7">
        <v>0.51</v>
      </c>
      <c r="Y51" s="7">
        <v>0.56000000000000005</v>
      </c>
      <c r="Z51" s="7">
        <v>0.55000000000000004</v>
      </c>
      <c r="AA51" s="7">
        <f>ROUND(54.95/E51,3)</f>
        <v>0.69599999999999995</v>
      </c>
      <c r="AB51" s="7">
        <f>ROUND(24/E51,3)</f>
        <v>0.30399999999999999</v>
      </c>
      <c r="AC51" s="7">
        <v>8478439</v>
      </c>
    </row>
    <row r="52" spans="1:29" ht="15" customHeight="1" x14ac:dyDescent="0.2">
      <c r="A52" s="7" t="s">
        <v>224</v>
      </c>
      <c r="B52" s="7" t="s">
        <v>55</v>
      </c>
      <c r="C52" s="7" t="s">
        <v>160</v>
      </c>
      <c r="D52" s="7">
        <v>25</v>
      </c>
      <c r="E52" s="7">
        <v>71</v>
      </c>
      <c r="F52" s="7">
        <f>ROUND(31/E52,3)</f>
        <v>0.437</v>
      </c>
      <c r="G52" s="7">
        <f>ROUND(38/E52,3)</f>
        <v>0.53500000000000003</v>
      </c>
      <c r="H52" s="7">
        <f>ROUND(212/E52,3)</f>
        <v>2.9860000000000002</v>
      </c>
      <c r="I52" s="7">
        <f>ROUND(76/E52,3)</f>
        <v>1.07</v>
      </c>
      <c r="J52" s="7">
        <f>ROUND(22/E52,3)</f>
        <v>0.31</v>
      </c>
      <c r="K52" s="7">
        <f>8*F52+6*G52+1*H52+1*J52+0.5*I52</f>
        <v>10.537000000000001</v>
      </c>
      <c r="L52" s="7">
        <f>ROUND(1395.9333333333/E52,3)</f>
        <v>19.661000000000001</v>
      </c>
      <c r="M52" s="7">
        <f>ROUND(47/E52,3)</f>
        <v>0.66200000000000003</v>
      </c>
      <c r="N52" s="7" t="s">
        <v>225</v>
      </c>
      <c r="O52" s="7" t="s">
        <v>226</v>
      </c>
      <c r="P52" s="7">
        <f>ROUND(385/E52,3)</f>
        <v>5.423</v>
      </c>
      <c r="Q52" s="7">
        <f>ROUND(281/E52,3)</f>
        <v>3.9580000000000002</v>
      </c>
      <c r="R52" s="7">
        <f>ROUND(218/E52,3)</f>
        <v>3.07</v>
      </c>
      <c r="S52" s="7">
        <f>ROUND(83/E52,3)</f>
        <v>1.169</v>
      </c>
      <c r="T52" s="7">
        <f>ROUND(20.84/E52,3)</f>
        <v>0.29399999999999998</v>
      </c>
      <c r="U52" s="7">
        <f>ROUND(42/E52,3)</f>
        <v>0.59199999999999997</v>
      </c>
      <c r="V52" s="7">
        <f>ROUND(38/E52,3)</f>
        <v>0.53500000000000003</v>
      </c>
      <c r="W52" s="7">
        <f>ROUND(23.52/E52,3)</f>
        <v>0.33100000000000002</v>
      </c>
      <c r="X52" s="7">
        <v>0.51</v>
      </c>
      <c r="Y52" s="7">
        <v>0.54</v>
      </c>
      <c r="Z52" s="7">
        <v>0.53</v>
      </c>
      <c r="AA52" s="7">
        <f>ROUND(64.21/E52,3)</f>
        <v>0.90400000000000003</v>
      </c>
      <c r="AB52" s="7">
        <f>ROUND(27/E52,3)</f>
        <v>0.38</v>
      </c>
      <c r="AC52" s="7">
        <v>8477946</v>
      </c>
    </row>
    <row r="53" spans="1:29" ht="15" customHeight="1" x14ac:dyDescent="0.2">
      <c r="A53" s="7" t="s">
        <v>227</v>
      </c>
      <c r="B53" s="7" t="s">
        <v>55</v>
      </c>
      <c r="D53" s="7">
        <v>16</v>
      </c>
      <c r="K53" s="7"/>
      <c r="AC53" s="7">
        <v>8484153</v>
      </c>
    </row>
    <row r="54" spans="1:29" ht="15" customHeight="1" x14ac:dyDescent="0.2">
      <c r="A54" s="7" t="s">
        <v>228</v>
      </c>
      <c r="B54" s="7" t="s">
        <v>60</v>
      </c>
      <c r="D54" s="7">
        <v>21</v>
      </c>
      <c r="K54" s="7"/>
      <c r="AC54" s="7">
        <v>8480893</v>
      </c>
    </row>
    <row r="55" spans="1:29" ht="15" customHeight="1" x14ac:dyDescent="0.2">
      <c r="A55" s="7" t="s">
        <v>229</v>
      </c>
      <c r="B55" s="7" t="s">
        <v>55</v>
      </c>
      <c r="C55" s="7" t="s">
        <v>230</v>
      </c>
      <c r="D55" s="7">
        <v>20</v>
      </c>
      <c r="E55" s="7">
        <v>75</v>
      </c>
      <c r="F55" s="7">
        <f>ROUND(23/E55,3)</f>
        <v>0.307</v>
      </c>
      <c r="G55" s="7">
        <f>ROUND(38/E55,3)</f>
        <v>0.50700000000000001</v>
      </c>
      <c r="H55" s="7">
        <f>ROUND(181/E55,3)</f>
        <v>2.4129999999999998</v>
      </c>
      <c r="I55" s="7">
        <f>ROUND(56/E55,3)</f>
        <v>0.747</v>
      </c>
      <c r="J55" s="7">
        <f>ROUND(23/E55,3)</f>
        <v>0.307</v>
      </c>
      <c r="K55" s="7">
        <f>8*F55+6*G55+1*H55+1*J55+0.5*I55</f>
        <v>8.5914999999999999</v>
      </c>
      <c r="L55" s="7">
        <f>ROUND(1342.9/E55,3)</f>
        <v>17.905000000000001</v>
      </c>
      <c r="M55" s="7">
        <f>ROUND(50/E55,3)</f>
        <v>0.66700000000000004</v>
      </c>
      <c r="N55" s="7" t="s">
        <v>231</v>
      </c>
      <c r="O55" s="7" t="s">
        <v>232</v>
      </c>
      <c r="P55" s="7">
        <f>ROUND(333/E55,3)</f>
        <v>4.4400000000000004</v>
      </c>
      <c r="Q55" s="7">
        <f>ROUND(251/E55,3)</f>
        <v>3.347</v>
      </c>
      <c r="R55" s="7">
        <f>ROUND(182/E55,3)</f>
        <v>2.427</v>
      </c>
      <c r="S55" s="7">
        <f>ROUND(58/E55,3)</f>
        <v>0.77300000000000002</v>
      </c>
      <c r="T55" s="7">
        <f>ROUND(17.17/E55,3)</f>
        <v>0.22900000000000001</v>
      </c>
      <c r="U55" s="7">
        <f>ROUND(71/E55,3)</f>
        <v>0.94699999999999995</v>
      </c>
      <c r="V55" s="7">
        <f>ROUND(40/E55,3)</f>
        <v>0.53300000000000003</v>
      </c>
      <c r="W55" s="7">
        <f>ROUND(16.67/E55,3)</f>
        <v>0.222</v>
      </c>
      <c r="X55" s="7">
        <v>0.52</v>
      </c>
      <c r="Y55" s="7">
        <v>0.56000000000000005</v>
      </c>
      <c r="Z55" s="7">
        <v>0.55000000000000004</v>
      </c>
      <c r="AA55" s="7">
        <f>ROUND(58.22/E55,3)</f>
        <v>0.77600000000000002</v>
      </c>
      <c r="AB55" s="7">
        <f>ROUND(11/E55,3)</f>
        <v>0.14699999999999999</v>
      </c>
      <c r="AC55" s="7">
        <v>8481533</v>
      </c>
    </row>
    <row r="56" spans="1:29" ht="15" customHeight="1" x14ac:dyDescent="0.2">
      <c r="A56" s="7" t="s">
        <v>233</v>
      </c>
      <c r="B56" s="7" t="s">
        <v>55</v>
      </c>
      <c r="C56" s="7" t="s">
        <v>61</v>
      </c>
      <c r="D56" s="7">
        <v>31</v>
      </c>
      <c r="E56" s="7">
        <v>81</v>
      </c>
      <c r="F56" s="7">
        <f>ROUND(42/E56,3)</f>
        <v>0.51900000000000002</v>
      </c>
      <c r="G56" s="7">
        <f>ROUND(64/E56,3)</f>
        <v>0.79</v>
      </c>
      <c r="H56" s="7">
        <f>ROUND(241/E56,3)</f>
        <v>2.9750000000000001</v>
      </c>
      <c r="I56" s="7">
        <f>ROUND(93/E56,3)</f>
        <v>1.1479999999999999</v>
      </c>
      <c r="J56" s="7">
        <f>ROUND(17/E56,3)</f>
        <v>0.21</v>
      </c>
      <c r="K56" s="7">
        <f>8*F56+6*G56+1*H56+1*J56+0.5*I56</f>
        <v>12.651</v>
      </c>
      <c r="L56" s="7">
        <f>ROUND(1495.1833333333/E56,3)</f>
        <v>18.459</v>
      </c>
      <c r="M56" s="7">
        <f>ROUND(36/E56,3)</f>
        <v>0.44400000000000001</v>
      </c>
      <c r="N56" s="7" t="s">
        <v>234</v>
      </c>
      <c r="O56" s="7" t="s">
        <v>235</v>
      </c>
      <c r="P56" s="7">
        <f>ROUND(401/E56,3)</f>
        <v>4.9509999999999996</v>
      </c>
      <c r="Q56" s="7">
        <f>ROUND(323/E56,3)</f>
        <v>3.988</v>
      </c>
      <c r="R56" s="7">
        <f>ROUND(219/E56,3)</f>
        <v>2.7040000000000002</v>
      </c>
      <c r="S56" s="7">
        <f>ROUND(71/E56,3)</f>
        <v>0.877</v>
      </c>
      <c r="T56" s="7">
        <f>ROUND(25.41/E56,3)</f>
        <v>0.314</v>
      </c>
      <c r="U56" s="7">
        <f>ROUND(24/E56,3)</f>
        <v>0.29599999999999999</v>
      </c>
      <c r="V56" s="7">
        <f>ROUND(30/E56,3)</f>
        <v>0.37</v>
      </c>
      <c r="W56" s="7">
        <f>ROUND(26.74/E56,3)</f>
        <v>0.33</v>
      </c>
      <c r="X56" s="7">
        <v>0.57999999999999996</v>
      </c>
      <c r="Y56" s="7">
        <v>0.57999999999999996</v>
      </c>
      <c r="Z56" s="7">
        <v>0.57999999999999996</v>
      </c>
      <c r="AA56" s="7">
        <f>ROUND(97.45/E56,3)</f>
        <v>1.2030000000000001</v>
      </c>
      <c r="AB56" s="7">
        <f>ROUND(21/E56,3)</f>
        <v>0.25900000000000001</v>
      </c>
      <c r="AC56" s="7">
        <v>8474564</v>
      </c>
    </row>
    <row r="57" spans="1:29" ht="15" customHeight="1" x14ac:dyDescent="0.2">
      <c r="A57" s="7" t="s">
        <v>236</v>
      </c>
      <c r="B57" s="7" t="s">
        <v>60</v>
      </c>
      <c r="C57" s="7" t="s">
        <v>138</v>
      </c>
      <c r="D57" s="7">
        <v>25</v>
      </c>
      <c r="E57" s="7">
        <v>50</v>
      </c>
      <c r="F57" s="7">
        <f>ROUND(12/E57,3)</f>
        <v>0.24</v>
      </c>
      <c r="G57" s="7">
        <f>ROUND(26/E57,3)</f>
        <v>0.52</v>
      </c>
      <c r="H57" s="7">
        <f>ROUND(139/E57,3)</f>
        <v>2.78</v>
      </c>
      <c r="I57" s="7">
        <f>ROUND(32/E57,3)</f>
        <v>0.64</v>
      </c>
      <c r="J57" s="7">
        <f>ROUND(46/E57,3)</f>
        <v>0.92</v>
      </c>
      <c r="K57" s="7">
        <f>8*F57+6*G57+1*H57+1*J57+0.5*I57</f>
        <v>9.06</v>
      </c>
      <c r="L57" s="7">
        <f>ROUND(917.35/E57,3)</f>
        <v>18.347000000000001</v>
      </c>
      <c r="M57" s="7">
        <f>ROUND(14/E57,3)</f>
        <v>0.28000000000000003</v>
      </c>
      <c r="N57" s="7" t="s">
        <v>237</v>
      </c>
      <c r="O57" s="7" t="s">
        <v>238</v>
      </c>
      <c r="P57" s="7">
        <f>ROUND(228/E57,3)</f>
        <v>4.5599999999999996</v>
      </c>
      <c r="Q57" s="7">
        <f>ROUND(191/E57,3)</f>
        <v>3.82</v>
      </c>
      <c r="R57" s="7">
        <f>ROUND(138/E57,3)</f>
        <v>2.76</v>
      </c>
      <c r="S57" s="7">
        <f>ROUND(60/E57,3)</f>
        <v>1.2</v>
      </c>
      <c r="T57" s="7">
        <f>ROUND(15.36/E57,3)</f>
        <v>0.307</v>
      </c>
      <c r="U57" s="7">
        <f>ROUND(25/E57,3)</f>
        <v>0.5</v>
      </c>
      <c r="V57" s="7">
        <f>ROUND(40/E57,3)</f>
        <v>0.8</v>
      </c>
      <c r="W57" s="7">
        <f>ROUND(16.46/E57,3)</f>
        <v>0.32900000000000001</v>
      </c>
      <c r="X57" s="7">
        <v>0.56000000000000005</v>
      </c>
      <c r="Y57" s="7">
        <v>0.55000000000000004</v>
      </c>
      <c r="Z57" s="7">
        <v>0.55000000000000004</v>
      </c>
      <c r="AA57" s="7">
        <f>ROUND(40.63/E57,3)</f>
        <v>0.81299999999999994</v>
      </c>
      <c r="AB57" s="7">
        <f>ROUND(16/E57,3)</f>
        <v>0.32</v>
      </c>
      <c r="AC57" s="7">
        <v>8477949</v>
      </c>
    </row>
    <row r="58" spans="1:29" ht="15" customHeight="1" x14ac:dyDescent="0.2">
      <c r="A58" s="7" t="s">
        <v>239</v>
      </c>
      <c r="B58" s="7" t="s">
        <v>55</v>
      </c>
      <c r="C58" s="7" t="s">
        <v>80</v>
      </c>
      <c r="D58" s="7">
        <v>19</v>
      </c>
      <c r="E58" s="7">
        <v>68</v>
      </c>
      <c r="F58" s="7">
        <f>ROUND(17/E58,3)</f>
        <v>0.25</v>
      </c>
      <c r="G58" s="7">
        <f>ROUND(23/E58,3)</f>
        <v>0.33800000000000002</v>
      </c>
      <c r="H58" s="7">
        <f>ROUND(110/E58,3)</f>
        <v>1.6180000000000001</v>
      </c>
      <c r="I58" s="7">
        <f>ROUND(69/E58,3)</f>
        <v>1.0149999999999999</v>
      </c>
      <c r="J58" s="7">
        <f>ROUND(19/E58,3)</f>
        <v>0.27900000000000003</v>
      </c>
      <c r="K58" s="7">
        <f>8*F58+6*G58+1*H58+1*J58+0.5*I58</f>
        <v>6.432500000000001</v>
      </c>
      <c r="L58" s="7">
        <f>ROUND(943.5/E58,3)</f>
        <v>13.875</v>
      </c>
      <c r="M58" s="7">
        <f>ROUND(18/E58,3)</f>
        <v>0.26500000000000001</v>
      </c>
      <c r="N58" s="7" t="s">
        <v>240</v>
      </c>
      <c r="O58" s="7" t="s">
        <v>241</v>
      </c>
      <c r="P58" s="7">
        <f>ROUND(203/E58,3)</f>
        <v>2.9849999999999999</v>
      </c>
      <c r="Q58" s="7">
        <f>ROUND(167/E58,3)</f>
        <v>2.456</v>
      </c>
      <c r="R58" s="7">
        <f>ROUND(141/E58,3)</f>
        <v>2.0739999999999998</v>
      </c>
      <c r="S58" s="7">
        <f>ROUND(71/E58,3)</f>
        <v>1.044</v>
      </c>
      <c r="T58" s="7">
        <f>ROUND(14.91/E58,3)</f>
        <v>0.219</v>
      </c>
      <c r="U58" s="7">
        <f>ROUND(33/E58,3)</f>
        <v>0.48499999999999999</v>
      </c>
      <c r="V58" s="7">
        <f>ROUND(15/E58,3)</f>
        <v>0.221</v>
      </c>
      <c r="W58" s="7">
        <f>ROUND(14.4/E58,3)</f>
        <v>0.21199999999999999</v>
      </c>
      <c r="X58" s="7">
        <v>0.59</v>
      </c>
      <c r="Y58" s="7">
        <v>0.56999999999999995</v>
      </c>
      <c r="Z58" s="7">
        <v>0.56999999999999995</v>
      </c>
      <c r="AA58" s="7">
        <f>ROUND(46.42/E58,3)</f>
        <v>0.68300000000000005</v>
      </c>
      <c r="AB58" s="7">
        <f>ROUND(15/E58,3)</f>
        <v>0.221</v>
      </c>
      <c r="AC58" s="7">
        <v>8482093</v>
      </c>
    </row>
    <row r="59" spans="1:29" ht="15" customHeight="1" x14ac:dyDescent="0.2">
      <c r="A59" s="7" t="s">
        <v>243</v>
      </c>
      <c r="B59" s="7" t="s">
        <v>55</v>
      </c>
      <c r="C59" s="7" t="s">
        <v>153</v>
      </c>
      <c r="D59" s="7">
        <v>22</v>
      </c>
      <c r="E59" s="7">
        <v>70</v>
      </c>
      <c r="F59" s="7">
        <f>ROUND(21/E59,3)</f>
        <v>0.3</v>
      </c>
      <c r="G59" s="7">
        <f>ROUND(39/E59,3)</f>
        <v>0.55700000000000005</v>
      </c>
      <c r="H59" s="7">
        <f>ROUND(153/E59,3)</f>
        <v>2.1859999999999999</v>
      </c>
      <c r="I59" s="7">
        <f>ROUND(50/E59,3)</f>
        <v>0.71399999999999997</v>
      </c>
      <c r="J59" s="7">
        <f>ROUND(22/E59,3)</f>
        <v>0.314</v>
      </c>
      <c r="K59" s="7">
        <f>8*F59+6*G59+1*H59+1*J59+0.5*I59</f>
        <v>8.5990000000000002</v>
      </c>
      <c r="L59" s="7">
        <f>ROUND(1353.4/E59,3)</f>
        <v>19.334</v>
      </c>
      <c r="M59" s="7">
        <f>ROUND(17/E59,3)</f>
        <v>0.24299999999999999</v>
      </c>
      <c r="N59" s="7" t="s">
        <v>244</v>
      </c>
      <c r="O59" s="7" t="s">
        <v>245</v>
      </c>
      <c r="P59" s="7">
        <f>ROUND(270/E59,3)</f>
        <v>3.8570000000000002</v>
      </c>
      <c r="Q59" s="7">
        <f>ROUND(214/E59,3)</f>
        <v>3.0569999999999999</v>
      </c>
      <c r="R59" s="7">
        <f>ROUND(189/E59,3)</f>
        <v>2.7</v>
      </c>
      <c r="S59" s="7">
        <f>ROUND(89/E59,3)</f>
        <v>1.2709999999999999</v>
      </c>
      <c r="T59" s="7">
        <f>ROUND(18.81/E59,3)</f>
        <v>0.26900000000000002</v>
      </c>
      <c r="U59" s="7">
        <f>ROUND(31/E59,3)</f>
        <v>0.443</v>
      </c>
      <c r="V59" s="7">
        <f>ROUND(45/E59,3)</f>
        <v>0.64300000000000002</v>
      </c>
      <c r="W59" s="7">
        <f>ROUND(20.35/E59,3)</f>
        <v>0.29099999999999998</v>
      </c>
      <c r="X59" s="7">
        <v>0.52</v>
      </c>
      <c r="Y59" s="7">
        <v>0.54</v>
      </c>
      <c r="Z59" s="7">
        <v>0.54</v>
      </c>
      <c r="AA59" s="7">
        <f>ROUND(59.91/E59,3)</f>
        <v>0.85599999999999998</v>
      </c>
      <c r="AB59" s="7">
        <f>ROUND(24/E59,3)</f>
        <v>0.34300000000000003</v>
      </c>
      <c r="AC59" s="7">
        <v>8480002</v>
      </c>
    </row>
    <row r="60" spans="1:29" ht="15" customHeight="1" x14ac:dyDescent="0.2">
      <c r="A60" s="7" t="s">
        <v>246</v>
      </c>
      <c r="B60" s="7" t="s">
        <v>92</v>
      </c>
      <c r="D60" s="7">
        <v>18</v>
      </c>
      <c r="K60" s="7"/>
      <c r="AC60" s="7">
        <v>8482720</v>
      </c>
    </row>
    <row r="61" spans="1:29" ht="15" customHeight="1" x14ac:dyDescent="0.2">
      <c r="A61" s="7" t="s">
        <v>247</v>
      </c>
      <c r="B61" s="7" t="s">
        <v>55</v>
      </c>
      <c r="C61" s="7" t="s">
        <v>191</v>
      </c>
      <c r="D61" s="7">
        <v>29</v>
      </c>
      <c r="E61" s="7">
        <v>72</v>
      </c>
      <c r="F61" s="7">
        <f>ROUND(37/E61,3)</f>
        <v>0.51400000000000001</v>
      </c>
      <c r="G61" s="7">
        <f>ROUND(22/E61,3)</f>
        <v>0.30599999999999999</v>
      </c>
      <c r="H61" s="7">
        <f>ROUND(171/E61,3)</f>
        <v>2.375</v>
      </c>
      <c r="I61" s="7">
        <f>ROUND(31/E61,3)</f>
        <v>0.43099999999999999</v>
      </c>
      <c r="J61" s="7">
        <f>ROUND(42/E61,3)</f>
        <v>0.58299999999999996</v>
      </c>
      <c r="K61" s="7">
        <f t="shared" ref="K61:K68" si="4">8*F61+6*G61+1*H61+1*J61+0.5*I61</f>
        <v>9.1215000000000011</v>
      </c>
      <c r="L61" s="7">
        <f>ROUND(1272.6/E61,3)</f>
        <v>17.675000000000001</v>
      </c>
      <c r="M61" s="7">
        <f>ROUND(33/E61,3)</f>
        <v>0.45800000000000002</v>
      </c>
      <c r="N61" s="7" t="s">
        <v>248</v>
      </c>
      <c r="O61" s="7" t="s">
        <v>249</v>
      </c>
      <c r="P61" s="7">
        <f>ROUND(279/E61,3)</f>
        <v>3.875</v>
      </c>
      <c r="Q61" s="7">
        <f>ROUND(211/E61,3)</f>
        <v>2.931</v>
      </c>
      <c r="R61" s="7">
        <f>ROUND(202/E61,3)</f>
        <v>2.806</v>
      </c>
      <c r="S61" s="7">
        <f>ROUND(91/E61,3)</f>
        <v>1.264</v>
      </c>
      <c r="T61" s="7">
        <f>ROUND(20.46/E61,3)</f>
        <v>0.28399999999999997</v>
      </c>
      <c r="U61" s="7">
        <f>ROUND(43/E61,3)</f>
        <v>0.59699999999999998</v>
      </c>
      <c r="V61" s="7">
        <f>ROUND(49/E61,3)</f>
        <v>0.68100000000000005</v>
      </c>
      <c r="W61" s="7">
        <f>ROUND(19.8/E61,3)</f>
        <v>0.27500000000000002</v>
      </c>
      <c r="X61" s="7">
        <v>0.51</v>
      </c>
      <c r="Y61" s="7">
        <v>0.52</v>
      </c>
      <c r="Z61" s="7">
        <v>0.52</v>
      </c>
      <c r="AA61" s="7">
        <f>ROUND(51.6/E61,3)</f>
        <v>0.71699999999999997</v>
      </c>
      <c r="AB61" s="7">
        <f>ROUND(26/E61,3)</f>
        <v>0.36099999999999999</v>
      </c>
      <c r="AC61" s="7">
        <v>8475754</v>
      </c>
    </row>
    <row r="62" spans="1:29" ht="15" customHeight="1" x14ac:dyDescent="0.2">
      <c r="A62" s="7" t="s">
        <v>250</v>
      </c>
      <c r="B62" s="7" t="s">
        <v>55</v>
      </c>
      <c r="C62" s="7" t="s">
        <v>153</v>
      </c>
      <c r="D62" s="7">
        <v>24</v>
      </c>
      <c r="E62" s="7">
        <v>70</v>
      </c>
      <c r="F62" s="7">
        <f>ROUND(15/E62,3)</f>
        <v>0.214</v>
      </c>
      <c r="G62" s="7">
        <f>ROUND(21/E62,3)</f>
        <v>0.3</v>
      </c>
      <c r="H62" s="7">
        <f>ROUND(148/E62,3)</f>
        <v>2.1139999999999999</v>
      </c>
      <c r="I62" s="7">
        <f>ROUND(80/E62,3)</f>
        <v>1.143</v>
      </c>
      <c r="J62" s="7">
        <f>ROUND(9/E62,3)</f>
        <v>0.129</v>
      </c>
      <c r="K62" s="7">
        <f t="shared" si="4"/>
        <v>6.3264999999999993</v>
      </c>
      <c r="L62" s="7">
        <f>ROUND(1178.8833333333/E62,3)</f>
        <v>16.841000000000001</v>
      </c>
      <c r="M62" s="7">
        <f>ROUND(22/E62,3)</f>
        <v>0.314</v>
      </c>
      <c r="N62" s="7" t="s">
        <v>251</v>
      </c>
      <c r="O62" s="7" t="s">
        <v>252</v>
      </c>
      <c r="P62" s="7">
        <f>ROUND(264/E62,3)</f>
        <v>3.7709999999999999</v>
      </c>
      <c r="Q62" s="7">
        <f>ROUND(211/E62,3)</f>
        <v>3.0139999999999998</v>
      </c>
      <c r="R62" s="7">
        <f>ROUND(184/E62,3)</f>
        <v>2.629</v>
      </c>
      <c r="S62" s="7">
        <f>ROUND(64/E62,3)</f>
        <v>0.91400000000000003</v>
      </c>
      <c r="T62" s="7">
        <f>ROUND(17.09/E62,3)</f>
        <v>0.24399999999999999</v>
      </c>
      <c r="U62" s="7">
        <f>ROUND(40/E62,3)</f>
        <v>0.57099999999999995</v>
      </c>
      <c r="V62" s="7">
        <f>ROUND(33/E62,3)</f>
        <v>0.47099999999999997</v>
      </c>
      <c r="W62" s="7">
        <f>ROUND(18.47/E62,3)</f>
        <v>0.26400000000000001</v>
      </c>
      <c r="X62" s="7">
        <v>0.52</v>
      </c>
      <c r="Y62" s="7">
        <v>0.56999999999999995</v>
      </c>
      <c r="Z62" s="7">
        <v>0.56000000000000005</v>
      </c>
      <c r="AA62" s="7">
        <f>ROUND(41.56/E62,3)</f>
        <v>0.59399999999999997</v>
      </c>
      <c r="AB62" s="7">
        <f>ROUND(17/E62,3)</f>
        <v>0.24299999999999999</v>
      </c>
      <c r="AC62" s="7">
        <v>8478401</v>
      </c>
    </row>
    <row r="63" spans="1:29" ht="15" customHeight="1" x14ac:dyDescent="0.2">
      <c r="A63" s="7" t="s">
        <v>253</v>
      </c>
      <c r="B63" s="7" t="s">
        <v>60</v>
      </c>
      <c r="C63" s="7" t="s">
        <v>114</v>
      </c>
      <c r="D63" s="7">
        <v>29</v>
      </c>
      <c r="E63" s="7">
        <v>60</v>
      </c>
      <c r="F63" s="7">
        <f>ROUND(24/E63,3)</f>
        <v>0.4</v>
      </c>
      <c r="G63" s="7">
        <f>ROUND(34/E63,3)</f>
        <v>0.56699999999999995</v>
      </c>
      <c r="H63" s="7">
        <f>ROUND(180/E63,3)</f>
        <v>3</v>
      </c>
      <c r="I63" s="7">
        <f>ROUND(43/E63,3)</f>
        <v>0.71699999999999997</v>
      </c>
      <c r="J63" s="7">
        <f>ROUND(24/E63,3)</f>
        <v>0.4</v>
      </c>
      <c r="K63" s="7">
        <f t="shared" si="4"/>
        <v>10.3605</v>
      </c>
      <c r="L63" s="7">
        <f>ROUND(1126.2166666667/E63,3)</f>
        <v>18.77</v>
      </c>
      <c r="M63" s="7">
        <f>ROUND(14/E63,3)</f>
        <v>0.23300000000000001</v>
      </c>
      <c r="N63" s="7" t="s">
        <v>254</v>
      </c>
      <c r="O63" s="7" t="s">
        <v>255</v>
      </c>
      <c r="P63" s="7">
        <f>ROUND(302/E63,3)</f>
        <v>5.0330000000000004</v>
      </c>
      <c r="Q63" s="7">
        <f>ROUND(252/E63,3)</f>
        <v>4.2</v>
      </c>
      <c r="R63" s="7">
        <f>ROUND(210/E63,3)</f>
        <v>3.5</v>
      </c>
      <c r="S63" s="7">
        <f>ROUND(100/E63,3)</f>
        <v>1.667</v>
      </c>
      <c r="T63" s="7">
        <f>ROUND(25.19/E63,3)</f>
        <v>0.42</v>
      </c>
      <c r="U63" s="7">
        <f>ROUND(36/E63,3)</f>
        <v>0.6</v>
      </c>
      <c r="V63" s="7">
        <f>ROUND(22/E63,3)</f>
        <v>0.36699999999999999</v>
      </c>
      <c r="W63" s="7">
        <f>ROUND(25.45/E63,3)</f>
        <v>0.42399999999999999</v>
      </c>
      <c r="X63" s="7">
        <v>0.57999999999999996</v>
      </c>
      <c r="Y63" s="7">
        <v>0.56999999999999995</v>
      </c>
      <c r="Z63" s="7">
        <v>0.56999999999999995</v>
      </c>
      <c r="AA63" s="7">
        <f>ROUND(57.66/E63,3)</f>
        <v>0.96099999999999997</v>
      </c>
      <c r="AB63" s="7">
        <f>ROUND(29/E63,3)</f>
        <v>0.48299999999999998</v>
      </c>
      <c r="AC63" s="7">
        <v>8475810</v>
      </c>
    </row>
    <row r="64" spans="1:29" ht="15" customHeight="1" x14ac:dyDescent="0.2">
      <c r="A64" s="7" t="s">
        <v>257</v>
      </c>
      <c r="B64" s="7" t="s">
        <v>60</v>
      </c>
      <c r="C64" s="7" t="s">
        <v>102</v>
      </c>
      <c r="D64" s="7">
        <v>20</v>
      </c>
      <c r="E64" s="7">
        <v>2</v>
      </c>
      <c r="F64" s="7">
        <f>ROUND(0/E64,3)</f>
        <v>0</v>
      </c>
      <c r="G64" s="7">
        <f>ROUND(0/E64,3)</f>
        <v>0</v>
      </c>
      <c r="H64" s="7">
        <f>ROUND(1/E64,3)</f>
        <v>0.5</v>
      </c>
      <c r="I64" s="7">
        <f>ROUND(0/E64,3)</f>
        <v>0</v>
      </c>
      <c r="J64" s="7">
        <f>ROUND(1/E64,3)</f>
        <v>0.5</v>
      </c>
      <c r="K64" s="7">
        <f t="shared" si="4"/>
        <v>1</v>
      </c>
      <c r="L64" s="7">
        <f>ROUND(13/E64,3)</f>
        <v>6.5</v>
      </c>
      <c r="M64" s="7">
        <f>ROUND(2/E64,3)</f>
        <v>1</v>
      </c>
      <c r="N64" s="7" t="s">
        <v>96</v>
      </c>
      <c r="O64" s="7" t="s">
        <v>207</v>
      </c>
      <c r="P64" s="7">
        <f>ROUND(2/E64,3)</f>
        <v>1</v>
      </c>
      <c r="Q64" s="7">
        <f>ROUND(1/E64,3)</f>
        <v>0.5</v>
      </c>
      <c r="R64" s="7">
        <f>ROUND(2/E64,3)</f>
        <v>1</v>
      </c>
      <c r="S64" s="7">
        <f>ROUND(1/E64,3)</f>
        <v>0.5</v>
      </c>
      <c r="T64" s="7">
        <f>ROUND(0.24/E64,3)</f>
        <v>0.12</v>
      </c>
      <c r="U64" s="7">
        <f>ROUND(0/E64,3)</f>
        <v>0</v>
      </c>
      <c r="V64" s="7">
        <f>ROUND(2/E64,3)</f>
        <v>1</v>
      </c>
      <c r="W64" s="7">
        <f>ROUND(0.31/E64,3)</f>
        <v>0.155</v>
      </c>
      <c r="X64" s="7">
        <v>0.78</v>
      </c>
      <c r="Y64" s="7">
        <v>0.35</v>
      </c>
      <c r="Z64" s="7">
        <v>0.45</v>
      </c>
      <c r="AA64" s="7">
        <f>ROUND(-0.43/E64,3)</f>
        <v>-0.215</v>
      </c>
      <c r="AB64" s="7">
        <f>ROUND(1/E64,3)</f>
        <v>0.5</v>
      </c>
      <c r="AC64" s="7">
        <v>8481604</v>
      </c>
    </row>
    <row r="65" spans="1:29" ht="15" customHeight="1" x14ac:dyDescent="0.2">
      <c r="A65" s="7" t="s">
        <v>258</v>
      </c>
      <c r="B65" s="7" t="s">
        <v>60</v>
      </c>
      <c r="C65" s="7" t="s">
        <v>259</v>
      </c>
      <c r="D65" s="7">
        <v>27</v>
      </c>
      <c r="E65" s="7">
        <v>37</v>
      </c>
      <c r="F65" s="7">
        <f>ROUND(9/E65,3)</f>
        <v>0.24299999999999999</v>
      </c>
      <c r="G65" s="7">
        <f>ROUND(14/E65,3)</f>
        <v>0.378</v>
      </c>
      <c r="H65" s="7">
        <f>ROUND(82/E65,3)</f>
        <v>2.2160000000000002</v>
      </c>
      <c r="I65" s="7">
        <f>ROUND(46/E65,3)</f>
        <v>1.2430000000000001</v>
      </c>
      <c r="J65" s="7">
        <f>ROUND(18/E65,3)</f>
        <v>0.48599999999999999</v>
      </c>
      <c r="K65" s="7">
        <f t="shared" si="4"/>
        <v>7.5354999999999999</v>
      </c>
      <c r="L65" s="7">
        <f>ROUND(561.25/E65,3)</f>
        <v>15.169</v>
      </c>
      <c r="M65" s="7">
        <f>ROUND(14/E65,3)</f>
        <v>0.378</v>
      </c>
      <c r="N65" s="7" t="s">
        <v>260</v>
      </c>
      <c r="O65" s="7" t="s">
        <v>261</v>
      </c>
      <c r="P65" s="7">
        <f>ROUND(132/E65,3)</f>
        <v>3.5680000000000001</v>
      </c>
      <c r="Q65" s="7">
        <f>ROUND(104/E65,3)</f>
        <v>2.8109999999999999</v>
      </c>
      <c r="R65" s="7">
        <f>ROUND(74/E65,3)</f>
        <v>2</v>
      </c>
      <c r="S65" s="7">
        <f>ROUND(32/E65,3)</f>
        <v>0.86499999999999999</v>
      </c>
      <c r="T65" s="7">
        <f>ROUND(7.87/E65,3)</f>
        <v>0.21299999999999999</v>
      </c>
      <c r="U65" s="7">
        <f>ROUND(13/E65,3)</f>
        <v>0.35099999999999998</v>
      </c>
      <c r="V65" s="7">
        <f>ROUND(13/E65,3)</f>
        <v>0.35099999999999998</v>
      </c>
      <c r="W65" s="7">
        <f>ROUND(9.18/E65,3)</f>
        <v>0.248</v>
      </c>
      <c r="X65" s="7">
        <v>0.56999999999999995</v>
      </c>
      <c r="Y65" s="7">
        <v>0.57999999999999996</v>
      </c>
      <c r="Z65" s="7">
        <v>0.59</v>
      </c>
      <c r="AA65" s="7">
        <f>ROUND(27.02/E65,3)</f>
        <v>0.73</v>
      </c>
      <c r="AB65" s="7">
        <f>ROUND(14/E65,3)</f>
        <v>0.378</v>
      </c>
      <c r="AC65" s="7">
        <v>8477511</v>
      </c>
    </row>
    <row r="66" spans="1:29" ht="15" customHeight="1" x14ac:dyDescent="0.2">
      <c r="A66" s="7" t="s">
        <v>263</v>
      </c>
      <c r="B66" s="7" t="s">
        <v>92</v>
      </c>
      <c r="C66" s="7" t="s">
        <v>259</v>
      </c>
      <c r="D66" s="7">
        <v>36</v>
      </c>
      <c r="E66" s="7">
        <v>77</v>
      </c>
      <c r="F66" s="7">
        <f>ROUND(50/E66,3)</f>
        <v>0.64900000000000002</v>
      </c>
      <c r="G66" s="7">
        <f>ROUND(40/E66,3)</f>
        <v>0.51900000000000002</v>
      </c>
      <c r="H66" s="7">
        <f>ROUND(334/E66,3)</f>
        <v>4.3380000000000001</v>
      </c>
      <c r="I66" s="7">
        <f>ROUND(155/E66,3)</f>
        <v>2.0129999999999999</v>
      </c>
      <c r="J66" s="7">
        <f>ROUND(25/E66,3)</f>
        <v>0.32500000000000001</v>
      </c>
      <c r="K66" s="7">
        <f t="shared" si="4"/>
        <v>13.9755</v>
      </c>
      <c r="L66" s="7">
        <f>ROUND(1584.0333333333/E66,3)</f>
        <v>20.571999999999999</v>
      </c>
      <c r="M66" s="7">
        <f>ROUND(18/E66,3)</f>
        <v>0.23400000000000001</v>
      </c>
      <c r="N66" s="7" t="s">
        <v>264</v>
      </c>
      <c r="O66" s="7" t="s">
        <v>265</v>
      </c>
      <c r="P66" s="7">
        <f>ROUND(642/E66,3)</f>
        <v>8.3379999999999992</v>
      </c>
      <c r="Q66" s="7">
        <f>ROUND(468/E66,3)</f>
        <v>6.0780000000000003</v>
      </c>
      <c r="R66" s="7">
        <f>ROUND(286/E66,3)</f>
        <v>3.714</v>
      </c>
      <c r="S66" s="7">
        <f>ROUND(71/E66,3)</f>
        <v>0.92200000000000004</v>
      </c>
      <c r="T66" s="7">
        <f>ROUND(35.59/E66,3)</f>
        <v>0.46200000000000002</v>
      </c>
      <c r="U66" s="7">
        <f>ROUND(50/E66,3)</f>
        <v>0.64900000000000002</v>
      </c>
      <c r="V66" s="7">
        <f>ROUND(32/E66,3)</f>
        <v>0.41599999999999998</v>
      </c>
      <c r="W66" s="7">
        <f>ROUND(36.37/E66,3)</f>
        <v>0.47199999999999998</v>
      </c>
      <c r="X66" s="7">
        <v>0.6</v>
      </c>
      <c r="Y66" s="7">
        <v>0.59</v>
      </c>
      <c r="Z66" s="7">
        <v>0.59</v>
      </c>
      <c r="AA66" s="7">
        <f>ROUND(90.8/E66,3)</f>
        <v>1.179</v>
      </c>
      <c r="AB66" s="7">
        <f>ROUND(36/E66,3)</f>
        <v>0.46800000000000003</v>
      </c>
      <c r="AC66" s="7">
        <v>8471214</v>
      </c>
    </row>
    <row r="67" spans="1:29" ht="15" customHeight="1" x14ac:dyDescent="0.2">
      <c r="A67" s="7" t="s">
        <v>266</v>
      </c>
      <c r="B67" s="7" t="s">
        <v>55</v>
      </c>
      <c r="C67" s="7" t="s">
        <v>180</v>
      </c>
      <c r="D67" s="7">
        <v>22</v>
      </c>
      <c r="E67" s="7">
        <v>72</v>
      </c>
      <c r="F67" s="7">
        <f>ROUND(20/E67,3)</f>
        <v>0.27800000000000002</v>
      </c>
      <c r="G67" s="7">
        <f>ROUND(57/E67,3)</f>
        <v>0.79200000000000004</v>
      </c>
      <c r="H67" s="7">
        <f>ROUND(115/E67,3)</f>
        <v>1.597</v>
      </c>
      <c r="I67" s="7">
        <f>ROUND(13/E67,3)</f>
        <v>0.18099999999999999</v>
      </c>
      <c r="J67" s="7">
        <f>ROUND(21/E67,3)</f>
        <v>0.29199999999999998</v>
      </c>
      <c r="K67" s="7">
        <f t="shared" si="4"/>
        <v>8.9555000000000007</v>
      </c>
      <c r="L67" s="7">
        <f>ROUND(1351.6166666667/E67,3)</f>
        <v>18.771999999999998</v>
      </c>
      <c r="M67" s="7">
        <f>ROUND(16/E67,3)</f>
        <v>0.222</v>
      </c>
      <c r="N67" s="7" t="s">
        <v>196</v>
      </c>
      <c r="O67" s="7" t="s">
        <v>267</v>
      </c>
      <c r="P67" s="7">
        <f>ROUND(191/E67,3)</f>
        <v>2.653</v>
      </c>
      <c r="Q67" s="7">
        <f>ROUND(166/E67,3)</f>
        <v>2.306</v>
      </c>
      <c r="R67" s="7">
        <f>ROUND(155/E67,3)</f>
        <v>2.153</v>
      </c>
      <c r="S67" s="7">
        <f>ROUND(74/E67,3)</f>
        <v>1.028</v>
      </c>
      <c r="T67" s="7">
        <f>ROUND(15.94/E67,3)</f>
        <v>0.221</v>
      </c>
      <c r="U67" s="7">
        <f>ROUND(50/E67,3)</f>
        <v>0.69399999999999995</v>
      </c>
      <c r="V67" s="7">
        <f>ROUND(60/E67,3)</f>
        <v>0.83299999999999996</v>
      </c>
      <c r="W67" s="7">
        <f>ROUND(18.57/E67,3)</f>
        <v>0.25800000000000001</v>
      </c>
      <c r="X67" s="7">
        <v>0.52</v>
      </c>
      <c r="Y67" s="7">
        <v>0.51</v>
      </c>
      <c r="Z67" s="7">
        <v>0.5</v>
      </c>
      <c r="AA67" s="7">
        <f>ROUND(63.24/E67,3)</f>
        <v>0.878</v>
      </c>
      <c r="AB67" s="7">
        <f>ROUND(22/E67,3)</f>
        <v>0.30599999999999999</v>
      </c>
      <c r="AC67" s="7">
        <v>8480023</v>
      </c>
    </row>
    <row r="68" spans="1:29" ht="15" customHeight="1" x14ac:dyDescent="0.2">
      <c r="A68" s="7" t="s">
        <v>268</v>
      </c>
      <c r="B68" s="7" t="s">
        <v>60</v>
      </c>
      <c r="C68" s="7" t="s">
        <v>259</v>
      </c>
      <c r="D68" s="7">
        <v>27</v>
      </c>
      <c r="E68" s="7">
        <v>78</v>
      </c>
      <c r="F68" s="7">
        <f>ROUND(24/E68,3)</f>
        <v>0.308</v>
      </c>
      <c r="G68" s="7">
        <f>ROUND(28/E68,3)</f>
        <v>0.35899999999999999</v>
      </c>
      <c r="H68" s="7">
        <f>ROUND(151/E68,3)</f>
        <v>1.9359999999999999</v>
      </c>
      <c r="I68" s="7">
        <f>ROUND(240/E68,3)</f>
        <v>3.077</v>
      </c>
      <c r="J68" s="7">
        <f>ROUND(50/E68,3)</f>
        <v>0.64100000000000001</v>
      </c>
      <c r="K68" s="7">
        <f t="shared" si="4"/>
        <v>8.7334999999999994</v>
      </c>
      <c r="L68" s="7">
        <f>ROUND(1449.4166666667/E68,3)</f>
        <v>18.582000000000001</v>
      </c>
      <c r="M68" s="7">
        <f>ROUND(98/E68,3)</f>
        <v>1.256</v>
      </c>
      <c r="N68" s="7" t="s">
        <v>269</v>
      </c>
      <c r="O68" s="7" t="s">
        <v>270</v>
      </c>
      <c r="P68" s="7">
        <f>ROUND(279/E68,3)</f>
        <v>3.577</v>
      </c>
      <c r="Q68" s="7">
        <f>ROUND(226/E68,3)</f>
        <v>2.8969999999999998</v>
      </c>
      <c r="R68" s="7">
        <f>ROUND(187/E68,3)</f>
        <v>2.3969999999999998</v>
      </c>
      <c r="S68" s="7">
        <f>ROUND(96/E68,3)</f>
        <v>1.2310000000000001</v>
      </c>
      <c r="T68" s="7">
        <f>ROUND(20.17/E68,3)</f>
        <v>0.25900000000000001</v>
      </c>
      <c r="U68" s="7">
        <f>ROUND(44/E68,3)</f>
        <v>0.56399999999999995</v>
      </c>
      <c r="V68" s="7">
        <f>ROUND(36/E68,3)</f>
        <v>0.46200000000000002</v>
      </c>
      <c r="W68" s="7">
        <f>ROUND(19.41/E68,3)</f>
        <v>0.249</v>
      </c>
      <c r="X68" s="7">
        <v>0.54</v>
      </c>
      <c r="Y68" s="7">
        <v>0.54</v>
      </c>
      <c r="Z68" s="7">
        <v>0.54</v>
      </c>
      <c r="AA68" s="7">
        <f>ROUND(51.05/E68,3)</f>
        <v>0.65400000000000003</v>
      </c>
      <c r="AB68" s="7">
        <f>ROUND(17/E68,3)</f>
        <v>0.218</v>
      </c>
      <c r="AC68" s="7">
        <v>8476880</v>
      </c>
    </row>
    <row r="69" spans="1:29" ht="15" customHeight="1" x14ac:dyDescent="0.2">
      <c r="A69" s="7" t="s">
        <v>272</v>
      </c>
      <c r="B69" s="7" t="s">
        <v>60</v>
      </c>
      <c r="D69" s="7">
        <v>15</v>
      </c>
      <c r="K69" s="7"/>
      <c r="AC69" s="7">
        <v>8484984</v>
      </c>
    </row>
    <row r="70" spans="1:29" ht="15" customHeight="1" x14ac:dyDescent="0.2">
      <c r="A70" s="7" t="s">
        <v>273</v>
      </c>
      <c r="B70" s="7" t="s">
        <v>55</v>
      </c>
      <c r="C70" s="7" t="s">
        <v>274</v>
      </c>
      <c r="D70" s="7">
        <v>25</v>
      </c>
      <c r="E70" s="7">
        <v>78</v>
      </c>
      <c r="F70" s="7">
        <f>ROUND(33/E70,3)</f>
        <v>0.42299999999999999</v>
      </c>
      <c r="G70" s="7">
        <f>ROUND(49/E70,3)</f>
        <v>0.628</v>
      </c>
      <c r="H70" s="7">
        <f>ROUND(186/E70,3)</f>
        <v>2.3849999999999998</v>
      </c>
      <c r="I70" s="7">
        <f>ROUND(49/E70,3)</f>
        <v>0.628</v>
      </c>
      <c r="J70" s="7">
        <f>ROUND(27/E70,3)</f>
        <v>0.34599999999999997</v>
      </c>
      <c r="K70" s="7">
        <f>8*F70+6*G70+1*H70+1*J70+0.5*I70</f>
        <v>10.196999999999999</v>
      </c>
      <c r="L70" s="7">
        <f>ROUND(1385.7/E70,3)</f>
        <v>17.765000000000001</v>
      </c>
      <c r="M70" s="7">
        <f>ROUND(13/E70,3)</f>
        <v>0.16700000000000001</v>
      </c>
      <c r="N70" s="7" t="s">
        <v>275</v>
      </c>
      <c r="O70" s="7" t="s">
        <v>276</v>
      </c>
      <c r="P70" s="7">
        <f>ROUND(325/E70,3)</f>
        <v>4.1669999999999998</v>
      </c>
      <c r="Q70" s="7">
        <f>ROUND(266/E70,3)</f>
        <v>3.41</v>
      </c>
      <c r="R70" s="7">
        <f>ROUND(236/E70,3)</f>
        <v>3.0259999999999998</v>
      </c>
      <c r="S70" s="7">
        <f>ROUND(132/E70,3)</f>
        <v>1.6919999999999999</v>
      </c>
      <c r="T70" s="7">
        <f>ROUND(28.37/E70,3)</f>
        <v>0.36399999999999999</v>
      </c>
      <c r="U70" s="7">
        <f>ROUND(43/E70,3)</f>
        <v>0.55100000000000005</v>
      </c>
      <c r="V70" s="7">
        <f>ROUND(37/E70,3)</f>
        <v>0.47399999999999998</v>
      </c>
      <c r="W70" s="7">
        <f>ROUND(30.51/E70,3)</f>
        <v>0.39100000000000001</v>
      </c>
      <c r="X70" s="7">
        <v>0.65</v>
      </c>
      <c r="Y70" s="7">
        <v>0.62</v>
      </c>
      <c r="Z70" s="7">
        <v>0.61</v>
      </c>
      <c r="AA70" s="7">
        <f>ROUND(88.74/E70,3)</f>
        <v>1.1379999999999999</v>
      </c>
      <c r="AB70" s="7">
        <f>ROUND(35/E70,3)</f>
        <v>0.44900000000000001</v>
      </c>
      <c r="AC70" s="7">
        <v>8477933</v>
      </c>
    </row>
    <row r="71" spans="1:29" ht="15" customHeight="1" x14ac:dyDescent="0.2">
      <c r="A71" s="7" t="s">
        <v>277</v>
      </c>
      <c r="B71" s="7" t="s">
        <v>92</v>
      </c>
      <c r="C71" s="7" t="s">
        <v>180</v>
      </c>
      <c r="D71" s="7">
        <v>25</v>
      </c>
      <c r="E71" s="7">
        <v>81</v>
      </c>
      <c r="F71" s="7">
        <f>ROUND(26/E71,3)</f>
        <v>0.32100000000000001</v>
      </c>
      <c r="G71" s="7">
        <f>ROUND(34/E71,3)</f>
        <v>0.42</v>
      </c>
      <c r="H71" s="7">
        <f>ROUND(111/E71,3)</f>
        <v>1.37</v>
      </c>
      <c r="I71" s="7">
        <f>ROUND(160/E71,3)</f>
        <v>1.9750000000000001</v>
      </c>
      <c r="J71" s="7">
        <f>ROUND(24/E71,3)</f>
        <v>0.29599999999999999</v>
      </c>
      <c r="K71" s="7">
        <f>8*F71+6*G71+1*H71+1*J71+0.5*I71</f>
        <v>7.7415000000000003</v>
      </c>
      <c r="L71" s="7">
        <f>ROUND(1331.8166666667/E71,3)</f>
        <v>16.442</v>
      </c>
      <c r="M71" s="7">
        <f>ROUND(40/E71,3)</f>
        <v>0.49399999999999999</v>
      </c>
      <c r="N71" s="7" t="s">
        <v>264</v>
      </c>
      <c r="O71" s="7" t="s">
        <v>278</v>
      </c>
      <c r="P71" s="7">
        <f>ROUND(188/E71,3)</f>
        <v>2.3210000000000002</v>
      </c>
      <c r="Q71" s="7">
        <f>ROUND(150/E71,3)</f>
        <v>1.8520000000000001</v>
      </c>
      <c r="R71" s="7">
        <f>ROUND(141/E71,3)</f>
        <v>1.7410000000000001</v>
      </c>
      <c r="S71" s="7">
        <f>ROUND(72/E71,3)</f>
        <v>0.88900000000000001</v>
      </c>
      <c r="T71" s="7">
        <f>ROUND(16.92/E71,3)</f>
        <v>0.20899999999999999</v>
      </c>
      <c r="U71" s="7">
        <f>ROUND(46/E71,3)</f>
        <v>0.56799999999999995</v>
      </c>
      <c r="V71" s="7">
        <f>ROUND(44/E71,3)</f>
        <v>0.54300000000000004</v>
      </c>
      <c r="W71" s="7">
        <f>ROUND(18.55/E71,3)</f>
        <v>0.22900000000000001</v>
      </c>
      <c r="X71" s="7">
        <v>0.48</v>
      </c>
      <c r="Y71" s="7">
        <v>0.45</v>
      </c>
      <c r="Z71" s="7">
        <v>0.44</v>
      </c>
      <c r="AA71" s="7">
        <f>ROUND(36.32/E71,3)</f>
        <v>0.44800000000000001</v>
      </c>
      <c r="AB71" s="7">
        <f>ROUND(21/E71,3)</f>
        <v>0.25900000000000001</v>
      </c>
      <c r="AC71" s="7">
        <v>8477964</v>
      </c>
    </row>
    <row r="72" spans="1:29" ht="15" customHeight="1" x14ac:dyDescent="0.2">
      <c r="A72" s="7" t="s">
        <v>279</v>
      </c>
      <c r="B72" s="7" t="s">
        <v>55</v>
      </c>
      <c r="C72" s="7" t="s">
        <v>114</v>
      </c>
      <c r="D72" s="7">
        <v>35</v>
      </c>
      <c r="E72" s="7">
        <v>41</v>
      </c>
      <c r="F72" s="7">
        <f>ROUND(20/E72,3)</f>
        <v>0.48799999999999999</v>
      </c>
      <c r="G72" s="7">
        <f>ROUND(22/E72,3)</f>
        <v>0.53700000000000003</v>
      </c>
      <c r="H72" s="7">
        <f>ROUND(129/E72,3)</f>
        <v>3.1459999999999999</v>
      </c>
      <c r="I72" s="7">
        <f>ROUND(21/E72,3)</f>
        <v>0.51200000000000001</v>
      </c>
      <c r="J72" s="7">
        <f>ROUND(15/E72,3)</f>
        <v>0.36599999999999999</v>
      </c>
      <c r="K72" s="7">
        <f>8*F72+6*G72+1*H72+1*J72+0.5*I72</f>
        <v>10.894</v>
      </c>
      <c r="L72" s="7">
        <f>ROUND(751.51666666667/E72,3)</f>
        <v>18.329999999999998</v>
      </c>
      <c r="M72" s="7">
        <f>ROUND(24/E72,3)</f>
        <v>0.58499999999999996</v>
      </c>
      <c r="N72" s="7" t="s">
        <v>280</v>
      </c>
      <c r="O72" s="7" t="s">
        <v>281</v>
      </c>
      <c r="P72" s="7">
        <f>ROUND(203/E72,3)</f>
        <v>4.9509999999999996</v>
      </c>
      <c r="Q72" s="7">
        <f>ROUND(158/E72,3)</f>
        <v>3.8540000000000001</v>
      </c>
      <c r="R72" s="7">
        <f>ROUND(126/E72,3)</f>
        <v>3.073</v>
      </c>
      <c r="S72" s="7">
        <f>ROUND(48/E72,3)</f>
        <v>1.171</v>
      </c>
      <c r="T72" s="7">
        <f>ROUND(13.1/E72,3)</f>
        <v>0.32</v>
      </c>
      <c r="U72" s="7">
        <f>ROUND(48/E72,3)</f>
        <v>1.171</v>
      </c>
      <c r="V72" s="7">
        <f>ROUND(41/E72,3)</f>
        <v>1</v>
      </c>
      <c r="W72" s="7">
        <f>ROUND(14.65/E72,3)</f>
        <v>0.35699999999999998</v>
      </c>
      <c r="X72" s="7">
        <v>0.61</v>
      </c>
      <c r="Y72" s="7">
        <v>0.62</v>
      </c>
      <c r="Z72" s="7">
        <v>0.61</v>
      </c>
      <c r="AA72" s="7">
        <f>ROUND(42.5/E72,3)</f>
        <v>1.0369999999999999</v>
      </c>
      <c r="AB72" s="7">
        <f>ROUND(18/E72,3)</f>
        <v>0.439</v>
      </c>
      <c r="AC72" s="7">
        <v>8471215</v>
      </c>
    </row>
    <row r="73" spans="1:29" ht="15" customHeight="1" x14ac:dyDescent="0.2">
      <c r="A73" s="7" t="s">
        <v>282</v>
      </c>
      <c r="B73" s="7" t="s">
        <v>60</v>
      </c>
      <c r="D73" s="7">
        <v>15</v>
      </c>
      <c r="K73" s="7"/>
      <c r="AC73" s="7">
        <v>8484762</v>
      </c>
    </row>
    <row r="74" spans="1:29" ht="15" customHeight="1" x14ac:dyDescent="0.2">
      <c r="A74" s="7" t="s">
        <v>283</v>
      </c>
      <c r="B74" s="7" t="s">
        <v>55</v>
      </c>
      <c r="C74" s="7" t="s">
        <v>138</v>
      </c>
      <c r="D74" s="7">
        <v>20</v>
      </c>
      <c r="E74" s="7">
        <v>79</v>
      </c>
      <c r="F74" s="7">
        <f>ROUND(13/E74,3)</f>
        <v>0.16500000000000001</v>
      </c>
      <c r="G74" s="7">
        <f>ROUND(25/E74,3)</f>
        <v>0.316</v>
      </c>
      <c r="H74" s="7">
        <f>ROUND(160/E74,3)</f>
        <v>2.0249999999999999</v>
      </c>
      <c r="I74" s="7">
        <f>ROUND(35/E74,3)</f>
        <v>0.443</v>
      </c>
      <c r="J74" s="7">
        <f>ROUND(22/E74,3)</f>
        <v>0.27800000000000002</v>
      </c>
      <c r="K74" s="7">
        <f>8*F74+6*G74+1*H74+1*J74+0.5*I74</f>
        <v>5.7404999999999999</v>
      </c>
      <c r="L74" s="7">
        <f>ROUND(1255.8/E74,3)</f>
        <v>15.896000000000001</v>
      </c>
      <c r="M74" s="7">
        <f>ROUND(55/E74,3)</f>
        <v>0.69599999999999995</v>
      </c>
      <c r="N74" s="7" t="s">
        <v>284</v>
      </c>
      <c r="O74" s="7" t="s">
        <v>285</v>
      </c>
      <c r="P74" s="7">
        <f>ROUND(265/E74,3)</f>
        <v>3.3540000000000001</v>
      </c>
      <c r="Q74" s="7">
        <f>ROUND(210/E74,3)</f>
        <v>2.6579999999999999</v>
      </c>
      <c r="R74" s="7">
        <f>ROUND(161/E74,3)</f>
        <v>2.0379999999999998</v>
      </c>
      <c r="S74" s="7">
        <f>ROUND(71/E74,3)</f>
        <v>0.89900000000000002</v>
      </c>
      <c r="T74" s="7">
        <f>ROUND(15.8/E74,3)</f>
        <v>0.2</v>
      </c>
      <c r="U74" s="7">
        <f>ROUND(30/E74,3)</f>
        <v>0.38</v>
      </c>
      <c r="V74" s="7">
        <f>ROUND(33/E74,3)</f>
        <v>0.41799999999999998</v>
      </c>
      <c r="W74" s="7">
        <f>ROUND(16.17/E74,3)</f>
        <v>0.20499999999999999</v>
      </c>
      <c r="X74" s="7">
        <v>0.49</v>
      </c>
      <c r="Y74" s="7">
        <v>0.53</v>
      </c>
      <c r="Z74" s="7">
        <v>0.52</v>
      </c>
      <c r="AA74" s="7">
        <f>ROUND(35.41/E74,3)</f>
        <v>0.44800000000000001</v>
      </c>
      <c r="AB74" s="7">
        <f>ROUND(19/E74,3)</f>
        <v>0.24099999999999999</v>
      </c>
      <c r="AC74" s="7">
        <v>8481528</v>
      </c>
    </row>
    <row r="75" spans="1:29" ht="15" customHeight="1" x14ac:dyDescent="0.2">
      <c r="A75" s="7" t="s">
        <v>286</v>
      </c>
      <c r="B75" s="7" t="s">
        <v>55</v>
      </c>
      <c r="D75" s="7">
        <v>16</v>
      </c>
      <c r="K75" s="7"/>
      <c r="AC75" s="7">
        <v>8484166</v>
      </c>
    </row>
    <row r="76" spans="1:29" ht="15" customHeight="1" x14ac:dyDescent="0.2">
      <c r="A76" s="7" t="s">
        <v>287</v>
      </c>
      <c r="B76" s="7" t="s">
        <v>55</v>
      </c>
      <c r="D76" s="7">
        <v>16</v>
      </c>
      <c r="K76" s="7"/>
      <c r="AC76" s="7">
        <v>8484227</v>
      </c>
    </row>
    <row r="77" spans="1:29" ht="15" customHeight="1" x14ac:dyDescent="0.2">
      <c r="A77" s="7" t="s">
        <v>288</v>
      </c>
      <c r="B77" s="7" t="s">
        <v>92</v>
      </c>
      <c r="C77" s="7" t="s">
        <v>135</v>
      </c>
      <c r="D77" s="7">
        <v>22</v>
      </c>
      <c r="E77" s="7">
        <v>79</v>
      </c>
      <c r="F77" s="7">
        <f>ROUND(30/E77,3)</f>
        <v>0.38</v>
      </c>
      <c r="G77" s="7">
        <f>ROUND(37/E77,3)</f>
        <v>0.46800000000000003</v>
      </c>
      <c r="H77" s="7">
        <f>ROUND(288/E77,3)</f>
        <v>3.6459999999999999</v>
      </c>
      <c r="I77" s="7">
        <f>ROUND(270/E77,3)</f>
        <v>3.4180000000000001</v>
      </c>
      <c r="J77" s="7">
        <f>ROUND(23/E77,3)</f>
        <v>0.29099999999999998</v>
      </c>
      <c r="K77" s="7">
        <f t="shared" ref="K77:K87" si="5">8*F77+6*G77+1*H77+1*J77+0.5*I77</f>
        <v>11.494</v>
      </c>
      <c r="L77" s="7">
        <f>ROUND(1485.3333333333/E77,3)</f>
        <v>18.802</v>
      </c>
      <c r="M77" s="7">
        <f>ROUND(117/E77,3)</f>
        <v>1.4810000000000001</v>
      </c>
      <c r="N77" s="7" t="s">
        <v>289</v>
      </c>
      <c r="O77" s="7" t="s">
        <v>290</v>
      </c>
      <c r="P77" s="7">
        <f>ROUND(461/E77,3)</f>
        <v>5.835</v>
      </c>
      <c r="Q77" s="7">
        <f>ROUND(373/E77,3)</f>
        <v>4.7220000000000004</v>
      </c>
      <c r="R77" s="7">
        <f>ROUND(304/E77,3)</f>
        <v>3.8479999999999999</v>
      </c>
      <c r="S77" s="7">
        <f>ROUND(172/E77,3)</f>
        <v>2.177</v>
      </c>
      <c r="T77" s="7">
        <f>ROUND(34.66/E77,3)</f>
        <v>0.439</v>
      </c>
      <c r="U77" s="7">
        <f>ROUND(68/E77,3)</f>
        <v>0.86099999999999999</v>
      </c>
      <c r="V77" s="7">
        <f>ROUND(41/E77,3)</f>
        <v>0.51900000000000002</v>
      </c>
      <c r="W77" s="7">
        <f>ROUND(33.46/E77,3)</f>
        <v>0.42399999999999999</v>
      </c>
      <c r="X77" s="7">
        <v>0.56999999999999995</v>
      </c>
      <c r="Y77" s="7">
        <v>0.57999999999999996</v>
      </c>
      <c r="Z77" s="7">
        <v>0.56999999999999995</v>
      </c>
      <c r="AA77" s="7">
        <f>ROUND(73.21/E77,3)</f>
        <v>0.92700000000000005</v>
      </c>
      <c r="AB77" s="7">
        <f>ROUND(36/E77,3)</f>
        <v>0.45600000000000002</v>
      </c>
      <c r="AC77" s="7">
        <v>8480801</v>
      </c>
    </row>
    <row r="78" spans="1:29" ht="15" customHeight="1" x14ac:dyDescent="0.2">
      <c r="A78" s="7" t="s">
        <v>291</v>
      </c>
      <c r="B78" s="7" t="s">
        <v>92</v>
      </c>
      <c r="C78" s="7" t="s">
        <v>160</v>
      </c>
      <c r="D78" s="7">
        <v>26</v>
      </c>
      <c r="E78" s="7">
        <v>68</v>
      </c>
      <c r="F78" s="7">
        <f>ROUND(30/E78,3)</f>
        <v>0.441</v>
      </c>
      <c r="G78" s="7">
        <f>ROUND(32/E78,3)</f>
        <v>0.47099999999999997</v>
      </c>
      <c r="H78" s="7">
        <f>ROUND(180/E78,3)</f>
        <v>2.6469999999999998</v>
      </c>
      <c r="I78" s="7">
        <f>ROUND(65/E78,3)</f>
        <v>0.95599999999999996</v>
      </c>
      <c r="J78" s="7">
        <f>ROUND(33/E78,3)</f>
        <v>0.48499999999999999</v>
      </c>
      <c r="K78" s="7">
        <f t="shared" si="5"/>
        <v>9.9639999999999986</v>
      </c>
      <c r="L78" s="7">
        <f>ROUND(1351.3666666667/E78,3)</f>
        <v>19.873000000000001</v>
      </c>
      <c r="M78" s="7">
        <f>ROUND(47/E78,3)</f>
        <v>0.69099999999999995</v>
      </c>
      <c r="N78" s="7" t="s">
        <v>292</v>
      </c>
      <c r="O78" s="7" t="s">
        <v>256</v>
      </c>
      <c r="P78" s="7">
        <f>ROUND(306/E78,3)</f>
        <v>4.5</v>
      </c>
      <c r="Q78" s="7">
        <f>ROUND(246/E78,3)</f>
        <v>3.6179999999999999</v>
      </c>
      <c r="R78" s="7">
        <f>ROUND(221/E78,3)</f>
        <v>3.25</v>
      </c>
      <c r="S78" s="7">
        <f>ROUND(110/E78,3)</f>
        <v>1.6180000000000001</v>
      </c>
      <c r="T78" s="7">
        <f>ROUND(27.06/E78,3)</f>
        <v>0.39800000000000002</v>
      </c>
      <c r="U78" s="7">
        <f>ROUND(57/E78,3)</f>
        <v>0.83799999999999997</v>
      </c>
      <c r="V78" s="7">
        <f>ROUND(42/E78,3)</f>
        <v>0.61799999999999999</v>
      </c>
      <c r="W78" s="7">
        <f>ROUND(26.52/E78,3)</f>
        <v>0.39</v>
      </c>
      <c r="X78" s="7">
        <v>0.53</v>
      </c>
      <c r="Y78" s="7">
        <v>0.54</v>
      </c>
      <c r="Z78" s="7">
        <v>0.53</v>
      </c>
      <c r="AA78" s="7">
        <f>ROUND(57.89/E78,3)</f>
        <v>0.85099999999999998</v>
      </c>
      <c r="AB78" s="7">
        <f>ROUND(33/E78,3)</f>
        <v>0.48499999999999999</v>
      </c>
      <c r="AC78" s="7">
        <v>8477479</v>
      </c>
    </row>
    <row r="79" spans="1:29" ht="15" customHeight="1" x14ac:dyDescent="0.2">
      <c r="A79" s="7" t="s">
        <v>293</v>
      </c>
      <c r="B79" s="7" t="s">
        <v>55</v>
      </c>
      <c r="C79" s="7" t="s">
        <v>274</v>
      </c>
      <c r="D79" s="7">
        <v>25</v>
      </c>
      <c r="E79" s="7">
        <v>71</v>
      </c>
      <c r="F79" s="7">
        <f>ROUND(28/E79,3)</f>
        <v>0.39400000000000002</v>
      </c>
      <c r="G79" s="7">
        <f>ROUND(21/E79,3)</f>
        <v>0.29599999999999999</v>
      </c>
      <c r="H79" s="7">
        <f>ROUND(241/E79,3)</f>
        <v>3.3940000000000001</v>
      </c>
      <c r="I79" s="7">
        <f>ROUND(119/E79,3)</f>
        <v>1.6759999999999999</v>
      </c>
      <c r="J79" s="7">
        <f>ROUND(26/E79,3)</f>
        <v>0.36599999999999999</v>
      </c>
      <c r="K79" s="7">
        <f t="shared" si="5"/>
        <v>9.525999999999998</v>
      </c>
      <c r="L79" s="7">
        <f>ROUND(1203.4666666667/E79,3)</f>
        <v>16.95</v>
      </c>
      <c r="M79" s="7">
        <f>ROUND(74/E79,3)</f>
        <v>1.042</v>
      </c>
      <c r="N79" s="7" t="s">
        <v>294</v>
      </c>
      <c r="O79" s="7" t="s">
        <v>295</v>
      </c>
      <c r="P79" s="7">
        <f>ROUND(398/E79,3)</f>
        <v>5.6059999999999999</v>
      </c>
      <c r="Q79" s="7">
        <f>ROUND(292/E79,3)</f>
        <v>4.1130000000000004</v>
      </c>
      <c r="R79" s="7">
        <f>ROUND(259/E79,3)</f>
        <v>3.6480000000000001</v>
      </c>
      <c r="S79" s="7">
        <f>ROUND(111/E79,3)</f>
        <v>1.5629999999999999</v>
      </c>
      <c r="T79" s="7">
        <f>ROUND(25.04/E79,3)</f>
        <v>0.35299999999999998</v>
      </c>
      <c r="U79" s="7">
        <f>ROUND(49/E79,3)</f>
        <v>0.69</v>
      </c>
      <c r="V79" s="7">
        <f>ROUND(41/E79,3)</f>
        <v>0.57699999999999996</v>
      </c>
      <c r="W79" s="7">
        <f>ROUND(27.06/E79,3)</f>
        <v>0.38100000000000001</v>
      </c>
      <c r="X79" s="7">
        <v>0.56999999999999995</v>
      </c>
      <c r="Y79" s="7">
        <v>0.6</v>
      </c>
      <c r="Z79" s="7">
        <v>0.59</v>
      </c>
      <c r="AA79" s="7">
        <f>ROUND(67.68/E79,3)</f>
        <v>0.95299999999999996</v>
      </c>
      <c r="AB79" s="7">
        <f>ROUND(26/E79,3)</f>
        <v>0.36599999999999999</v>
      </c>
      <c r="AC79" s="7">
        <v>8477935</v>
      </c>
    </row>
    <row r="80" spans="1:29" ht="15" customHeight="1" x14ac:dyDescent="0.2">
      <c r="A80" s="7" t="s">
        <v>296</v>
      </c>
      <c r="B80" s="7" t="s">
        <v>55</v>
      </c>
      <c r="C80" s="7" t="s">
        <v>297</v>
      </c>
      <c r="D80" s="7">
        <v>27</v>
      </c>
      <c r="E80" s="7">
        <v>82</v>
      </c>
      <c r="F80" s="7">
        <f>ROUND(30/E80,3)</f>
        <v>0.36599999999999999</v>
      </c>
      <c r="G80" s="7">
        <f>ROUND(34/E80,3)</f>
        <v>0.41499999999999998</v>
      </c>
      <c r="H80" s="7">
        <f>ROUND(205/E80,3)</f>
        <v>2.5</v>
      </c>
      <c r="I80" s="7">
        <f>ROUND(105/E80,3)</f>
        <v>1.28</v>
      </c>
      <c r="J80" s="7">
        <f>ROUND(15/E80,3)</f>
        <v>0.183</v>
      </c>
      <c r="K80" s="7">
        <f t="shared" si="5"/>
        <v>8.7409999999999997</v>
      </c>
      <c r="L80" s="7">
        <f>ROUND(1635.1/E80,3)</f>
        <v>19.940000000000001</v>
      </c>
      <c r="M80" s="7">
        <f>ROUND(30/E80,3)</f>
        <v>0.36599999999999999</v>
      </c>
      <c r="N80" s="7" t="s">
        <v>298</v>
      </c>
      <c r="O80" s="7" t="s">
        <v>299</v>
      </c>
      <c r="P80" s="7">
        <f>ROUND(364/E80,3)</f>
        <v>4.4390000000000001</v>
      </c>
      <c r="Q80" s="7">
        <f>ROUND(281/E80,3)</f>
        <v>3.427</v>
      </c>
      <c r="R80" s="7">
        <f>ROUND(254/E80,3)</f>
        <v>3.0979999999999999</v>
      </c>
      <c r="S80" s="7">
        <f>ROUND(140/E80,3)</f>
        <v>1.7070000000000001</v>
      </c>
      <c r="T80" s="7">
        <f>ROUND(25.86/E80,3)</f>
        <v>0.315</v>
      </c>
      <c r="U80" s="7">
        <f>ROUND(31/E80,3)</f>
        <v>0.378</v>
      </c>
      <c r="V80" s="7">
        <f>ROUND(65/E80,3)</f>
        <v>0.79300000000000004</v>
      </c>
      <c r="W80" s="7">
        <f>ROUND(29.02/E80,3)</f>
        <v>0.35399999999999998</v>
      </c>
      <c r="X80" s="7">
        <v>0.49</v>
      </c>
      <c r="Y80" s="7">
        <v>0.51</v>
      </c>
      <c r="Z80" s="7">
        <v>0.51</v>
      </c>
      <c r="AA80" s="7">
        <f>ROUND(62.14/E80,3)</f>
        <v>0.75800000000000001</v>
      </c>
      <c r="AB80" s="7">
        <f>ROUND(37/E80,3)</f>
        <v>0.45100000000000001</v>
      </c>
      <c r="AC80" s="7">
        <v>8476881</v>
      </c>
    </row>
    <row r="81" spans="1:29" ht="15" customHeight="1" x14ac:dyDescent="0.2">
      <c r="A81" s="7" t="s">
        <v>300</v>
      </c>
      <c r="B81" s="7" t="s">
        <v>55</v>
      </c>
      <c r="C81" s="7" t="s">
        <v>84</v>
      </c>
      <c r="D81" s="7">
        <v>29</v>
      </c>
      <c r="E81" s="7">
        <v>82</v>
      </c>
      <c r="F81" s="7">
        <f>ROUND(16/E81,3)</f>
        <v>0.19500000000000001</v>
      </c>
      <c r="G81" s="7">
        <f>ROUND(28/E81,3)</f>
        <v>0.34100000000000003</v>
      </c>
      <c r="H81" s="7">
        <f>ROUND(131/E81,3)</f>
        <v>1.5980000000000001</v>
      </c>
      <c r="I81" s="7">
        <f>ROUND(84/E81,3)</f>
        <v>1.024</v>
      </c>
      <c r="J81" s="7">
        <f>ROUND(38/E81,3)</f>
        <v>0.46300000000000002</v>
      </c>
      <c r="K81" s="7">
        <f t="shared" si="5"/>
        <v>6.1790000000000003</v>
      </c>
      <c r="L81" s="7">
        <f>ROUND(1426.8166666667/E81,3)</f>
        <v>17.399999999999999</v>
      </c>
      <c r="M81" s="7">
        <f>ROUND(32/E81,3)</f>
        <v>0.39</v>
      </c>
      <c r="N81" s="7" t="s">
        <v>301</v>
      </c>
      <c r="O81" s="7" t="s">
        <v>302</v>
      </c>
      <c r="P81" s="7">
        <f>ROUND(214/E81,3)</f>
        <v>2.61</v>
      </c>
      <c r="Q81" s="7">
        <f>ROUND(185/E81,3)</f>
        <v>2.2559999999999998</v>
      </c>
      <c r="R81" s="7">
        <f>ROUND(125/E81,3)</f>
        <v>1.524</v>
      </c>
      <c r="S81" s="7">
        <f>ROUND(61/E81,3)</f>
        <v>0.74399999999999999</v>
      </c>
      <c r="T81" s="7">
        <f>ROUND(16.62/E81,3)</f>
        <v>0.20300000000000001</v>
      </c>
      <c r="U81" s="7">
        <f>ROUND(42/E81,3)</f>
        <v>0.51200000000000001</v>
      </c>
      <c r="V81" s="7">
        <f>ROUND(39/E81,3)</f>
        <v>0.47599999999999998</v>
      </c>
      <c r="W81" s="7">
        <f>ROUND(18.73/E81,3)</f>
        <v>0.22800000000000001</v>
      </c>
      <c r="X81" s="7">
        <v>0.52</v>
      </c>
      <c r="Y81" s="7">
        <v>0.52</v>
      </c>
      <c r="Z81" s="7">
        <v>0.53</v>
      </c>
      <c r="AA81" s="7">
        <f>ROUND(42.12/E81,3)</f>
        <v>0.51400000000000001</v>
      </c>
      <c r="AB81" s="7">
        <f>ROUND(25/E81,3)</f>
        <v>0.30499999999999999</v>
      </c>
      <c r="AC81" s="7">
        <v>8475745</v>
      </c>
    </row>
    <row r="82" spans="1:29" ht="15" customHeight="1" x14ac:dyDescent="0.2">
      <c r="A82" s="7" t="s">
        <v>303</v>
      </c>
      <c r="B82" s="7" t="s">
        <v>55</v>
      </c>
      <c r="C82" s="7" t="s">
        <v>127</v>
      </c>
      <c r="D82" s="7">
        <v>24</v>
      </c>
      <c r="E82" s="7">
        <v>69</v>
      </c>
      <c r="F82" s="7">
        <f>ROUND(22/E82,3)</f>
        <v>0.31900000000000001</v>
      </c>
      <c r="G82" s="7">
        <f>ROUND(26/E82,3)</f>
        <v>0.377</v>
      </c>
      <c r="H82" s="7">
        <f>ROUND(126/E82,3)</f>
        <v>1.8260000000000001</v>
      </c>
      <c r="I82" s="7">
        <f>ROUND(11/E82,3)</f>
        <v>0.159</v>
      </c>
      <c r="J82" s="7">
        <f>ROUND(31/E82,3)</f>
        <v>0.44900000000000001</v>
      </c>
      <c r="K82" s="7">
        <f t="shared" si="5"/>
        <v>7.1685000000000008</v>
      </c>
      <c r="L82" s="7">
        <f>ROUND(1203.4/E82,3)</f>
        <v>17.440999999999999</v>
      </c>
      <c r="M82" s="7">
        <f>ROUND(28/E82,3)</f>
        <v>0.40600000000000003</v>
      </c>
      <c r="N82" s="7" t="s">
        <v>304</v>
      </c>
      <c r="O82" s="7" t="s">
        <v>305</v>
      </c>
      <c r="P82" s="7">
        <f>ROUND(183/E82,3)</f>
        <v>2.6520000000000001</v>
      </c>
      <c r="Q82" s="7">
        <f>ROUND(156/E82,3)</f>
        <v>2.2610000000000001</v>
      </c>
      <c r="R82" s="7">
        <f>ROUND(141/E82,3)</f>
        <v>2.0430000000000001</v>
      </c>
      <c r="S82" s="7">
        <f>ROUND(82/E82,3)</f>
        <v>1.1879999999999999</v>
      </c>
      <c r="T82" s="7">
        <f>ROUND(13.43/E82,3)</f>
        <v>0.19500000000000001</v>
      </c>
      <c r="U82" s="7">
        <f>ROUND(22/E82,3)</f>
        <v>0.31900000000000001</v>
      </c>
      <c r="V82" s="7">
        <f>ROUND(47/E82,3)</f>
        <v>0.68100000000000005</v>
      </c>
      <c r="W82" s="7">
        <f>ROUND(15.46/E82,3)</f>
        <v>0.224</v>
      </c>
      <c r="X82" s="7">
        <v>0.54</v>
      </c>
      <c r="Y82" s="7">
        <v>0.54</v>
      </c>
      <c r="Z82" s="7">
        <v>0.55000000000000004</v>
      </c>
      <c r="AA82" s="7">
        <f>ROUND(41.36/E82,3)</f>
        <v>0.59899999999999998</v>
      </c>
      <c r="AB82" s="7">
        <f>ROUND(16/E82,3)</f>
        <v>0.23200000000000001</v>
      </c>
      <c r="AC82" s="7">
        <v>8478440</v>
      </c>
    </row>
    <row r="83" spans="1:29" ht="15" customHeight="1" x14ac:dyDescent="0.2">
      <c r="A83" s="7" t="s">
        <v>306</v>
      </c>
      <c r="B83" s="7" t="s">
        <v>55</v>
      </c>
      <c r="C83" s="7" t="s">
        <v>307</v>
      </c>
      <c r="D83" s="7">
        <v>26</v>
      </c>
      <c r="E83" s="7">
        <v>70</v>
      </c>
      <c r="F83" s="7">
        <f>ROUND(31/E83,3)</f>
        <v>0.443</v>
      </c>
      <c r="G83" s="7">
        <f>ROUND(21/E83,3)</f>
        <v>0.3</v>
      </c>
      <c r="H83" s="7">
        <f>ROUND(195/E83,3)</f>
        <v>2.786</v>
      </c>
      <c r="I83" s="7">
        <f>ROUND(96/E83,3)</f>
        <v>1.371</v>
      </c>
      <c r="J83" s="7">
        <f>ROUND(45/E83,3)</f>
        <v>0.64300000000000002</v>
      </c>
      <c r="K83" s="7">
        <f t="shared" si="5"/>
        <v>9.458499999999999</v>
      </c>
      <c r="L83" s="7">
        <f>ROUND(1363.6166666667/E83,3)</f>
        <v>19.48</v>
      </c>
      <c r="M83" s="7">
        <f>ROUND(40/E83,3)</f>
        <v>0.57099999999999995</v>
      </c>
      <c r="N83" s="7" t="s">
        <v>308</v>
      </c>
      <c r="O83" s="7" t="s">
        <v>309</v>
      </c>
      <c r="P83" s="7">
        <f>ROUND(304/E83,3)</f>
        <v>4.343</v>
      </c>
      <c r="Q83" s="7">
        <f>ROUND(261/E83,3)</f>
        <v>3.7290000000000001</v>
      </c>
      <c r="R83" s="7">
        <f>ROUND(205/E83,3)</f>
        <v>2.9289999999999998</v>
      </c>
      <c r="S83" s="7">
        <f>ROUND(83/E83,3)</f>
        <v>1.1859999999999999</v>
      </c>
      <c r="T83" s="7">
        <f>ROUND(23.29/E83,3)</f>
        <v>0.33300000000000002</v>
      </c>
      <c r="U83" s="7">
        <f>ROUND(25/E83,3)</f>
        <v>0.35699999999999998</v>
      </c>
      <c r="V83" s="7">
        <f>ROUND(32/E83,3)</f>
        <v>0.45700000000000002</v>
      </c>
      <c r="W83" s="7">
        <f>ROUND(25.74/E83,3)</f>
        <v>0.36799999999999999</v>
      </c>
      <c r="X83" s="7">
        <v>0.56000000000000005</v>
      </c>
      <c r="Y83" s="7">
        <v>0.56000000000000005</v>
      </c>
      <c r="Z83" s="7">
        <v>0.55000000000000004</v>
      </c>
      <c r="AA83" s="7">
        <f>ROUND(57.2/E83,3)</f>
        <v>0.81699999999999995</v>
      </c>
      <c r="AB83" s="7">
        <f>ROUND(28/E83,3)</f>
        <v>0.4</v>
      </c>
      <c r="AC83" s="7">
        <v>8477500</v>
      </c>
    </row>
    <row r="84" spans="1:29" ht="15" customHeight="1" x14ac:dyDescent="0.2">
      <c r="A84" s="7" t="s">
        <v>310</v>
      </c>
      <c r="B84" s="7" t="s">
        <v>92</v>
      </c>
      <c r="C84" s="7" t="s">
        <v>131</v>
      </c>
      <c r="D84" s="7">
        <v>19</v>
      </c>
      <c r="E84" s="7">
        <v>79</v>
      </c>
      <c r="F84" s="7">
        <f>ROUND(19/E84,3)</f>
        <v>0.24099999999999999</v>
      </c>
      <c r="G84" s="7">
        <f>ROUND(12/E84,3)</f>
        <v>0.152</v>
      </c>
      <c r="H84" s="7">
        <f>ROUND(110/E84,3)</f>
        <v>1.3919999999999999</v>
      </c>
      <c r="I84" s="7">
        <f>ROUND(108/E84,3)</f>
        <v>1.367</v>
      </c>
      <c r="J84" s="7">
        <f>ROUND(23/E84,3)</f>
        <v>0.29099999999999998</v>
      </c>
      <c r="K84" s="7">
        <f t="shared" si="5"/>
        <v>5.2065000000000001</v>
      </c>
      <c r="L84" s="7">
        <f>ROUND(1105.7333333333/E84,3)</f>
        <v>13.997</v>
      </c>
      <c r="M84" s="7">
        <f>ROUND(37/E84,3)</f>
        <v>0.46800000000000003</v>
      </c>
      <c r="N84" s="7" t="s">
        <v>311</v>
      </c>
      <c r="O84" s="7" t="s">
        <v>312</v>
      </c>
      <c r="P84" s="7">
        <f>ROUND(193/E84,3)</f>
        <v>2.4430000000000001</v>
      </c>
      <c r="Q84" s="7">
        <f>ROUND(153/E84,3)</f>
        <v>1.9370000000000001</v>
      </c>
      <c r="R84" s="7">
        <f>ROUND(120/E84,3)</f>
        <v>1.5189999999999999</v>
      </c>
      <c r="S84" s="7">
        <f>ROUND(61/E84,3)</f>
        <v>0.77200000000000002</v>
      </c>
      <c r="T84" s="7">
        <f>ROUND(11.55/E84,3)</f>
        <v>0.14599999999999999</v>
      </c>
      <c r="U84" s="7">
        <f>ROUND(28/E84,3)</f>
        <v>0.35399999999999998</v>
      </c>
      <c r="V84" s="7">
        <f>ROUND(44/E84,3)</f>
        <v>0.55700000000000005</v>
      </c>
      <c r="W84" s="7">
        <f>ROUND(11.4/E84,3)</f>
        <v>0.14399999999999999</v>
      </c>
      <c r="X84" s="7">
        <v>0.56000000000000005</v>
      </c>
      <c r="Y84" s="7">
        <v>0.52</v>
      </c>
      <c r="Z84" s="7">
        <v>0.51</v>
      </c>
      <c r="AA84" s="7">
        <f>ROUND(26.6/E84,3)</f>
        <v>0.33700000000000002</v>
      </c>
      <c r="AB84" s="7">
        <f>ROUND(9/E84,3)</f>
        <v>0.114</v>
      </c>
      <c r="AC84" s="7">
        <v>8482109</v>
      </c>
    </row>
    <row r="85" spans="1:29" ht="15" customHeight="1" x14ac:dyDescent="0.2">
      <c r="A85" s="7" t="s">
        <v>313</v>
      </c>
      <c r="B85" s="7" t="s">
        <v>60</v>
      </c>
      <c r="C85" s="7" t="s">
        <v>230</v>
      </c>
      <c r="D85" s="7">
        <v>24</v>
      </c>
      <c r="E85" s="7">
        <v>75</v>
      </c>
      <c r="F85" s="7">
        <f>ROUND(37/E85,3)</f>
        <v>0.49299999999999999</v>
      </c>
      <c r="G85" s="7">
        <f>ROUND(30/E85,3)</f>
        <v>0.4</v>
      </c>
      <c r="H85" s="7">
        <f>ROUND(192/E85,3)</f>
        <v>2.56</v>
      </c>
      <c r="I85" s="7">
        <f>ROUND(6/E85,3)</f>
        <v>0.08</v>
      </c>
      <c r="J85" s="7">
        <f>ROUND(22/E85,3)</f>
        <v>0.29299999999999998</v>
      </c>
      <c r="K85" s="7">
        <f t="shared" si="5"/>
        <v>9.2369999999999983</v>
      </c>
      <c r="L85" s="7">
        <f>ROUND(1367.7333333333/E85,3)</f>
        <v>18.236000000000001</v>
      </c>
      <c r="M85" s="7">
        <f>ROUND(26/E85,3)</f>
        <v>0.34699999999999998</v>
      </c>
      <c r="N85" s="7" t="s">
        <v>314</v>
      </c>
      <c r="O85" s="7" t="s">
        <v>315</v>
      </c>
      <c r="P85" s="7">
        <f>ROUND(327/E85,3)</f>
        <v>4.3600000000000003</v>
      </c>
      <c r="Q85" s="7">
        <f>ROUND(264/E85,3)</f>
        <v>3.52</v>
      </c>
      <c r="R85" s="7">
        <f>ROUND(226/E85,3)</f>
        <v>3.0129999999999999</v>
      </c>
      <c r="S85" s="7">
        <f>ROUND(98/E85,3)</f>
        <v>1.3069999999999999</v>
      </c>
      <c r="T85" s="7">
        <f>ROUND(24.16/E85,3)</f>
        <v>0.32200000000000001</v>
      </c>
      <c r="U85" s="7">
        <f>ROUND(46/E85,3)</f>
        <v>0.61299999999999999</v>
      </c>
      <c r="V85" s="7">
        <f>ROUND(35/E85,3)</f>
        <v>0.46700000000000003</v>
      </c>
      <c r="W85" s="7">
        <f>ROUND(24.77/E85,3)</f>
        <v>0.33</v>
      </c>
      <c r="X85" s="7">
        <v>0.55000000000000004</v>
      </c>
      <c r="Y85" s="7">
        <v>0.54</v>
      </c>
      <c r="Z85" s="7">
        <v>0.54</v>
      </c>
      <c r="AA85" s="7">
        <f>ROUND(64.63/E85,3)</f>
        <v>0.86199999999999999</v>
      </c>
      <c r="AB85" s="7">
        <f>ROUND(28/E85,3)</f>
        <v>0.373</v>
      </c>
      <c r="AC85" s="7">
        <v>8478873</v>
      </c>
    </row>
    <row r="86" spans="1:29" ht="15" customHeight="1" x14ac:dyDescent="0.2">
      <c r="A86" s="7" t="s">
        <v>317</v>
      </c>
      <c r="B86" s="7" t="s">
        <v>60</v>
      </c>
      <c r="C86" s="7" t="s">
        <v>127</v>
      </c>
      <c r="D86" s="7">
        <v>32</v>
      </c>
      <c r="E86" s="7">
        <v>78</v>
      </c>
      <c r="F86" s="7">
        <f>ROUND(26/E86,3)</f>
        <v>0.33300000000000002</v>
      </c>
      <c r="G86" s="7">
        <f>ROUND(66/E86,3)</f>
        <v>0.84599999999999997</v>
      </c>
      <c r="H86" s="7">
        <f>ROUND(287/E86,3)</f>
        <v>3.6789999999999998</v>
      </c>
      <c r="I86" s="7">
        <f>ROUND(11/E86,3)</f>
        <v>0.14099999999999999</v>
      </c>
      <c r="J86" s="7">
        <f>ROUND(25/E86,3)</f>
        <v>0.32100000000000001</v>
      </c>
      <c r="K86" s="7">
        <f t="shared" si="5"/>
        <v>11.810499999999999</v>
      </c>
      <c r="L86" s="7">
        <f>ROUND(1702.2166666667/E86,3)</f>
        <v>21.823</v>
      </c>
      <c r="M86" s="7">
        <f>ROUND(18/E86,3)</f>
        <v>0.23100000000000001</v>
      </c>
      <c r="N86" s="7" t="s">
        <v>318</v>
      </c>
      <c r="O86" s="7" t="s">
        <v>319</v>
      </c>
      <c r="P86" s="7">
        <f>ROUND(514/E86,3)</f>
        <v>6.59</v>
      </c>
      <c r="Q86" s="7">
        <f>ROUND(371/E86,3)</f>
        <v>4.7560000000000002</v>
      </c>
      <c r="R86" s="7">
        <f>ROUND(220/E86,3)</f>
        <v>2.8210000000000002</v>
      </c>
      <c r="S86" s="7">
        <f>ROUND(56/E86,3)</f>
        <v>0.71799999999999997</v>
      </c>
      <c r="T86" s="7">
        <f>ROUND(22.04/E86,3)</f>
        <v>0.28299999999999997</v>
      </c>
      <c r="U86" s="7">
        <f>ROUND(49/E86,3)</f>
        <v>0.628</v>
      </c>
      <c r="V86" s="7">
        <f>ROUND(42/E86,3)</f>
        <v>0.53800000000000003</v>
      </c>
      <c r="W86" s="7">
        <f>ROUND(21.26/E86,3)</f>
        <v>0.27300000000000002</v>
      </c>
      <c r="X86" s="7">
        <v>0.54</v>
      </c>
      <c r="Y86" s="7">
        <v>0.56000000000000005</v>
      </c>
      <c r="Z86" s="7">
        <v>0.56000000000000005</v>
      </c>
      <c r="AA86" s="7">
        <f>ROUND(83.93/E86,3)</f>
        <v>1.0760000000000001</v>
      </c>
      <c r="AB86" s="7">
        <f>ROUND(17/E86,3)</f>
        <v>0.218</v>
      </c>
      <c r="AC86" s="7">
        <v>8474141</v>
      </c>
    </row>
    <row r="87" spans="1:29" ht="15" customHeight="1" x14ac:dyDescent="0.2">
      <c r="A87" s="7" t="s">
        <v>320</v>
      </c>
      <c r="B87" s="7" t="s">
        <v>55</v>
      </c>
      <c r="C87" s="7" t="s">
        <v>56</v>
      </c>
      <c r="D87" s="7">
        <v>28</v>
      </c>
      <c r="E87" s="7">
        <v>63</v>
      </c>
      <c r="F87" s="7">
        <f>ROUND(11/E87,3)</f>
        <v>0.17499999999999999</v>
      </c>
      <c r="G87" s="7">
        <f>ROUND(39/E87,3)</f>
        <v>0.61899999999999999</v>
      </c>
      <c r="H87" s="7">
        <f>ROUND(154/E87,3)</f>
        <v>2.444</v>
      </c>
      <c r="I87" s="7">
        <f>ROUND(42/E87,3)</f>
        <v>0.66700000000000004</v>
      </c>
      <c r="J87" s="7">
        <f>ROUND(32/E87,3)</f>
        <v>0.50800000000000001</v>
      </c>
      <c r="K87" s="7">
        <f t="shared" si="5"/>
        <v>8.3994999999999997</v>
      </c>
      <c r="L87" s="7">
        <f>ROUND(1217.05/E87,3)</f>
        <v>19.318000000000001</v>
      </c>
      <c r="M87" s="7">
        <f>ROUND(16/E87,3)</f>
        <v>0.254</v>
      </c>
      <c r="N87" s="7" t="s">
        <v>321</v>
      </c>
      <c r="O87" s="7" t="s">
        <v>322</v>
      </c>
      <c r="P87" s="7">
        <f>ROUND(231/E87,3)</f>
        <v>3.6669999999999998</v>
      </c>
      <c r="Q87" s="7">
        <f>ROUND(184/E87,3)</f>
        <v>2.9209999999999998</v>
      </c>
      <c r="R87" s="7">
        <f>ROUND(152/E87,3)</f>
        <v>2.4129999999999998</v>
      </c>
      <c r="S87" s="7">
        <f>ROUND(59/E87,3)</f>
        <v>0.93700000000000006</v>
      </c>
      <c r="T87" s="7">
        <f>ROUND(15.19/E87,3)</f>
        <v>0.24099999999999999</v>
      </c>
      <c r="U87" s="7">
        <f>ROUND(34/E87,3)</f>
        <v>0.54</v>
      </c>
      <c r="V87" s="7">
        <f>ROUND(43/E87,3)</f>
        <v>0.68300000000000005</v>
      </c>
      <c r="W87" s="7">
        <f>ROUND(15.14/E87,3)</f>
        <v>0.24</v>
      </c>
      <c r="X87" s="7">
        <v>0.57999999999999996</v>
      </c>
      <c r="Y87" s="7">
        <v>0.53</v>
      </c>
      <c r="Z87" s="7">
        <v>0.53</v>
      </c>
      <c r="AA87" s="7">
        <f>ROUND(42.59/E87,3)</f>
        <v>0.67600000000000005</v>
      </c>
      <c r="AB87" s="7">
        <f>ROUND(15/E87,3)</f>
        <v>0.23799999999999999</v>
      </c>
      <c r="AC87" s="7">
        <v>8476454</v>
      </c>
    </row>
    <row r="88" spans="1:29" ht="15" customHeight="1" x14ac:dyDescent="0.2">
      <c r="A88" s="7" t="s">
        <v>323</v>
      </c>
      <c r="B88" s="7" t="s">
        <v>60</v>
      </c>
      <c r="D88" s="7">
        <v>19</v>
      </c>
      <c r="K88" s="7"/>
      <c r="AC88" s="7">
        <v>8482146</v>
      </c>
    </row>
    <row r="89" spans="1:29" ht="15" customHeight="1" x14ac:dyDescent="0.2">
      <c r="A89" s="7" t="s">
        <v>324</v>
      </c>
      <c r="B89" s="7" t="s">
        <v>60</v>
      </c>
      <c r="C89" s="7" t="s">
        <v>213</v>
      </c>
      <c r="D89" s="7">
        <v>31</v>
      </c>
      <c r="E89" s="7">
        <v>79</v>
      </c>
      <c r="F89" s="7">
        <f>ROUND(21/E89,3)</f>
        <v>0.26600000000000001</v>
      </c>
      <c r="G89" s="7">
        <f>ROUND(23/E89,3)</f>
        <v>0.29099999999999998</v>
      </c>
      <c r="H89" s="7">
        <f>ROUND(164/E89,3)</f>
        <v>2.0760000000000001</v>
      </c>
      <c r="I89" s="7">
        <f>ROUND(48/E89,3)</f>
        <v>0.60799999999999998</v>
      </c>
      <c r="J89" s="7">
        <f>ROUND(38/E89,3)</f>
        <v>0.48099999999999998</v>
      </c>
      <c r="K89" s="7">
        <f>8*F89+6*G89+1*H89+1*J89+0.5*I89</f>
        <v>6.7350000000000003</v>
      </c>
      <c r="L89" s="7">
        <f>ROUND(1418.2333333333/E89,3)</f>
        <v>17.952000000000002</v>
      </c>
      <c r="M89" s="7">
        <f>ROUND(14/E89,3)</f>
        <v>0.17699999999999999</v>
      </c>
      <c r="N89" s="7" t="s">
        <v>325</v>
      </c>
      <c r="O89" s="7" t="s">
        <v>326</v>
      </c>
      <c r="P89" s="7">
        <f>ROUND(310/E89,3)</f>
        <v>3.9239999999999999</v>
      </c>
      <c r="Q89" s="7">
        <f>ROUND(239/E89,3)</f>
        <v>3.0249999999999999</v>
      </c>
      <c r="R89" s="7">
        <f>ROUND(200/E89,3)</f>
        <v>2.532</v>
      </c>
      <c r="S89" s="7">
        <f>ROUND(90/E89,3)</f>
        <v>1.139</v>
      </c>
      <c r="T89" s="7">
        <f>ROUND(18.86/E89,3)</f>
        <v>0.23899999999999999</v>
      </c>
      <c r="U89" s="7">
        <f>ROUND(34/E89,3)</f>
        <v>0.43</v>
      </c>
      <c r="V89" s="7">
        <f>ROUND(50/E89,3)</f>
        <v>0.63300000000000001</v>
      </c>
      <c r="W89" s="7">
        <f>ROUND(20.41/E89,3)</f>
        <v>0.25800000000000001</v>
      </c>
      <c r="X89" s="7">
        <v>0.51</v>
      </c>
      <c r="Y89" s="7">
        <v>0.56999999999999995</v>
      </c>
      <c r="Z89" s="7">
        <v>0.56999999999999995</v>
      </c>
      <c r="AA89" s="7">
        <f>ROUND(42.07/E89,3)</f>
        <v>0.53300000000000003</v>
      </c>
      <c r="AB89" s="7">
        <f>ROUND(21/E89,3)</f>
        <v>0.26600000000000001</v>
      </c>
      <c r="AC89" s="7">
        <v>8474586</v>
      </c>
    </row>
    <row r="90" spans="1:29" ht="15" customHeight="1" x14ac:dyDescent="0.2">
      <c r="A90" s="7" t="s">
        <v>328</v>
      </c>
      <c r="B90" s="7" t="s">
        <v>55</v>
      </c>
      <c r="C90" s="7" t="s">
        <v>274</v>
      </c>
      <c r="D90" s="7">
        <v>26</v>
      </c>
      <c r="E90" s="7">
        <v>78</v>
      </c>
      <c r="F90" s="7">
        <f>ROUND(24/E90,3)</f>
        <v>0.308</v>
      </c>
      <c r="G90" s="7">
        <f>ROUND(31/E90,3)</f>
        <v>0.39700000000000002</v>
      </c>
      <c r="H90" s="7">
        <f>ROUND(167/E90,3)</f>
        <v>2.141</v>
      </c>
      <c r="I90" s="7">
        <f>ROUND(50/E90,3)</f>
        <v>0.64100000000000001</v>
      </c>
      <c r="J90" s="7">
        <f>ROUND(16/E90,3)</f>
        <v>0.20499999999999999</v>
      </c>
      <c r="K90" s="7">
        <f>8*F90+6*G90+1*H90+1*J90+0.5*I90</f>
        <v>7.5125000000000002</v>
      </c>
      <c r="L90" s="7">
        <f>ROUND(1252.1333333333/E90,3)</f>
        <v>16.053000000000001</v>
      </c>
      <c r="M90" s="7">
        <f>ROUND(44/E90,3)</f>
        <v>0.56399999999999995</v>
      </c>
      <c r="N90" s="7" t="s">
        <v>329</v>
      </c>
      <c r="O90" s="7" t="s">
        <v>330</v>
      </c>
      <c r="P90" s="7">
        <f>ROUND(312/E90,3)</f>
        <v>4</v>
      </c>
      <c r="Q90" s="7">
        <f>ROUND(232/E90,3)</f>
        <v>2.9740000000000002</v>
      </c>
      <c r="R90" s="7">
        <f>ROUND(217/E90,3)</f>
        <v>2.782</v>
      </c>
      <c r="S90" s="7">
        <f>ROUND(84/E90,3)</f>
        <v>1.077</v>
      </c>
      <c r="T90" s="7">
        <f>ROUND(19.3/E90,3)</f>
        <v>0.247</v>
      </c>
      <c r="U90" s="7">
        <f>ROUND(47/E90,3)</f>
        <v>0.60299999999999998</v>
      </c>
      <c r="V90" s="7">
        <f>ROUND(63/E90,3)</f>
        <v>0.80800000000000005</v>
      </c>
      <c r="W90" s="7">
        <f>ROUND(21.11/E90,3)</f>
        <v>0.27100000000000002</v>
      </c>
      <c r="X90" s="7">
        <v>0.56999999999999995</v>
      </c>
      <c r="Y90" s="7">
        <v>0.6</v>
      </c>
      <c r="Z90" s="7">
        <v>0.59</v>
      </c>
      <c r="AA90" s="7">
        <f>ROUND(72.06/E90,3)</f>
        <v>0.92400000000000004</v>
      </c>
      <c r="AB90" s="7">
        <f>ROUND(18/E90,3)</f>
        <v>0.23100000000000001</v>
      </c>
      <c r="AC90" s="7">
        <v>8477409</v>
      </c>
    </row>
    <row r="91" spans="1:29" ht="15" customHeight="1" x14ac:dyDescent="0.2">
      <c r="A91" s="7" t="s">
        <v>331</v>
      </c>
      <c r="B91" s="7" t="s">
        <v>55</v>
      </c>
      <c r="D91" s="7">
        <v>27</v>
      </c>
      <c r="K91" s="7"/>
      <c r="W91" s="7">
        <v>9.41</v>
      </c>
      <c r="X91" s="7">
        <v>0.46</v>
      </c>
      <c r="Y91" s="7">
        <v>0.53</v>
      </c>
      <c r="Z91" s="7">
        <v>0.53</v>
      </c>
      <c r="AA91" s="7">
        <v>32.979999999999997</v>
      </c>
      <c r="AB91" s="7">
        <v>7</v>
      </c>
      <c r="AC91" s="7">
        <v>8477505</v>
      </c>
    </row>
    <row r="92" spans="1:29" ht="15" customHeight="1" x14ac:dyDescent="0.2">
      <c r="A92" s="7" t="s">
        <v>332</v>
      </c>
      <c r="B92" s="7" t="s">
        <v>92</v>
      </c>
      <c r="C92" s="7" t="s">
        <v>84</v>
      </c>
      <c r="D92" s="7">
        <v>33</v>
      </c>
      <c r="E92" s="7">
        <v>70</v>
      </c>
      <c r="F92" s="7">
        <f>ROUND(32/E92,3)</f>
        <v>0.45700000000000002</v>
      </c>
      <c r="G92" s="7">
        <f>ROUND(48/E92,3)</f>
        <v>0.68600000000000005</v>
      </c>
      <c r="H92" s="7">
        <f>ROUND(242/E92,3)</f>
        <v>3.4569999999999999</v>
      </c>
      <c r="I92" s="7">
        <f>ROUND(78/E92,3)</f>
        <v>1.1140000000000001</v>
      </c>
      <c r="J92" s="7">
        <f>ROUND(20/E92,3)</f>
        <v>0.28599999999999998</v>
      </c>
      <c r="K92" s="7">
        <f>8*F92+6*G92+1*H92+1*J92+0.5*I92</f>
        <v>12.071999999999999</v>
      </c>
      <c r="L92" s="7">
        <f>ROUND(1347.5833333333/E92,3)</f>
        <v>19.251000000000001</v>
      </c>
      <c r="M92" s="7">
        <f>ROUND(97/E92,3)</f>
        <v>1.3859999999999999</v>
      </c>
      <c r="N92" s="7" t="s">
        <v>333</v>
      </c>
      <c r="O92" s="7" t="s">
        <v>334</v>
      </c>
      <c r="P92" s="7">
        <f>ROUND(398/E92,3)</f>
        <v>5.6859999999999999</v>
      </c>
      <c r="Q92" s="7">
        <f>ROUND(306/E92,3)</f>
        <v>4.3710000000000004</v>
      </c>
      <c r="R92" s="7">
        <f>ROUND(227/E92,3)</f>
        <v>3.2429999999999999</v>
      </c>
      <c r="S92" s="7">
        <f>ROUND(84/E92,3)</f>
        <v>1.2</v>
      </c>
      <c r="T92" s="7">
        <f>ROUND(25.64/E92,3)</f>
        <v>0.36599999999999999</v>
      </c>
      <c r="U92" s="7">
        <f>ROUND(62/E92,3)</f>
        <v>0.88600000000000001</v>
      </c>
      <c r="V92" s="7">
        <f>ROUND(40/E92,3)</f>
        <v>0.57099999999999995</v>
      </c>
      <c r="W92" s="7">
        <f>ROUND(26.52/E92,3)</f>
        <v>0.379</v>
      </c>
      <c r="X92" s="7">
        <v>0.63</v>
      </c>
      <c r="Y92" s="7">
        <v>0.63</v>
      </c>
      <c r="Z92" s="7">
        <v>0.63</v>
      </c>
      <c r="AA92" s="7">
        <f>ROUND(98.82/E92,3)</f>
        <v>1.4119999999999999</v>
      </c>
      <c r="AB92" s="7">
        <f>ROUND(34/E92,3)</f>
        <v>0.48599999999999999</v>
      </c>
      <c r="AC92" s="7">
        <v>8473419</v>
      </c>
    </row>
    <row r="93" spans="1:29" ht="15" customHeight="1" x14ac:dyDescent="0.2">
      <c r="A93" s="7" t="s">
        <v>335</v>
      </c>
      <c r="B93" s="7" t="s">
        <v>92</v>
      </c>
      <c r="C93" s="7" t="s">
        <v>184</v>
      </c>
      <c r="D93" s="7">
        <v>28</v>
      </c>
      <c r="E93" s="7">
        <v>66</v>
      </c>
      <c r="F93" s="7">
        <f>ROUND(20/E93,3)</f>
        <v>0.30299999999999999</v>
      </c>
      <c r="G93" s="7">
        <f>ROUND(29/E93,3)</f>
        <v>0.439</v>
      </c>
      <c r="H93" s="7">
        <f>ROUND(227/E93,3)</f>
        <v>3.4390000000000001</v>
      </c>
      <c r="I93" s="7">
        <f>ROUND(23/E93,3)</f>
        <v>0.34799999999999998</v>
      </c>
      <c r="J93" s="7">
        <f>ROUND(20/E93,3)</f>
        <v>0.30299999999999999</v>
      </c>
      <c r="K93" s="7">
        <f>8*F93+6*G93+1*H93+1*J93+0.5*I93</f>
        <v>8.9740000000000002</v>
      </c>
      <c r="L93" s="7">
        <f>ROUND(1120.6333333333/E93,3)</f>
        <v>16.978999999999999</v>
      </c>
      <c r="M93" s="7">
        <f>ROUND(22/E93,3)</f>
        <v>0.33300000000000002</v>
      </c>
      <c r="N93" s="7" t="s">
        <v>336</v>
      </c>
      <c r="O93" s="7" t="s">
        <v>82</v>
      </c>
      <c r="P93" s="7">
        <f>ROUND(412/E93,3)</f>
        <v>6.242</v>
      </c>
      <c r="Q93" s="7">
        <f>ROUND(324/E93,3)</f>
        <v>4.9089999999999998</v>
      </c>
      <c r="R93" s="7">
        <f>ROUND(238/E93,3)</f>
        <v>3.6059999999999999</v>
      </c>
      <c r="S93" s="7">
        <f>ROUND(86/E93,3)</f>
        <v>1.3029999999999999</v>
      </c>
      <c r="T93" s="7">
        <f>ROUND(23.68/E93,3)</f>
        <v>0.35899999999999999</v>
      </c>
      <c r="U93" s="7">
        <f>ROUND(16/E93,3)</f>
        <v>0.24199999999999999</v>
      </c>
      <c r="V93" s="7">
        <f>ROUND(24/E93,3)</f>
        <v>0.36399999999999999</v>
      </c>
      <c r="W93" s="7">
        <f>ROUND(25.6/E93,3)</f>
        <v>0.38800000000000001</v>
      </c>
      <c r="X93" s="7">
        <v>0.62</v>
      </c>
      <c r="Y93" s="7">
        <v>0.61</v>
      </c>
      <c r="Z93" s="7">
        <v>0.63</v>
      </c>
      <c r="AA93" s="7">
        <f>ROUND(65.74/E93,3)</f>
        <v>0.996</v>
      </c>
      <c r="AB93" s="7">
        <f>ROUND(26/E93,3)</f>
        <v>0.39400000000000002</v>
      </c>
      <c r="AC93" s="7">
        <v>8478042</v>
      </c>
    </row>
    <row r="94" spans="1:29" ht="15" customHeight="1" x14ac:dyDescent="0.2">
      <c r="A94" s="7" t="s">
        <v>338</v>
      </c>
      <c r="B94" s="7" t="s">
        <v>60</v>
      </c>
      <c r="C94" s="7" t="s">
        <v>106</v>
      </c>
      <c r="D94" s="7">
        <v>34</v>
      </c>
      <c r="E94" s="7">
        <v>70</v>
      </c>
      <c r="F94" s="7">
        <f>ROUND(24/E94,3)</f>
        <v>0.34300000000000003</v>
      </c>
      <c r="G94" s="7">
        <f>ROUND(55/E94,3)</f>
        <v>0.78600000000000003</v>
      </c>
      <c r="H94" s="7">
        <f>ROUND(159/E94,3)</f>
        <v>2.2709999999999999</v>
      </c>
      <c r="I94" s="7">
        <f>ROUND(36/E94,3)</f>
        <v>0.51400000000000001</v>
      </c>
      <c r="J94" s="7">
        <f>ROUND(32/E94,3)</f>
        <v>0.45700000000000002</v>
      </c>
      <c r="K94" s="7">
        <f>8*F94+6*G94+1*H94+1*J94+0.5*I94</f>
        <v>10.445000000000002</v>
      </c>
      <c r="L94" s="7">
        <f>ROUND(1302.1833333333/E94,3)</f>
        <v>18.603000000000002</v>
      </c>
      <c r="M94" s="7">
        <f>ROUND(24/E94,3)</f>
        <v>0.34300000000000003</v>
      </c>
      <c r="N94" s="7" t="s">
        <v>339</v>
      </c>
      <c r="O94" s="7" t="s">
        <v>340</v>
      </c>
      <c r="P94" s="7">
        <f>ROUND(268/E94,3)</f>
        <v>3.8290000000000002</v>
      </c>
      <c r="Q94" s="7">
        <f>ROUND(203/E94,3)</f>
        <v>2.9</v>
      </c>
      <c r="R94" s="7">
        <f>ROUND(143/E94,3)</f>
        <v>2.0430000000000001</v>
      </c>
      <c r="S94" s="7">
        <f>ROUND(46/E94,3)</f>
        <v>0.65700000000000003</v>
      </c>
      <c r="T94" s="7">
        <f>ROUND(13.14/E94,3)</f>
        <v>0.188</v>
      </c>
      <c r="U94" s="7">
        <f>ROUND(43/E94,3)</f>
        <v>0.61399999999999999</v>
      </c>
      <c r="V94" s="7">
        <f>ROUND(48/E94,3)</f>
        <v>0.68600000000000005</v>
      </c>
      <c r="W94" s="7">
        <f>ROUND(14.81/E94,3)</f>
        <v>0.21199999999999999</v>
      </c>
      <c r="X94" s="7">
        <v>0.62</v>
      </c>
      <c r="Y94" s="7">
        <v>0.59</v>
      </c>
      <c r="Z94" s="7">
        <v>0.6</v>
      </c>
      <c r="AA94" s="7">
        <f>ROUND(75.89/E94,3)</f>
        <v>1.0840000000000001</v>
      </c>
      <c r="AB94" s="7">
        <f>ROUND(12/E94,3)</f>
        <v>0.17100000000000001</v>
      </c>
      <c r="AC94" s="7">
        <v>8475692</v>
      </c>
    </row>
    <row r="95" spans="1:29" ht="15" customHeight="1" x14ac:dyDescent="0.2">
      <c r="A95" s="7" t="s">
        <v>341</v>
      </c>
      <c r="B95" s="7" t="s">
        <v>55</v>
      </c>
      <c r="C95" s="7" t="s">
        <v>56</v>
      </c>
      <c r="D95" s="7">
        <v>22</v>
      </c>
      <c r="E95" s="7">
        <v>71</v>
      </c>
      <c r="F95" s="7">
        <f>ROUND(9/E95,3)</f>
        <v>0.127</v>
      </c>
      <c r="G95" s="7">
        <f>ROUND(12/E95,3)</f>
        <v>0.16900000000000001</v>
      </c>
      <c r="H95" s="7">
        <f>ROUND(82/E95,3)</f>
        <v>1.155</v>
      </c>
      <c r="I95" s="7">
        <f>ROUND(28/E95,3)</f>
        <v>0.39400000000000002</v>
      </c>
      <c r="J95" s="7">
        <f>ROUND(24/E95,3)</f>
        <v>0.33800000000000002</v>
      </c>
      <c r="K95" s="7">
        <f>8*F95+6*G95+1*H95+1*J95+0.5*I95</f>
        <v>3.7200000000000006</v>
      </c>
      <c r="L95" s="7">
        <f>ROUND(905.93333333333/E95,3)</f>
        <v>12.76</v>
      </c>
      <c r="M95" s="7">
        <f>ROUND(12/E95,3)</f>
        <v>0.16900000000000001</v>
      </c>
      <c r="N95" s="7" t="s">
        <v>342</v>
      </c>
      <c r="O95" s="7" t="s">
        <v>261</v>
      </c>
      <c r="P95" s="7">
        <f>ROUND(143/E95,3)</f>
        <v>2.0139999999999998</v>
      </c>
      <c r="Q95" s="7">
        <f>ROUND(111/E95,3)</f>
        <v>1.5629999999999999</v>
      </c>
      <c r="R95" s="7">
        <f>ROUND(89/E95,3)</f>
        <v>1.254</v>
      </c>
      <c r="S95" s="7">
        <f>ROUND(41/E95,3)</f>
        <v>0.57699999999999996</v>
      </c>
      <c r="T95" s="7">
        <f>ROUND(8.22/E95,3)</f>
        <v>0.11600000000000001</v>
      </c>
      <c r="U95" s="7">
        <f>ROUND(41/E95,3)</f>
        <v>0.57699999999999996</v>
      </c>
      <c r="V95" s="7">
        <f>ROUND(39/E95,3)</f>
        <v>0.54900000000000004</v>
      </c>
      <c r="W95" s="7">
        <f>ROUND(8.39/E95,3)</f>
        <v>0.11799999999999999</v>
      </c>
      <c r="X95" s="7">
        <v>0.48</v>
      </c>
      <c r="Y95" s="7">
        <v>0.52</v>
      </c>
      <c r="Z95" s="7">
        <v>0.51</v>
      </c>
      <c r="AA95" s="7">
        <f>ROUND(26.66/E95,3)</f>
        <v>0.375</v>
      </c>
      <c r="AB95" s="7">
        <f>ROUND(6/E95,3)</f>
        <v>8.5000000000000006E-2</v>
      </c>
      <c r="AC95" s="7">
        <v>8480802</v>
      </c>
    </row>
    <row r="96" spans="1:29" ht="15" customHeight="1" x14ac:dyDescent="0.2">
      <c r="A96" s="7" t="s">
        <v>343</v>
      </c>
      <c r="B96" s="7" t="s">
        <v>55</v>
      </c>
      <c r="C96" s="7" t="s">
        <v>146</v>
      </c>
      <c r="D96" s="7">
        <v>24</v>
      </c>
      <c r="E96" s="7">
        <v>73</v>
      </c>
      <c r="F96" s="7">
        <f>ROUND(60/E96,3)</f>
        <v>0.82199999999999995</v>
      </c>
      <c r="G96" s="7">
        <f>ROUND(46/E96,3)</f>
        <v>0.63</v>
      </c>
      <c r="H96" s="7">
        <f>ROUND(348/E96,3)</f>
        <v>4.7670000000000003</v>
      </c>
      <c r="I96" s="7">
        <f>ROUND(67/E96,3)</f>
        <v>0.91800000000000004</v>
      </c>
      <c r="J96" s="7">
        <f>ROUND(55/E96,3)</f>
        <v>0.753</v>
      </c>
      <c r="K96" s="7">
        <f>8*F96+6*G96+1*H96+1*J96+0.5*I96</f>
        <v>16.335000000000001</v>
      </c>
      <c r="L96" s="7">
        <f>ROUND(1504.5/E96,3)</f>
        <v>20.61</v>
      </c>
      <c r="M96" s="7">
        <f>ROUND(18/E96,3)</f>
        <v>0.247</v>
      </c>
      <c r="N96" s="7" t="s">
        <v>344</v>
      </c>
      <c r="O96" s="7" t="s">
        <v>345</v>
      </c>
      <c r="P96" s="7">
        <f>ROUND(599/E96,3)</f>
        <v>8.2050000000000001</v>
      </c>
      <c r="Q96" s="7">
        <f>ROUND(484/E96,3)</f>
        <v>6.63</v>
      </c>
      <c r="R96" s="7">
        <f>ROUND(407/E96,3)</f>
        <v>5.5750000000000002</v>
      </c>
      <c r="S96" s="7">
        <f>ROUND(145/E96,3)</f>
        <v>1.986</v>
      </c>
      <c r="T96" s="7">
        <f>ROUND(38.23/E96,3)</f>
        <v>0.52400000000000002</v>
      </c>
      <c r="U96" s="7">
        <f>ROUND(48/E96,3)</f>
        <v>0.65800000000000003</v>
      </c>
      <c r="V96" s="7">
        <f>ROUND(92/E96,3)</f>
        <v>1.26</v>
      </c>
      <c r="W96" s="7">
        <f>ROUND(41.86/E96,3)</f>
        <v>0.57299999999999995</v>
      </c>
      <c r="X96" s="7">
        <v>0.65</v>
      </c>
      <c r="Y96" s="7">
        <v>0.64</v>
      </c>
      <c r="Z96" s="7">
        <v>0.64</v>
      </c>
      <c r="AA96" s="7">
        <f>ROUND(132.08/E96,3)</f>
        <v>1.8089999999999999</v>
      </c>
      <c r="AB96" s="7">
        <f>ROUND(40/E96,3)</f>
        <v>0.54800000000000004</v>
      </c>
      <c r="AC96" s="7">
        <v>8479318</v>
      </c>
    </row>
    <row r="97" spans="1:29" ht="15" customHeight="1" x14ac:dyDescent="0.2">
      <c r="A97" s="7" t="s">
        <v>346</v>
      </c>
      <c r="B97" s="7" t="s">
        <v>60</v>
      </c>
      <c r="D97" s="7">
        <v>18</v>
      </c>
      <c r="K97" s="7"/>
      <c r="AC97" s="7">
        <v>8482809</v>
      </c>
    </row>
    <row r="98" spans="1:29" ht="15" customHeight="1" x14ac:dyDescent="0.2">
      <c r="A98" s="7" t="s">
        <v>347</v>
      </c>
      <c r="B98" s="7" t="s">
        <v>55</v>
      </c>
      <c r="C98" s="7" t="s">
        <v>307</v>
      </c>
      <c r="D98" s="7">
        <v>28</v>
      </c>
      <c r="E98" s="7">
        <v>80</v>
      </c>
      <c r="F98" s="7">
        <f>ROUND(32/E98,3)</f>
        <v>0.4</v>
      </c>
      <c r="G98" s="7">
        <f>ROUND(67/E98,3)</f>
        <v>0.83799999999999997</v>
      </c>
      <c r="H98" s="7">
        <f>ROUND(206/E98,3)</f>
        <v>2.5750000000000002</v>
      </c>
      <c r="I98" s="7">
        <f>ROUND(172/E98,3)</f>
        <v>2.15</v>
      </c>
      <c r="J98" s="7">
        <f>ROUND(53/E98,3)</f>
        <v>0.66300000000000003</v>
      </c>
      <c r="K98" s="7">
        <f>8*F98+6*G98+1*H98+1*J98+0.5*I98</f>
        <v>12.541</v>
      </c>
      <c r="L98" s="7">
        <f>ROUND(1684.2333333333/E98,3)</f>
        <v>21.053000000000001</v>
      </c>
      <c r="M98" s="7">
        <f>ROUND(47/E98,3)</f>
        <v>0.58799999999999997</v>
      </c>
      <c r="N98" s="7" t="s">
        <v>348</v>
      </c>
      <c r="O98" s="7" t="s">
        <v>349</v>
      </c>
      <c r="P98" s="7">
        <f>ROUND(350/E98,3)</f>
        <v>4.375</v>
      </c>
      <c r="Q98" s="7">
        <f>ROUND(293/E98,3)</f>
        <v>3.6629999999999998</v>
      </c>
      <c r="R98" s="7">
        <f>ROUND(234/E98,3)</f>
        <v>2.9249999999999998</v>
      </c>
      <c r="S98" s="7">
        <f>ROUND(102/E98,3)</f>
        <v>1.2749999999999999</v>
      </c>
      <c r="T98" s="7">
        <f>ROUND(24.99/E98,3)</f>
        <v>0.312</v>
      </c>
      <c r="U98" s="7">
        <f>ROUND(62/E98,3)</f>
        <v>0.77500000000000002</v>
      </c>
      <c r="V98" s="7">
        <f>ROUND(56/E98,3)</f>
        <v>0.7</v>
      </c>
      <c r="W98" s="7">
        <f>ROUND(28.79/E98,3)</f>
        <v>0.36</v>
      </c>
      <c r="X98" s="7">
        <v>0.54</v>
      </c>
      <c r="Y98" s="7">
        <v>0.55000000000000004</v>
      </c>
      <c r="Z98" s="7">
        <v>0.54</v>
      </c>
      <c r="AA98" s="7">
        <f>ROUND(92.66/E98,3)</f>
        <v>1.1579999999999999</v>
      </c>
      <c r="AB98" s="7">
        <f>ROUND(35/E98,3)</f>
        <v>0.438</v>
      </c>
      <c r="AC98" s="7">
        <v>8476468</v>
      </c>
    </row>
    <row r="99" spans="1:29" ht="15" customHeight="1" x14ac:dyDescent="0.2">
      <c r="A99" s="7" t="s">
        <v>350</v>
      </c>
      <c r="B99" s="7" t="s">
        <v>55</v>
      </c>
      <c r="C99" s="7" t="s">
        <v>80</v>
      </c>
      <c r="D99" s="7">
        <v>28</v>
      </c>
      <c r="E99" s="7">
        <v>81</v>
      </c>
      <c r="F99" s="7">
        <f>ROUND(21/E99,3)</f>
        <v>0.25900000000000001</v>
      </c>
      <c r="G99" s="7">
        <f>ROUND(30/E99,3)</f>
        <v>0.37</v>
      </c>
      <c r="H99" s="7">
        <f>ROUND(168/E99,3)</f>
        <v>2.0739999999999998</v>
      </c>
      <c r="I99" s="7">
        <f>ROUND(185/E99,3)</f>
        <v>2.2839999999999998</v>
      </c>
      <c r="J99" s="7">
        <f>ROUND(38/E99,3)</f>
        <v>0.46899999999999997</v>
      </c>
      <c r="K99" s="7">
        <f>8*F99+6*G99+1*H99+1*J99+0.5*I99</f>
        <v>7.9770000000000003</v>
      </c>
      <c r="L99" s="7">
        <f>ROUND(1447.7833333333/E99,3)</f>
        <v>17.873999999999999</v>
      </c>
      <c r="M99" s="7">
        <f>ROUND(78/E99,3)</f>
        <v>0.96299999999999997</v>
      </c>
      <c r="N99" s="7" t="s">
        <v>351</v>
      </c>
      <c r="O99" s="7" t="s">
        <v>162</v>
      </c>
      <c r="P99" s="7">
        <f>ROUND(300/E99,3)</f>
        <v>3.7040000000000002</v>
      </c>
      <c r="Q99" s="7">
        <f>ROUND(254/E99,3)</f>
        <v>3.1360000000000001</v>
      </c>
      <c r="R99" s="7">
        <f>ROUND(212/E99,3)</f>
        <v>2.617</v>
      </c>
      <c r="S99" s="7">
        <f>ROUND(116/E99,3)</f>
        <v>1.4319999999999999</v>
      </c>
      <c r="T99" s="7">
        <f>ROUND(23.88/E99,3)</f>
        <v>0.29499999999999998</v>
      </c>
      <c r="U99" s="7">
        <f>ROUND(42/E99,3)</f>
        <v>0.51900000000000002</v>
      </c>
      <c r="V99" s="7">
        <f>ROUND(50/E99,3)</f>
        <v>0.61699999999999999</v>
      </c>
      <c r="W99" s="7">
        <f>ROUND(25.09/E99,3)</f>
        <v>0.31</v>
      </c>
      <c r="X99" s="7">
        <v>0.57999999999999996</v>
      </c>
      <c r="Y99" s="7">
        <v>0.59</v>
      </c>
      <c r="Z99" s="7">
        <v>0.59</v>
      </c>
      <c r="AA99" s="7">
        <f>ROUND(62.95/E99,3)</f>
        <v>0.77700000000000002</v>
      </c>
      <c r="AB99" s="7">
        <f>ROUND(25/E99,3)</f>
        <v>0.309</v>
      </c>
      <c r="AC99" s="7">
        <v>8476389</v>
      </c>
    </row>
    <row r="100" spans="1:29" ht="15" customHeight="1" x14ac:dyDescent="0.2">
      <c r="A100" s="7" t="s">
        <v>352</v>
      </c>
      <c r="B100" s="7" t="s">
        <v>92</v>
      </c>
      <c r="C100" s="7" t="s">
        <v>297</v>
      </c>
      <c r="D100" s="7">
        <v>18</v>
      </c>
      <c r="E100" s="7">
        <v>9</v>
      </c>
      <c r="F100" s="7">
        <f>ROUND(0/E100,3)</f>
        <v>0</v>
      </c>
      <c r="G100" s="7">
        <f>ROUND(4/E100,3)</f>
        <v>0.44400000000000001</v>
      </c>
      <c r="H100" s="7">
        <f>ROUND(8/E100,3)</f>
        <v>0.88900000000000001</v>
      </c>
      <c r="I100" s="7">
        <f>ROUND(4/E100,3)</f>
        <v>0.44400000000000001</v>
      </c>
      <c r="J100" s="7">
        <f>ROUND(0/E100,3)</f>
        <v>0</v>
      </c>
      <c r="K100" s="7">
        <f>8*F100+6*G100+1*H100+1*J100+0.5*I100</f>
        <v>3.7749999999999999</v>
      </c>
      <c r="L100" s="7">
        <f>ROUND(128.95/E100,3)</f>
        <v>14.327999999999999</v>
      </c>
      <c r="M100" s="7">
        <f>ROUND(2/E100,3)</f>
        <v>0.222</v>
      </c>
      <c r="N100" s="7" t="s">
        <v>115</v>
      </c>
      <c r="O100" s="7" t="s">
        <v>207</v>
      </c>
      <c r="P100" s="7">
        <f>ROUND(15/E100,3)</f>
        <v>1.667</v>
      </c>
      <c r="Q100" s="7">
        <f>ROUND(11/E100,3)</f>
        <v>1.222</v>
      </c>
      <c r="R100" s="7">
        <f>ROUND(11/E100,3)</f>
        <v>1.222</v>
      </c>
      <c r="S100" s="7">
        <f>ROUND(7/E100,3)</f>
        <v>0.77800000000000002</v>
      </c>
      <c r="T100" s="7">
        <f>ROUND(1.66/E100,3)</f>
        <v>0.184</v>
      </c>
      <c r="U100" s="7">
        <f>ROUND(8/E100,3)</f>
        <v>0.88900000000000001</v>
      </c>
      <c r="V100" s="7">
        <f>ROUND(2/E100,3)</f>
        <v>0.222</v>
      </c>
      <c r="W100" s="7">
        <f>ROUND(1.53/E100,3)</f>
        <v>0.17</v>
      </c>
      <c r="X100" s="7">
        <v>0.61</v>
      </c>
      <c r="Y100" s="7">
        <v>0.52</v>
      </c>
      <c r="Z100" s="7">
        <v>0.52</v>
      </c>
      <c r="AA100" s="7">
        <f>ROUND(2.58/E100,3)</f>
        <v>0.28699999999999998</v>
      </c>
      <c r="AB100" s="7">
        <f>ROUND(3/E100,3)</f>
        <v>0.33300000000000002</v>
      </c>
      <c r="AC100" s="7">
        <v>8482667</v>
      </c>
    </row>
    <row r="101" spans="1:29" ht="15" customHeight="1" x14ac:dyDescent="0.2">
      <c r="A101" s="7" t="s">
        <v>353</v>
      </c>
      <c r="B101" s="7" t="s">
        <v>92</v>
      </c>
      <c r="C101" s="7" t="s">
        <v>56</v>
      </c>
      <c r="D101" s="7">
        <v>29</v>
      </c>
      <c r="E101" s="7">
        <v>76</v>
      </c>
      <c r="F101" s="7">
        <f>ROUND(27/E101,3)</f>
        <v>0.35499999999999998</v>
      </c>
      <c r="G101" s="7">
        <f>ROUND(27/E101,3)</f>
        <v>0.35499999999999998</v>
      </c>
      <c r="H101" s="7">
        <f>ROUND(213/E101,3)</f>
        <v>2.8029999999999999</v>
      </c>
      <c r="I101" s="7">
        <f>ROUND(74/E101,3)</f>
        <v>0.97399999999999998</v>
      </c>
      <c r="J101" s="7">
        <f>ROUND(23/E101,3)</f>
        <v>0.30299999999999999</v>
      </c>
      <c r="K101" s="7">
        <f>8*F101+6*G101+1*H101+1*J101+0.5*I101</f>
        <v>8.5630000000000006</v>
      </c>
      <c r="L101" s="7">
        <f>ROUND(1479.3333333333/E101,3)</f>
        <v>19.465</v>
      </c>
      <c r="M101" s="7">
        <f>ROUND(36/E101,3)</f>
        <v>0.47399999999999998</v>
      </c>
      <c r="N101" s="7" t="s">
        <v>354</v>
      </c>
      <c r="O101" s="7" t="s">
        <v>189</v>
      </c>
      <c r="P101" s="7">
        <f>ROUND(353/E101,3)</f>
        <v>4.6449999999999996</v>
      </c>
      <c r="Q101" s="7">
        <f>ROUND(293/E101,3)</f>
        <v>3.855</v>
      </c>
      <c r="R101" s="7">
        <f>ROUND(265/E101,3)</f>
        <v>3.4870000000000001</v>
      </c>
      <c r="S101" s="7">
        <f>ROUND(160/E101,3)</f>
        <v>2.105</v>
      </c>
      <c r="T101" s="7">
        <f>ROUND(29.78/E101,3)</f>
        <v>0.39200000000000002</v>
      </c>
      <c r="U101" s="7">
        <f>ROUND(33/E101,3)</f>
        <v>0.434</v>
      </c>
      <c r="V101" s="7">
        <f>ROUND(29/E101,3)</f>
        <v>0.38200000000000001</v>
      </c>
      <c r="W101" s="7">
        <f>ROUND(34.26/E101,3)</f>
        <v>0.45100000000000001</v>
      </c>
      <c r="X101" s="7">
        <v>0.56000000000000005</v>
      </c>
      <c r="Y101" s="7">
        <v>0.53</v>
      </c>
      <c r="Z101" s="7">
        <v>0.52</v>
      </c>
      <c r="AA101" s="7">
        <f>ROUND(60.14/E101,3)</f>
        <v>0.79100000000000004</v>
      </c>
      <c r="AB101" s="7">
        <f>ROUND(43/E101,3)</f>
        <v>0.56599999999999995</v>
      </c>
      <c r="AC101" s="7">
        <v>8475786</v>
      </c>
    </row>
    <row r="102" spans="1:29" ht="15" customHeight="1" x14ac:dyDescent="0.2">
      <c r="A102" s="7" t="s">
        <v>355</v>
      </c>
      <c r="B102" s="7" t="s">
        <v>60</v>
      </c>
      <c r="D102" s="7">
        <v>19</v>
      </c>
      <c r="K102" s="7"/>
      <c r="AC102" s="7">
        <v>8482659</v>
      </c>
    </row>
    <row r="103" spans="1:29" ht="15" customHeight="1" x14ac:dyDescent="0.2">
      <c r="A103" s="7" t="s">
        <v>356</v>
      </c>
      <c r="B103" s="7" t="s">
        <v>357</v>
      </c>
      <c r="C103" s="7" t="s">
        <v>259</v>
      </c>
      <c r="D103" s="7">
        <v>20</v>
      </c>
      <c r="E103" s="7">
        <v>33</v>
      </c>
      <c r="F103" s="7">
        <f>ROUND(3/E103,3)</f>
        <v>9.0999999999999998E-2</v>
      </c>
      <c r="G103" s="7">
        <f>ROUND(6/E103,3)</f>
        <v>0.182</v>
      </c>
      <c r="H103" s="7">
        <f>ROUND(34/E103,3)</f>
        <v>1.03</v>
      </c>
      <c r="I103" s="7">
        <f>ROUND(20/E103,3)</f>
        <v>0.60599999999999998</v>
      </c>
      <c r="J103" s="7">
        <f>ROUND(9/E103,3)</f>
        <v>0.27300000000000002</v>
      </c>
      <c r="K103" s="7">
        <f>8*F103+6*G103+1*H103+1*J103+0.5*I103</f>
        <v>3.4260000000000002</v>
      </c>
      <c r="L103" s="7">
        <f>ROUND(390.5/E103,3)</f>
        <v>11.833</v>
      </c>
      <c r="M103" s="7">
        <f>ROUND(0/E103,3)</f>
        <v>0</v>
      </c>
      <c r="N103" s="7" t="s">
        <v>358</v>
      </c>
      <c r="O103" s="7" t="s">
        <v>359</v>
      </c>
      <c r="P103" s="7">
        <f>ROUND(61/E103,3)</f>
        <v>1.8480000000000001</v>
      </c>
      <c r="Q103" s="7">
        <f>ROUND(44/E103,3)</f>
        <v>1.333</v>
      </c>
      <c r="R103" s="7">
        <f>ROUND(46/E103,3)</f>
        <v>1.3939999999999999</v>
      </c>
      <c r="S103" s="7">
        <f>ROUND(23/E103,3)</f>
        <v>0.69699999999999995</v>
      </c>
      <c r="T103" s="7">
        <f>ROUND(4.25/E103,3)</f>
        <v>0.129</v>
      </c>
      <c r="U103" s="7">
        <f>ROUND(15/E103,3)</f>
        <v>0.45500000000000002</v>
      </c>
      <c r="V103" s="7">
        <f>ROUND(8/E103,3)</f>
        <v>0.24199999999999999</v>
      </c>
      <c r="W103" s="7">
        <f>ROUND(4.35/E103,3)</f>
        <v>0.13200000000000001</v>
      </c>
      <c r="X103" s="7">
        <v>0.55000000000000004</v>
      </c>
      <c r="Y103" s="7">
        <v>0.56000000000000005</v>
      </c>
      <c r="Z103" s="7">
        <v>0.56999999999999995</v>
      </c>
      <c r="AA103" s="7">
        <f>ROUND(12.52/E103,3)</f>
        <v>0.379</v>
      </c>
      <c r="AB103" s="7">
        <f>ROUND(6/E103,3)</f>
        <v>0.182</v>
      </c>
      <c r="AC103" s="7">
        <v>8481656</v>
      </c>
    </row>
    <row r="104" spans="1:29" ht="15" customHeight="1" x14ac:dyDescent="0.2">
      <c r="A104" s="7" t="s">
        <v>360</v>
      </c>
      <c r="B104" s="7" t="s">
        <v>55</v>
      </c>
      <c r="C104" s="7" t="s">
        <v>61</v>
      </c>
      <c r="D104" s="7">
        <v>24</v>
      </c>
      <c r="E104" s="7">
        <v>76</v>
      </c>
      <c r="F104" s="7">
        <f>ROUND(17/E104,3)</f>
        <v>0.224</v>
      </c>
      <c r="G104" s="7">
        <f>ROUND(26/E104,3)</f>
        <v>0.34200000000000003</v>
      </c>
      <c r="H104" s="7">
        <f>ROUND(146/E104,3)</f>
        <v>1.921</v>
      </c>
      <c r="I104" s="7">
        <f>ROUND(75/E104,3)</f>
        <v>0.98699999999999999</v>
      </c>
      <c r="J104" s="7">
        <f>ROUND(29/E104,3)</f>
        <v>0.38200000000000001</v>
      </c>
      <c r="K104" s="7">
        <f>8*F104+6*G104+1*H104+1*J104+0.5*I104</f>
        <v>6.6405000000000003</v>
      </c>
      <c r="L104" s="7">
        <f>ROUND(1389.9666666667/E104,3)</f>
        <v>18.289000000000001</v>
      </c>
      <c r="M104" s="7">
        <f>ROUND(70/E104,3)</f>
        <v>0.92100000000000004</v>
      </c>
      <c r="N104" s="7" t="s">
        <v>361</v>
      </c>
      <c r="O104" s="7" t="s">
        <v>362</v>
      </c>
      <c r="P104" s="7">
        <f>ROUND(260/E104,3)</f>
        <v>3.4209999999999998</v>
      </c>
      <c r="Q104" s="7">
        <f>ROUND(202/E104,3)</f>
        <v>2.6579999999999999</v>
      </c>
      <c r="R104" s="7">
        <f>ROUND(186/E104,3)</f>
        <v>2.4470000000000001</v>
      </c>
      <c r="S104" s="7">
        <f>ROUND(86/E104,3)</f>
        <v>1.1319999999999999</v>
      </c>
      <c r="T104" s="7">
        <f>ROUND(17.64/E104,3)</f>
        <v>0.23200000000000001</v>
      </c>
      <c r="U104" s="7">
        <f>ROUND(13/E104,3)</f>
        <v>0.17100000000000001</v>
      </c>
      <c r="V104" s="7">
        <f>ROUND(60/E104,3)</f>
        <v>0.78900000000000003</v>
      </c>
      <c r="W104" s="7">
        <f>ROUND(18.23/E104,3)</f>
        <v>0.24</v>
      </c>
      <c r="X104" s="7">
        <v>0.49</v>
      </c>
      <c r="Y104" s="7">
        <v>0.51</v>
      </c>
      <c r="Z104" s="7">
        <v>0.52</v>
      </c>
      <c r="AA104" s="7">
        <f>ROUND(52.69/E104,3)</f>
        <v>0.69299999999999995</v>
      </c>
      <c r="AB104" s="7">
        <f>ROUND(23/E104,3)</f>
        <v>0.30299999999999999</v>
      </c>
      <c r="AC104" s="7">
        <v>8478519</v>
      </c>
    </row>
    <row r="105" spans="1:29" ht="15" customHeight="1" x14ac:dyDescent="0.2">
      <c r="A105" s="7" t="s">
        <v>363</v>
      </c>
      <c r="B105" s="7" t="s">
        <v>60</v>
      </c>
      <c r="C105" s="7" t="s">
        <v>364</v>
      </c>
      <c r="D105" s="7">
        <v>22</v>
      </c>
      <c r="E105" s="7">
        <v>63</v>
      </c>
      <c r="F105" s="7">
        <f>ROUND(10/E105,3)</f>
        <v>0.159</v>
      </c>
      <c r="G105" s="7">
        <f>ROUND(11/E105,3)</f>
        <v>0.17499999999999999</v>
      </c>
      <c r="H105" s="7">
        <f>ROUND(126/E105,3)</f>
        <v>2</v>
      </c>
      <c r="I105" s="7">
        <f>ROUND(98/E105,3)</f>
        <v>1.556</v>
      </c>
      <c r="J105" s="7">
        <f>ROUND(15/E105,3)</f>
        <v>0.23799999999999999</v>
      </c>
      <c r="K105" s="7">
        <f>8*F105+6*G105+1*H105+1*J105+0.5*I105</f>
        <v>5.338000000000001</v>
      </c>
      <c r="L105" s="7">
        <f>ROUND(845.63333333333/E105,3)</f>
        <v>13.423</v>
      </c>
      <c r="M105" s="7">
        <f>ROUND(12/E105,3)</f>
        <v>0.19</v>
      </c>
      <c r="N105" s="7" t="s">
        <v>365</v>
      </c>
      <c r="O105" s="7" t="s">
        <v>366</v>
      </c>
      <c r="P105" s="7">
        <f>ROUND(213/E105,3)</f>
        <v>3.3809999999999998</v>
      </c>
      <c r="Q105" s="7">
        <f>ROUND(163/E105,3)</f>
        <v>2.5870000000000002</v>
      </c>
      <c r="R105" s="7">
        <f>ROUND(115/E105,3)</f>
        <v>1.825</v>
      </c>
      <c r="S105" s="7">
        <f>ROUND(49/E105,3)</f>
        <v>0.77800000000000002</v>
      </c>
      <c r="T105" s="7">
        <f>ROUND(12.9/E105,3)</f>
        <v>0.20499999999999999</v>
      </c>
      <c r="U105" s="7">
        <f>ROUND(25/E105,3)</f>
        <v>0.39700000000000002</v>
      </c>
      <c r="V105" s="7">
        <f>ROUND(36/E105,3)</f>
        <v>0.57099999999999995</v>
      </c>
      <c r="W105" s="7">
        <f>ROUND(13.76/E105,3)</f>
        <v>0.218</v>
      </c>
      <c r="X105" s="7">
        <v>0.55000000000000004</v>
      </c>
      <c r="Y105" s="7">
        <v>0.56999999999999995</v>
      </c>
      <c r="Z105" s="7">
        <v>0.56999999999999995</v>
      </c>
      <c r="AA105" s="7">
        <f>ROUND(30.57/E105,3)</f>
        <v>0.48499999999999999</v>
      </c>
      <c r="AB105" s="7">
        <f>ROUND(17/E105,3)</f>
        <v>0.27</v>
      </c>
      <c r="AC105" s="7">
        <v>8480015</v>
      </c>
    </row>
    <row r="106" spans="1:29" ht="15" customHeight="1" x14ac:dyDescent="0.2">
      <c r="A106" s="7" t="s">
        <v>367</v>
      </c>
      <c r="B106" s="7" t="s">
        <v>92</v>
      </c>
      <c r="D106" s="7">
        <v>20</v>
      </c>
      <c r="K106" s="7"/>
      <c r="AC106" s="7">
        <v>8482077</v>
      </c>
    </row>
    <row r="107" spans="1:29" ht="15" customHeight="1" x14ac:dyDescent="0.2">
      <c r="A107" s="7" t="s">
        <v>368</v>
      </c>
      <c r="B107" s="7" t="s">
        <v>60</v>
      </c>
      <c r="D107" s="7">
        <v>17</v>
      </c>
      <c r="K107" s="7"/>
      <c r="AC107" s="7">
        <v>8483516</v>
      </c>
    </row>
    <row r="108" spans="1:29" ht="15" customHeight="1" x14ac:dyDescent="0.2">
      <c r="A108" s="7" t="s">
        <v>369</v>
      </c>
      <c r="B108" s="7" t="s">
        <v>60</v>
      </c>
      <c r="C108" s="7" t="s">
        <v>138</v>
      </c>
      <c r="D108" s="7">
        <v>20</v>
      </c>
      <c r="E108" s="7">
        <v>2</v>
      </c>
      <c r="F108" s="7">
        <f>ROUND(1/E108,3)</f>
        <v>0.5</v>
      </c>
      <c r="G108" s="7">
        <f>ROUND(1/E108,3)</f>
        <v>0.5</v>
      </c>
      <c r="H108" s="7">
        <f>ROUND(6/E108,3)</f>
        <v>3</v>
      </c>
      <c r="I108" s="7">
        <f>ROUND(0/E108,3)</f>
        <v>0</v>
      </c>
      <c r="J108" s="7">
        <f>ROUND(1/E108,3)</f>
        <v>0.5</v>
      </c>
      <c r="K108" s="7">
        <f>8*F108+6*G108+1*H108+1*J108+0.5*I108</f>
        <v>10.5</v>
      </c>
      <c r="L108" s="7">
        <f>ROUND(29.75/E108,3)</f>
        <v>14.875</v>
      </c>
      <c r="M108" s="7">
        <f>ROUND(0/E108,3)</f>
        <v>0</v>
      </c>
      <c r="N108" s="7" t="s">
        <v>64</v>
      </c>
      <c r="O108" s="7" t="s">
        <v>256</v>
      </c>
      <c r="P108" s="7">
        <f>ROUND(9/E108,3)</f>
        <v>4.5</v>
      </c>
      <c r="Q108" s="7">
        <f>ROUND(6/E108,3)</f>
        <v>3</v>
      </c>
      <c r="R108" s="7">
        <f>ROUND(8/E108,3)</f>
        <v>4</v>
      </c>
      <c r="S108" s="7">
        <f>ROUND(0/E108,3)</f>
        <v>0</v>
      </c>
      <c r="T108" s="7">
        <f>ROUND(0.28/E108,3)</f>
        <v>0.14000000000000001</v>
      </c>
      <c r="U108" s="7">
        <f>ROUND(0/E108,3)</f>
        <v>0</v>
      </c>
      <c r="V108" s="7">
        <f>ROUND(1/E108,3)</f>
        <v>0.5</v>
      </c>
      <c r="W108" s="7">
        <f>ROUND(0.31/E108,3)</f>
        <v>0.155</v>
      </c>
      <c r="X108" s="7">
        <v>0.34</v>
      </c>
      <c r="Y108" s="7">
        <v>0.43</v>
      </c>
      <c r="Z108" s="7">
        <v>0.39</v>
      </c>
      <c r="AA108" s="7">
        <f>ROUND(1.25/E108,3)</f>
        <v>0.625</v>
      </c>
      <c r="AB108" s="7">
        <f>ROUND(0/E108,3)</f>
        <v>0</v>
      </c>
      <c r="AC108" s="7">
        <v>8482097</v>
      </c>
    </row>
    <row r="109" spans="1:29" ht="15" customHeight="1" x14ac:dyDescent="0.2">
      <c r="A109" s="7" t="s">
        <v>370</v>
      </c>
      <c r="B109" s="7" t="s">
        <v>60</v>
      </c>
      <c r="D109" s="7">
        <v>16</v>
      </c>
      <c r="K109" s="7"/>
      <c r="AC109" s="7">
        <v>8484387</v>
      </c>
    </row>
    <row r="110" spans="1:29" ht="15" customHeight="1" x14ac:dyDescent="0.2">
      <c r="A110" s="7" t="s">
        <v>371</v>
      </c>
      <c r="B110" s="7" t="s">
        <v>55</v>
      </c>
      <c r="C110" s="7" t="s">
        <v>274</v>
      </c>
      <c r="D110" s="7">
        <v>26</v>
      </c>
      <c r="E110" s="7">
        <v>67</v>
      </c>
      <c r="F110" s="7">
        <f>ROUND(39/E110,3)</f>
        <v>0.58199999999999996</v>
      </c>
      <c r="G110" s="7">
        <f>ROUND(49/E110,3)</f>
        <v>0.73099999999999998</v>
      </c>
      <c r="H110" s="7">
        <f>ROUND(214/E110,3)</f>
        <v>3.194</v>
      </c>
      <c r="I110" s="7">
        <f>ROUND(50/E110,3)</f>
        <v>0.746</v>
      </c>
      <c r="J110" s="7">
        <f>ROUND(40/E110,3)</f>
        <v>0.59699999999999998</v>
      </c>
      <c r="K110" s="7">
        <f>8*F110+6*G110+1*H110+1*J110+0.5*I110</f>
        <v>13.206</v>
      </c>
      <c r="L110" s="7">
        <f>ROUND(1360.3166666667/E110,3)</f>
        <v>20.303000000000001</v>
      </c>
      <c r="M110" s="7">
        <f>ROUND(18/E110,3)</f>
        <v>0.26900000000000002</v>
      </c>
      <c r="N110" s="7" t="s">
        <v>372</v>
      </c>
      <c r="O110" s="7" t="s">
        <v>373</v>
      </c>
      <c r="P110" s="7">
        <f>ROUND(340/E110,3)</f>
        <v>5.0750000000000002</v>
      </c>
      <c r="Q110" s="7">
        <f>ROUND(274/E110,3)</f>
        <v>4.09</v>
      </c>
      <c r="R110" s="7">
        <f>ROUND(224/E110,3)</f>
        <v>3.343</v>
      </c>
      <c r="S110" s="7">
        <f>ROUND(99/E110,3)</f>
        <v>1.478</v>
      </c>
      <c r="T110" s="7">
        <f>ROUND(24.54/E110,3)</f>
        <v>0.36599999999999999</v>
      </c>
      <c r="U110" s="7">
        <f>ROUND(51/E110,3)</f>
        <v>0.76100000000000001</v>
      </c>
      <c r="V110" s="7">
        <f>ROUND(59/E110,3)</f>
        <v>0.88100000000000001</v>
      </c>
      <c r="W110" s="7">
        <f>ROUND(28.66/E110,3)</f>
        <v>0.42799999999999999</v>
      </c>
      <c r="X110" s="7">
        <v>0.61</v>
      </c>
      <c r="Y110" s="7">
        <v>0.6</v>
      </c>
      <c r="Z110" s="7">
        <v>0.59</v>
      </c>
      <c r="AA110" s="7">
        <f>ROUND(97.14/E110,3)</f>
        <v>1.45</v>
      </c>
      <c r="AB110" s="7">
        <f>ROUND(28/E110,3)</f>
        <v>0.41799999999999998</v>
      </c>
      <c r="AC110" s="7">
        <v>8477493</v>
      </c>
    </row>
    <row r="112" spans="1:29" ht="15" customHeight="1" x14ac:dyDescent="0.2">
      <c r="A112" s="4" t="s">
        <v>374</v>
      </c>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spans="1:29" ht="15" customHeight="1" x14ac:dyDescent="0.2">
      <c r="A113" s="6" t="s">
        <v>25</v>
      </c>
      <c r="B113" s="6" t="s">
        <v>26</v>
      </c>
      <c r="C113" s="6" t="s">
        <v>27</v>
      </c>
      <c r="D113" s="6" t="s">
        <v>28</v>
      </c>
      <c r="E113" s="6" t="s">
        <v>29</v>
      </c>
      <c r="F113" s="6" t="s">
        <v>30</v>
      </c>
      <c r="G113" s="6" t="s">
        <v>31</v>
      </c>
      <c r="H113" s="6" t="s">
        <v>32</v>
      </c>
      <c r="I113" s="6" t="s">
        <v>33</v>
      </c>
      <c r="J113" s="6" t="s">
        <v>34</v>
      </c>
      <c r="K113" s="6" t="s">
        <v>35</v>
      </c>
      <c r="L113" s="6" t="s">
        <v>36</v>
      </c>
      <c r="M113" s="6" t="s">
        <v>37</v>
      </c>
      <c r="N113" s="6" t="s">
        <v>38</v>
      </c>
      <c r="O113" s="6" t="s">
        <v>39</v>
      </c>
      <c r="P113" s="6" t="s">
        <v>40</v>
      </c>
      <c r="Q113" s="6" t="s">
        <v>41</v>
      </c>
      <c r="R113" s="6" t="s">
        <v>42</v>
      </c>
      <c r="S113" s="6" t="s">
        <v>43</v>
      </c>
      <c r="T113" s="6" t="s">
        <v>44</v>
      </c>
      <c r="U113" s="6" t="s">
        <v>45</v>
      </c>
      <c r="V113" s="6" t="s">
        <v>46</v>
      </c>
      <c r="W113" s="6" t="s">
        <v>47</v>
      </c>
      <c r="X113" s="6" t="s">
        <v>48</v>
      </c>
      <c r="Y113" s="6" t="s">
        <v>49</v>
      </c>
      <c r="Z113" s="6" t="s">
        <v>50</v>
      </c>
      <c r="AA113" s="6" t="s">
        <v>51</v>
      </c>
      <c r="AB113" s="6" t="s">
        <v>52</v>
      </c>
      <c r="AC113" s="6" t="s">
        <v>53</v>
      </c>
    </row>
    <row r="114" spans="1:29" ht="15" customHeight="1" x14ac:dyDescent="0.2">
      <c r="A114" s="7" t="s">
        <v>375</v>
      </c>
      <c r="B114" s="7" t="s">
        <v>376</v>
      </c>
      <c r="C114" s="7" t="s">
        <v>56</v>
      </c>
      <c r="D114" s="7">
        <v>21</v>
      </c>
      <c r="E114" s="7">
        <v>81</v>
      </c>
      <c r="F114" s="7">
        <f>ROUND(12/E114,3)</f>
        <v>0.14799999999999999</v>
      </c>
      <c r="G114" s="7">
        <f>ROUND(31/E114,3)</f>
        <v>0.38300000000000001</v>
      </c>
      <c r="H114" s="7">
        <f>ROUND(205/E114,3)</f>
        <v>2.5310000000000001</v>
      </c>
      <c r="I114" s="7">
        <f>ROUND(80/E114,3)</f>
        <v>0.98799999999999999</v>
      </c>
      <c r="J114" s="7">
        <f>ROUND(106/E114,3)</f>
        <v>1.3089999999999999</v>
      </c>
      <c r="K114" s="7">
        <f>8*F114+6*G114+1*H114+1*J114+0.5*I114</f>
        <v>7.8159999999999998</v>
      </c>
      <c r="L114" s="7">
        <f>ROUND(1604.1666666667/E114,3)</f>
        <v>19.805</v>
      </c>
      <c r="M114" s="7">
        <f>ROUND(28/E114,3)</f>
        <v>0.34599999999999997</v>
      </c>
      <c r="N114" s="7" t="s">
        <v>377</v>
      </c>
      <c r="O114" s="7" t="s">
        <v>378</v>
      </c>
      <c r="P114" s="7">
        <f>ROUND(400/E114,3)</f>
        <v>4.9379999999999997</v>
      </c>
      <c r="Q114" s="7">
        <f>ROUND(278/E114,3)</f>
        <v>3.4319999999999999</v>
      </c>
      <c r="R114" s="7">
        <f>ROUND(74/E114,3)</f>
        <v>0.91400000000000003</v>
      </c>
      <c r="S114" s="7">
        <f>ROUND(13/E114,3)</f>
        <v>0.16</v>
      </c>
      <c r="T114" s="7">
        <f>ROUND(9.39/E114,3)</f>
        <v>0.11600000000000001</v>
      </c>
      <c r="U114" s="7">
        <f>ROUND(79/E114,3)</f>
        <v>0.97499999999999998</v>
      </c>
      <c r="V114" s="7">
        <f>ROUND(37/E114,3)</f>
        <v>0.45700000000000002</v>
      </c>
      <c r="W114" s="7">
        <f>ROUND(8.14/E114,3)</f>
        <v>0.1</v>
      </c>
      <c r="X114" s="7">
        <v>0.54</v>
      </c>
      <c r="Y114" s="7">
        <v>0.54</v>
      </c>
      <c r="Z114" s="7">
        <v>0.54</v>
      </c>
      <c r="AA114" s="7">
        <f>ROUND(62.52/E114,3)</f>
        <v>0.77200000000000002</v>
      </c>
      <c r="AB114" s="7">
        <f>ROUND(2/E114,3)</f>
        <v>2.5000000000000001E-2</v>
      </c>
      <c r="AC114" s="7">
        <v>8480803</v>
      </c>
    </row>
    <row r="115" spans="1:29" ht="15" customHeight="1" x14ac:dyDescent="0.2">
      <c r="A115" s="7" t="s">
        <v>379</v>
      </c>
      <c r="B115" s="7" t="s">
        <v>376</v>
      </c>
      <c r="C115" s="7" t="s">
        <v>380</v>
      </c>
      <c r="D115" s="7">
        <v>24</v>
      </c>
      <c r="E115" s="7">
        <v>68</v>
      </c>
      <c r="F115" s="7">
        <f>ROUND(11/E115,3)</f>
        <v>0.16200000000000001</v>
      </c>
      <c r="G115" s="7">
        <f>ROUND(37/E115,3)</f>
        <v>0.54400000000000004</v>
      </c>
      <c r="H115" s="7">
        <f>ROUND(216/E115,3)</f>
        <v>3.1760000000000002</v>
      </c>
      <c r="I115" s="7">
        <f>ROUND(33/E115,3)</f>
        <v>0.48499999999999999</v>
      </c>
      <c r="J115" s="7">
        <f>ROUND(90/E115,3)</f>
        <v>1.3240000000000001</v>
      </c>
      <c r="K115" s="7">
        <f>8*F115+6*G115+1*H115+1*J115+0.5*I115</f>
        <v>9.3025000000000002</v>
      </c>
      <c r="L115" s="7">
        <f>ROUND(1745.3166666667/E115,3)</f>
        <v>25.666</v>
      </c>
      <c r="M115" s="7">
        <f>ROUND(22/E115,3)</f>
        <v>0.32400000000000001</v>
      </c>
      <c r="N115" s="7" t="s">
        <v>381</v>
      </c>
      <c r="O115" s="7" t="s">
        <v>382</v>
      </c>
      <c r="P115" s="7">
        <f>ROUND(428/E115,3)</f>
        <v>6.2939999999999996</v>
      </c>
      <c r="Q115" s="7">
        <f>ROUND(313/E115,3)</f>
        <v>4.6029999999999998</v>
      </c>
      <c r="R115" s="7">
        <f>ROUND(135/E115,3)</f>
        <v>1.9850000000000001</v>
      </c>
      <c r="S115" s="7">
        <f>ROUND(27/E115,3)</f>
        <v>0.39700000000000002</v>
      </c>
      <c r="T115" s="7">
        <f>ROUND(13.26/E115,3)</f>
        <v>0.19500000000000001</v>
      </c>
      <c r="U115" s="7">
        <f>ROUND(39/E115,3)</f>
        <v>0.57399999999999995</v>
      </c>
      <c r="V115" s="7">
        <f>ROUND(39/E115,3)</f>
        <v>0.57399999999999995</v>
      </c>
      <c r="W115" s="7">
        <f>ROUND(13.65/E115,3)</f>
        <v>0.20100000000000001</v>
      </c>
      <c r="X115" s="7">
        <v>0.52</v>
      </c>
      <c r="Y115" s="7">
        <v>0.54</v>
      </c>
      <c r="Z115" s="7">
        <v>0.52</v>
      </c>
      <c r="AA115" s="7">
        <f>ROUND(48.8/E115,3)</f>
        <v>0.71799999999999997</v>
      </c>
      <c r="AB115" s="7">
        <f>ROUND(8/E115,3)</f>
        <v>0.11799999999999999</v>
      </c>
      <c r="AC115" s="7">
        <v>8478460</v>
      </c>
    </row>
    <row r="116" spans="1:29" ht="15" customHeight="1" x14ac:dyDescent="0.2">
      <c r="A116" s="7" t="s">
        <v>383</v>
      </c>
      <c r="B116" s="7" t="s">
        <v>376</v>
      </c>
      <c r="C116" s="7" t="s">
        <v>66</v>
      </c>
      <c r="D116" s="7">
        <v>22</v>
      </c>
      <c r="E116" s="7">
        <v>77</v>
      </c>
      <c r="F116" s="7">
        <f>ROUND(28/E116,3)</f>
        <v>0.36399999999999999</v>
      </c>
      <c r="G116" s="7">
        <f>ROUND(58/E116,3)</f>
        <v>0.753</v>
      </c>
      <c r="H116" s="7">
        <f>ROUND(240/E116,3)</f>
        <v>3.117</v>
      </c>
      <c r="I116" s="7">
        <f>ROUND(95/E116,3)</f>
        <v>1.234</v>
      </c>
      <c r="J116" s="7">
        <f>ROUND(102/E116,3)</f>
        <v>1.325</v>
      </c>
      <c r="K116" s="7">
        <f>8*F116+6*G116+1*H116+1*J116+0.5*I116</f>
        <v>12.489000000000001</v>
      </c>
      <c r="L116" s="7">
        <f>ROUND(1976.4333333333/E116,3)</f>
        <v>25.667999999999999</v>
      </c>
      <c r="M116" s="7">
        <f>ROUND(26/E116,3)</f>
        <v>0.33800000000000002</v>
      </c>
      <c r="N116" s="7" t="s">
        <v>384</v>
      </c>
      <c r="O116" s="7" t="s">
        <v>385</v>
      </c>
      <c r="P116" s="7">
        <f>ROUND(494/E116,3)</f>
        <v>6.4160000000000004</v>
      </c>
      <c r="Q116" s="7">
        <f>ROUND(319/E116,3)</f>
        <v>4.1429999999999998</v>
      </c>
      <c r="R116" s="7">
        <f>ROUND(153/E116,3)</f>
        <v>1.9870000000000001</v>
      </c>
      <c r="S116" s="7">
        <f>ROUND(14/E116,3)</f>
        <v>0.182</v>
      </c>
      <c r="T116" s="7">
        <f>ROUND(14.93/E116,3)</f>
        <v>0.19400000000000001</v>
      </c>
      <c r="U116" s="7">
        <f>ROUND(40/E116,3)</f>
        <v>0.51900000000000002</v>
      </c>
      <c r="V116" s="7">
        <f>ROUND(49/E116,3)</f>
        <v>0.63600000000000001</v>
      </c>
      <c r="W116" s="7">
        <f>ROUND(15.02/E116,3)</f>
        <v>0.19500000000000001</v>
      </c>
      <c r="X116" s="7">
        <v>0.62</v>
      </c>
      <c r="Y116" s="7">
        <v>0.59</v>
      </c>
      <c r="Z116" s="7">
        <v>0.59</v>
      </c>
      <c r="AA116" s="7">
        <f>ROUND(103.45/E116,3)</f>
        <v>1.3440000000000001</v>
      </c>
      <c r="AB116" s="7">
        <f>ROUND(12/E116,3)</f>
        <v>0.156</v>
      </c>
      <c r="AC116" s="7">
        <v>8480069</v>
      </c>
    </row>
    <row r="117" spans="1:29" ht="15" customHeight="1" x14ac:dyDescent="0.2">
      <c r="A117" s="7" t="s">
        <v>386</v>
      </c>
      <c r="B117" s="7" t="s">
        <v>376</v>
      </c>
      <c r="D117" s="7">
        <v>17</v>
      </c>
      <c r="K117" s="7"/>
      <c r="AC117" s="7">
        <v>8483457</v>
      </c>
    </row>
    <row r="118" spans="1:29" ht="15" customHeight="1" x14ac:dyDescent="0.2">
      <c r="A118" s="7" t="s">
        <v>387</v>
      </c>
      <c r="B118" s="7" t="s">
        <v>376</v>
      </c>
      <c r="C118" s="7" t="s">
        <v>307</v>
      </c>
      <c r="D118" s="7">
        <v>21</v>
      </c>
      <c r="E118" s="7">
        <v>76</v>
      </c>
      <c r="F118" s="7">
        <f>ROUND(8/E118,3)</f>
        <v>0.105</v>
      </c>
      <c r="G118" s="7">
        <f>ROUND(60/E118,3)</f>
        <v>0.78900000000000003</v>
      </c>
      <c r="H118" s="7">
        <f>ROUND(150/E118,3)</f>
        <v>1.974</v>
      </c>
      <c r="I118" s="7">
        <f>ROUND(19/E118,3)</f>
        <v>0.25</v>
      </c>
      <c r="J118" s="7">
        <f>ROUND(56/E118,3)</f>
        <v>0.73699999999999999</v>
      </c>
      <c r="K118" s="7">
        <f t="shared" ref="K118:K126" si="6">8*F118+6*G118+1*H118+1*J118+0.5*I118</f>
        <v>8.41</v>
      </c>
      <c r="L118" s="7">
        <f>ROUND(1917.35/E118,3)</f>
        <v>25.228000000000002</v>
      </c>
      <c r="M118" s="7">
        <f>ROUND(28/E118,3)</f>
        <v>0.36799999999999999</v>
      </c>
      <c r="N118" s="7" t="s">
        <v>388</v>
      </c>
      <c r="O118" s="7" t="s">
        <v>389</v>
      </c>
      <c r="P118" s="7">
        <f>ROUND(342/E118,3)</f>
        <v>4.5</v>
      </c>
      <c r="Q118" s="7">
        <f>ROUND(202/E118,3)</f>
        <v>2.6579999999999999</v>
      </c>
      <c r="R118" s="7">
        <f>ROUND(90/E118,3)</f>
        <v>1.1839999999999999</v>
      </c>
      <c r="S118" s="7">
        <f>ROUND(8/E118,3)</f>
        <v>0.105</v>
      </c>
      <c r="T118" s="7">
        <f>ROUND(6.96/E118,3)</f>
        <v>9.1999999999999998E-2</v>
      </c>
      <c r="U118" s="7">
        <f>ROUND(42/E118,3)</f>
        <v>0.55300000000000005</v>
      </c>
      <c r="V118" s="7">
        <f>ROUND(41/E118,3)</f>
        <v>0.53900000000000003</v>
      </c>
      <c r="W118" s="7">
        <f>ROUND(6.36/E118,3)</f>
        <v>8.4000000000000005E-2</v>
      </c>
      <c r="X118" s="7">
        <v>0.56999999999999995</v>
      </c>
      <c r="Y118" s="7">
        <v>0.57999999999999996</v>
      </c>
      <c r="Z118" s="7">
        <v>0.56999999999999995</v>
      </c>
      <c r="AA118" s="7">
        <f>ROUND(65.45/E118,3)</f>
        <v>0.86099999999999999</v>
      </c>
      <c r="AB118" s="7">
        <f>ROUND(4/E118,3)</f>
        <v>5.2999999999999999E-2</v>
      </c>
      <c r="AC118" s="7">
        <v>8480800</v>
      </c>
    </row>
    <row r="119" spans="1:29" ht="15" customHeight="1" x14ac:dyDescent="0.2">
      <c r="A119" s="7" t="s">
        <v>390</v>
      </c>
      <c r="B119" s="7" t="s">
        <v>376</v>
      </c>
      <c r="C119" s="7" t="s">
        <v>138</v>
      </c>
      <c r="D119" s="7">
        <v>21</v>
      </c>
      <c r="E119" s="7">
        <v>80</v>
      </c>
      <c r="F119" s="7">
        <f>ROUND(13/E119,3)</f>
        <v>0.16300000000000001</v>
      </c>
      <c r="G119" s="7">
        <f>ROUND(40/E119,3)</f>
        <v>0.5</v>
      </c>
      <c r="H119" s="7">
        <f>ROUND(171/E119,3)</f>
        <v>2.1379999999999999</v>
      </c>
      <c r="I119" s="7">
        <f>ROUND(121/E119,3)</f>
        <v>1.5129999999999999</v>
      </c>
      <c r="J119" s="7">
        <f>ROUND(87/E119,3)</f>
        <v>1.0880000000000001</v>
      </c>
      <c r="K119" s="7">
        <f t="shared" si="6"/>
        <v>8.2865000000000002</v>
      </c>
      <c r="L119" s="7">
        <f>ROUND(1922.3/E119,3)</f>
        <v>24.029</v>
      </c>
      <c r="M119" s="7">
        <f>ROUND(68/E119,3)</f>
        <v>0.85</v>
      </c>
      <c r="N119" s="7" t="s">
        <v>391</v>
      </c>
      <c r="O119" s="7" t="s">
        <v>392</v>
      </c>
      <c r="P119" s="7">
        <f>ROUND(322/E119,3)</f>
        <v>4.0250000000000004</v>
      </c>
      <c r="Q119" s="7">
        <f>ROUND(224/E119,3)</f>
        <v>2.8</v>
      </c>
      <c r="R119" s="7">
        <f>ROUND(77/E119,3)</f>
        <v>0.96299999999999997</v>
      </c>
      <c r="S119" s="7">
        <f>ROUND(14/E119,3)</f>
        <v>0.17499999999999999</v>
      </c>
      <c r="T119" s="7">
        <f>ROUND(8.4/E119,3)</f>
        <v>0.105</v>
      </c>
      <c r="U119" s="7">
        <f>ROUND(51/E119,3)</f>
        <v>0.63800000000000001</v>
      </c>
      <c r="V119" s="7">
        <f>ROUND(27/E119,3)</f>
        <v>0.33800000000000002</v>
      </c>
      <c r="W119" s="7">
        <f>ROUND(7.68/E119,3)</f>
        <v>9.6000000000000002E-2</v>
      </c>
      <c r="X119" s="7">
        <v>0.49</v>
      </c>
      <c r="Y119" s="7">
        <v>0.54</v>
      </c>
      <c r="Z119" s="7">
        <v>0.52</v>
      </c>
      <c r="AA119" s="7">
        <f>ROUND(49.45/E119,3)</f>
        <v>0.61799999999999999</v>
      </c>
      <c r="AB119" s="7">
        <f>ROUND(4/E119,3)</f>
        <v>0.05</v>
      </c>
      <c r="AC119" s="7">
        <v>8480839</v>
      </c>
    </row>
    <row r="120" spans="1:29" ht="15" customHeight="1" x14ac:dyDescent="0.2">
      <c r="A120" s="7" t="s">
        <v>393</v>
      </c>
      <c r="B120" s="7" t="s">
        <v>376</v>
      </c>
      <c r="C120" s="7" t="s">
        <v>61</v>
      </c>
      <c r="D120" s="7">
        <v>25</v>
      </c>
      <c r="E120" s="7">
        <v>4</v>
      </c>
      <c r="F120" s="7">
        <f>ROUND(0/E120,3)</f>
        <v>0</v>
      </c>
      <c r="G120" s="7">
        <f>ROUND(0/E120,3)</f>
        <v>0</v>
      </c>
      <c r="H120" s="7">
        <f>ROUND(2/E120,3)</f>
        <v>0.5</v>
      </c>
      <c r="I120" s="7">
        <f>ROUND(4/E120,3)</f>
        <v>1</v>
      </c>
      <c r="J120" s="7">
        <f>ROUND(3/E120,3)</f>
        <v>0.75</v>
      </c>
      <c r="K120" s="7">
        <f t="shared" si="6"/>
        <v>1.75</v>
      </c>
      <c r="L120" s="7">
        <f>ROUND(42.683333333333/E120,3)</f>
        <v>10.670999999999999</v>
      </c>
      <c r="M120" s="7">
        <f>ROUND(0/E120,3)</f>
        <v>0</v>
      </c>
      <c r="N120" s="7" t="s">
        <v>207</v>
      </c>
      <c r="O120" s="7" t="s">
        <v>207</v>
      </c>
      <c r="P120" s="7">
        <f>ROUND(5/E120,3)</f>
        <v>1.25</v>
      </c>
      <c r="Q120" s="7">
        <f>ROUND(3/E120,3)</f>
        <v>0.75</v>
      </c>
      <c r="R120" s="7">
        <f>ROUND(1/E120,3)</f>
        <v>0.25</v>
      </c>
      <c r="S120" s="7">
        <f>ROUND(0/E120,3)</f>
        <v>0</v>
      </c>
      <c r="T120" s="7">
        <f>ROUND(0.05/E120,3)</f>
        <v>1.2999999999999999E-2</v>
      </c>
      <c r="U120" s="7">
        <f>ROUND(0/E120,3)</f>
        <v>0</v>
      </c>
      <c r="V120" s="7">
        <f>ROUND(1/E120,3)</f>
        <v>0.25</v>
      </c>
      <c r="W120" s="7">
        <f>ROUND(0.04/E120,3)</f>
        <v>0.01</v>
      </c>
      <c r="X120" s="7">
        <v>0.56999999999999995</v>
      </c>
      <c r="Y120" s="7">
        <v>0.53</v>
      </c>
      <c r="Z120" s="7">
        <v>0.56000000000000005</v>
      </c>
      <c r="AA120" s="7">
        <f>ROUND(0.85/E120,3)</f>
        <v>0.21299999999999999</v>
      </c>
      <c r="AB120" s="7">
        <f>ROUND(0/E120,3)</f>
        <v>0</v>
      </c>
      <c r="AC120" s="7">
        <v>8478178</v>
      </c>
    </row>
    <row r="121" spans="1:29" ht="15" customHeight="1" x14ac:dyDescent="0.2">
      <c r="A121" s="7" t="s">
        <v>394</v>
      </c>
      <c r="B121" s="7" t="s">
        <v>376</v>
      </c>
      <c r="C121" s="7" t="s">
        <v>297</v>
      </c>
      <c r="D121" s="7">
        <v>31</v>
      </c>
      <c r="E121" s="7">
        <v>50</v>
      </c>
      <c r="F121" s="7">
        <f>ROUND(10/E121,3)</f>
        <v>0.2</v>
      </c>
      <c r="G121" s="7">
        <f>ROUND(25/E121,3)</f>
        <v>0.5</v>
      </c>
      <c r="H121" s="7">
        <f>ROUND(117/E121,3)</f>
        <v>2.34</v>
      </c>
      <c r="I121" s="7">
        <f>ROUND(18/E121,3)</f>
        <v>0.36</v>
      </c>
      <c r="J121" s="7">
        <f>ROUND(10/E121,3)</f>
        <v>0.2</v>
      </c>
      <c r="K121" s="7">
        <f t="shared" si="6"/>
        <v>7.3199999999999994</v>
      </c>
      <c r="L121" s="7">
        <f>ROUND(1173.5166666667/E121,3)</f>
        <v>23.47</v>
      </c>
      <c r="M121" s="7">
        <f>ROUND(14/E121,3)</f>
        <v>0.28000000000000003</v>
      </c>
      <c r="N121" s="7" t="s">
        <v>395</v>
      </c>
      <c r="O121" s="7" t="s">
        <v>396</v>
      </c>
      <c r="P121" s="7">
        <f>ROUND(248/E121,3)</f>
        <v>4.96</v>
      </c>
      <c r="Q121" s="7">
        <f>ROUND(170/E121,3)</f>
        <v>3.4</v>
      </c>
      <c r="R121" s="7">
        <f>ROUND(86/E121,3)</f>
        <v>1.72</v>
      </c>
      <c r="S121" s="7">
        <f>ROUND(14/E121,3)</f>
        <v>0.28000000000000003</v>
      </c>
      <c r="T121" s="7">
        <f>ROUND(7.08/E121,3)</f>
        <v>0.14199999999999999</v>
      </c>
      <c r="U121" s="7">
        <f>ROUND(63/E121,3)</f>
        <v>1.26</v>
      </c>
      <c r="V121" s="7">
        <f>ROUND(52/E121,3)</f>
        <v>1.04</v>
      </c>
      <c r="W121" s="7">
        <f>ROUND(5.58/E121,3)</f>
        <v>0.112</v>
      </c>
      <c r="X121" s="7">
        <v>0.49</v>
      </c>
      <c r="Y121" s="7">
        <v>0.53</v>
      </c>
      <c r="Z121" s="7">
        <v>0.53</v>
      </c>
      <c r="AA121" s="7">
        <f>ROUND(34.32/E121,3)</f>
        <v>0.68600000000000005</v>
      </c>
      <c r="AB121" s="7">
        <f>ROUND(1/E121,3)</f>
        <v>0.02</v>
      </c>
      <c r="AC121" s="7">
        <v>8474578</v>
      </c>
    </row>
    <row r="122" spans="1:29" ht="15" customHeight="1" x14ac:dyDescent="0.2">
      <c r="A122" s="7" t="s">
        <v>397</v>
      </c>
      <c r="B122" s="7" t="s">
        <v>376</v>
      </c>
      <c r="C122" s="7" t="s">
        <v>93</v>
      </c>
      <c r="D122" s="7">
        <v>22</v>
      </c>
      <c r="E122" s="7">
        <v>70</v>
      </c>
      <c r="F122" s="7">
        <f>ROUND(5/E122,3)</f>
        <v>7.0999999999999994E-2</v>
      </c>
      <c r="G122" s="7">
        <f>ROUND(31/E122,3)</f>
        <v>0.443</v>
      </c>
      <c r="H122" s="7">
        <f>ROUND(156/E122,3)</f>
        <v>2.2290000000000001</v>
      </c>
      <c r="I122" s="7">
        <f>ROUND(52/E122,3)</f>
        <v>0.74299999999999999</v>
      </c>
      <c r="J122" s="7">
        <f>ROUND(79/E122,3)</f>
        <v>1.129</v>
      </c>
      <c r="K122" s="7">
        <f t="shared" si="6"/>
        <v>6.9554999999999998</v>
      </c>
      <c r="L122" s="7">
        <f>ROUND(1742.1/E122,3)</f>
        <v>24.887</v>
      </c>
      <c r="M122" s="7">
        <f>ROUND(24/E122,3)</f>
        <v>0.34300000000000003</v>
      </c>
      <c r="N122" s="7" t="s">
        <v>398</v>
      </c>
      <c r="O122" s="7" t="s">
        <v>399</v>
      </c>
      <c r="P122" s="7">
        <f>ROUND(312/E122,3)</f>
        <v>4.4569999999999999</v>
      </c>
      <c r="Q122" s="7">
        <f>ROUND(218/E122,3)</f>
        <v>3.1139999999999999</v>
      </c>
      <c r="R122" s="7">
        <f>ROUND(114/E122,3)</f>
        <v>1.629</v>
      </c>
      <c r="S122" s="7">
        <f>ROUND(27/E122,3)</f>
        <v>0.38600000000000001</v>
      </c>
      <c r="T122" s="7">
        <f>ROUND(10.18/E122,3)</f>
        <v>0.14499999999999999</v>
      </c>
      <c r="U122" s="7">
        <f>ROUND(84/E122,3)</f>
        <v>1.2</v>
      </c>
      <c r="V122" s="7">
        <f>ROUND(45/E122,3)</f>
        <v>0.64300000000000002</v>
      </c>
      <c r="W122" s="7">
        <f>ROUND(9.92/E122,3)</f>
        <v>0.14199999999999999</v>
      </c>
      <c r="X122" s="7">
        <v>0.56000000000000005</v>
      </c>
      <c r="Y122" s="7">
        <v>0.52</v>
      </c>
      <c r="Z122" s="7">
        <v>0.52</v>
      </c>
      <c r="AA122" s="7">
        <f>ROUND(45.95/E122,3)</f>
        <v>0.65600000000000003</v>
      </c>
      <c r="AB122" s="7">
        <f>ROUND(6/E122,3)</f>
        <v>8.5999999999999993E-2</v>
      </c>
      <c r="AC122" s="7">
        <v>8480036</v>
      </c>
    </row>
    <row r="123" spans="1:29" ht="15" customHeight="1" x14ac:dyDescent="0.2">
      <c r="A123" s="7" t="s">
        <v>400</v>
      </c>
      <c r="B123" s="7" t="s">
        <v>376</v>
      </c>
      <c r="C123" s="7" t="s">
        <v>84</v>
      </c>
      <c r="D123" s="7">
        <v>23</v>
      </c>
      <c r="E123" s="7">
        <v>78</v>
      </c>
      <c r="F123" s="7">
        <f>ROUND(10/E123,3)</f>
        <v>0.128</v>
      </c>
      <c r="G123" s="7">
        <f>ROUND(46/E123,3)</f>
        <v>0.59</v>
      </c>
      <c r="H123" s="7">
        <f>ROUND(166/E123,3)</f>
        <v>2.1280000000000001</v>
      </c>
      <c r="I123" s="7">
        <f>ROUND(155/E123,3)</f>
        <v>1.9870000000000001</v>
      </c>
      <c r="J123" s="7">
        <f>ROUND(121/E123,3)</f>
        <v>1.5509999999999999</v>
      </c>
      <c r="K123" s="7">
        <f t="shared" si="6"/>
        <v>9.2364999999999995</v>
      </c>
      <c r="L123" s="7">
        <f>ROUND(1923.4833333333/E123,3)</f>
        <v>24.66</v>
      </c>
      <c r="M123" s="7">
        <f>ROUND(66/E123,3)</f>
        <v>0.84599999999999997</v>
      </c>
      <c r="N123" s="7" t="s">
        <v>401</v>
      </c>
      <c r="O123" s="7" t="s">
        <v>402</v>
      </c>
      <c r="P123" s="7">
        <f>ROUND(295/E123,3)</f>
        <v>3.782</v>
      </c>
      <c r="Q123" s="7">
        <f>ROUND(227/E123,3)</f>
        <v>2.91</v>
      </c>
      <c r="R123" s="7">
        <f>ROUND(95/E123,3)</f>
        <v>1.218</v>
      </c>
      <c r="S123" s="7">
        <f>ROUND(18/E123,3)</f>
        <v>0.23100000000000001</v>
      </c>
      <c r="T123" s="7">
        <f>ROUND(9.87/E123,3)</f>
        <v>0.127</v>
      </c>
      <c r="U123" s="7">
        <f>ROUND(65/E123,3)</f>
        <v>0.83299999999999996</v>
      </c>
      <c r="V123" s="7">
        <f>ROUND(29/E123,3)</f>
        <v>0.372</v>
      </c>
      <c r="W123" s="7">
        <f>ROUND(8.86/E123,3)</f>
        <v>0.114</v>
      </c>
      <c r="X123" s="7">
        <v>0.59</v>
      </c>
      <c r="Y123" s="7">
        <v>0.56999999999999995</v>
      </c>
      <c r="Z123" s="7">
        <v>0.59</v>
      </c>
      <c r="AA123" s="7">
        <f>ROUND(78.05/E123,3)</f>
        <v>1.0009999999999999</v>
      </c>
      <c r="AB123" s="7">
        <f>ROUND(4/E123,3)</f>
        <v>5.0999999999999997E-2</v>
      </c>
      <c r="AC123" s="7">
        <v>8479325</v>
      </c>
    </row>
    <row r="124" spans="1:29" ht="15" customHeight="1" x14ac:dyDescent="0.2">
      <c r="A124" s="7" t="s">
        <v>403</v>
      </c>
      <c r="B124" s="7" t="s">
        <v>376</v>
      </c>
      <c r="C124" s="7" t="s">
        <v>118</v>
      </c>
      <c r="D124" s="7">
        <v>23</v>
      </c>
      <c r="E124" s="7">
        <v>47</v>
      </c>
      <c r="F124" s="7">
        <f>ROUND(7/E124,3)</f>
        <v>0.14899999999999999</v>
      </c>
      <c r="G124" s="7">
        <f>ROUND(14/E124,3)</f>
        <v>0.29799999999999999</v>
      </c>
      <c r="H124" s="7">
        <f>ROUND(141/E124,3)</f>
        <v>3</v>
      </c>
      <c r="I124" s="7">
        <f>ROUND(51/E124,3)</f>
        <v>1.085</v>
      </c>
      <c r="J124" s="7">
        <f>ROUND(61/E124,3)</f>
        <v>1.298</v>
      </c>
      <c r="K124" s="7">
        <f t="shared" si="6"/>
        <v>7.8204999999999991</v>
      </c>
      <c r="L124" s="7">
        <f>ROUND(1079.2666666667/E124,3)</f>
        <v>22.963000000000001</v>
      </c>
      <c r="M124" s="7">
        <f>ROUND(47/E124,3)</f>
        <v>1</v>
      </c>
      <c r="N124" s="7" t="s">
        <v>395</v>
      </c>
      <c r="O124" s="7" t="s">
        <v>404</v>
      </c>
      <c r="P124" s="7">
        <f>ROUND(293/E124,3)</f>
        <v>6.234</v>
      </c>
      <c r="Q124" s="7">
        <f>ROUND(223/E124,3)</f>
        <v>4.7450000000000001</v>
      </c>
      <c r="R124" s="7">
        <f>ROUND(72/E124,3)</f>
        <v>1.532</v>
      </c>
      <c r="S124" s="7">
        <f>ROUND(7/E124,3)</f>
        <v>0.14899999999999999</v>
      </c>
      <c r="T124" s="7">
        <f>ROUND(7.25/E124,3)</f>
        <v>0.154</v>
      </c>
      <c r="U124" s="7">
        <f>ROUND(37/E124,3)</f>
        <v>0.78700000000000003</v>
      </c>
      <c r="V124" s="7">
        <f>ROUND(19/E124,3)</f>
        <v>0.40400000000000003</v>
      </c>
      <c r="W124" s="7">
        <f>ROUND(6.72/E124,3)</f>
        <v>0.14299999999999999</v>
      </c>
      <c r="X124" s="7">
        <v>0.46</v>
      </c>
      <c r="Y124" s="7">
        <v>0.47</v>
      </c>
      <c r="Z124" s="7">
        <v>0.47</v>
      </c>
      <c r="AA124" s="7">
        <f>ROUND(19.43/E124,3)</f>
        <v>0.41299999999999998</v>
      </c>
      <c r="AB124" s="7">
        <f>ROUND(3/E124,3)</f>
        <v>6.4000000000000001E-2</v>
      </c>
      <c r="AC124" s="7">
        <v>8479345</v>
      </c>
    </row>
    <row r="125" spans="1:29" ht="15" customHeight="1" x14ac:dyDescent="0.2">
      <c r="A125" s="7" t="s">
        <v>405</v>
      </c>
      <c r="B125" s="7" t="s">
        <v>376</v>
      </c>
      <c r="C125" s="7" t="s">
        <v>259</v>
      </c>
      <c r="D125" s="7">
        <v>31</v>
      </c>
      <c r="E125" s="7">
        <v>78</v>
      </c>
      <c r="F125" s="7">
        <f>ROUND(17/E125,3)</f>
        <v>0.218</v>
      </c>
      <c r="G125" s="7">
        <f>ROUND(54/E125,3)</f>
        <v>0.69199999999999995</v>
      </c>
      <c r="H125" s="7">
        <f>ROUND(195/E125,3)</f>
        <v>2.5</v>
      </c>
      <c r="I125" s="7">
        <f>ROUND(73/E125,3)</f>
        <v>0.93600000000000005</v>
      </c>
      <c r="J125" s="7">
        <f>ROUND(104/E125,3)</f>
        <v>1.333</v>
      </c>
      <c r="K125" s="7">
        <f t="shared" si="6"/>
        <v>10.196999999999999</v>
      </c>
      <c r="L125" s="7">
        <f>ROUND(1857.25/E125,3)</f>
        <v>23.811</v>
      </c>
      <c r="M125" s="7">
        <f>ROUND(20/E125,3)</f>
        <v>0.25600000000000001</v>
      </c>
      <c r="N125" s="7" t="s">
        <v>406</v>
      </c>
      <c r="O125" s="7" t="s">
        <v>407</v>
      </c>
      <c r="P125" s="7">
        <f>ROUND(388/E125,3)</f>
        <v>4.9740000000000002</v>
      </c>
      <c r="Q125" s="7">
        <f>ROUND(278/E125,3)</f>
        <v>3.5640000000000001</v>
      </c>
      <c r="R125" s="7">
        <f>ROUND(114/E125,3)</f>
        <v>1.462</v>
      </c>
      <c r="S125" s="7">
        <f>ROUND(22/E125,3)</f>
        <v>0.28199999999999997</v>
      </c>
      <c r="T125" s="7">
        <f>ROUND(12.91/E125,3)</f>
        <v>0.16600000000000001</v>
      </c>
      <c r="U125" s="7">
        <f>ROUND(55/E125,3)</f>
        <v>0.70499999999999996</v>
      </c>
      <c r="V125" s="7">
        <f>ROUND(42/E125,3)</f>
        <v>0.53800000000000003</v>
      </c>
      <c r="W125" s="7">
        <f>ROUND(11.71/E125,3)</f>
        <v>0.15</v>
      </c>
      <c r="X125" s="7">
        <v>0.56000000000000005</v>
      </c>
      <c r="Y125" s="7">
        <v>0.55000000000000004</v>
      </c>
      <c r="Z125" s="7">
        <v>0.55000000000000004</v>
      </c>
      <c r="AA125" s="7">
        <f>ROUND(68.92/E125,3)</f>
        <v>0.88400000000000001</v>
      </c>
      <c r="AB125" s="7">
        <f>ROUND(9/E125,3)</f>
        <v>0.115</v>
      </c>
      <c r="AC125" s="7">
        <v>8474590</v>
      </c>
    </row>
    <row r="126" spans="1:29" ht="15" customHeight="1" x14ac:dyDescent="0.2">
      <c r="A126" s="7" t="s">
        <v>408</v>
      </c>
      <c r="B126" s="7" t="s">
        <v>376</v>
      </c>
      <c r="C126" s="7" t="s">
        <v>160</v>
      </c>
      <c r="D126" s="7">
        <v>20</v>
      </c>
      <c r="E126" s="7">
        <v>82</v>
      </c>
      <c r="F126" s="7">
        <f>ROUND(7/E126,3)</f>
        <v>8.5000000000000006E-2</v>
      </c>
      <c r="G126" s="7">
        <f>ROUND(43/E126,3)</f>
        <v>0.52400000000000002</v>
      </c>
      <c r="H126" s="7">
        <f>ROUND(187/E126,3)</f>
        <v>2.2799999999999998</v>
      </c>
      <c r="I126" s="7">
        <f>ROUND(151/E126,3)</f>
        <v>1.841</v>
      </c>
      <c r="J126" s="7">
        <f>ROUND(146/E126,3)</f>
        <v>1.78</v>
      </c>
      <c r="K126" s="7">
        <f t="shared" si="6"/>
        <v>8.8045000000000009</v>
      </c>
      <c r="L126" s="7">
        <f>ROUND(1889.3666666667/E126,3)</f>
        <v>23.041</v>
      </c>
      <c r="M126" s="7">
        <f>ROUND(34/E126,3)</f>
        <v>0.41499999999999998</v>
      </c>
      <c r="N126" s="7" t="s">
        <v>409</v>
      </c>
      <c r="O126" s="7" t="s">
        <v>410</v>
      </c>
      <c r="P126" s="7">
        <f>ROUND(355/E126,3)</f>
        <v>4.3289999999999997</v>
      </c>
      <c r="Q126" s="7">
        <f>ROUND(246/E126,3)</f>
        <v>3</v>
      </c>
      <c r="R126" s="7">
        <f>ROUND(84/E126,3)</f>
        <v>1.024</v>
      </c>
      <c r="S126" s="7">
        <f>ROUND(7/E126,3)</f>
        <v>8.5000000000000006E-2</v>
      </c>
      <c r="T126" s="7">
        <f>ROUND(9.81/E126,3)</f>
        <v>0.12</v>
      </c>
      <c r="U126" s="7">
        <f>ROUND(48/E126,3)</f>
        <v>0.58499999999999996</v>
      </c>
      <c r="V126" s="7">
        <f>ROUND(41/E126,3)</f>
        <v>0.5</v>
      </c>
      <c r="W126" s="7">
        <f>ROUND(8.96/E126,3)</f>
        <v>0.109</v>
      </c>
      <c r="X126" s="7">
        <v>0.47</v>
      </c>
      <c r="Y126" s="7">
        <v>0.49</v>
      </c>
      <c r="Z126" s="7">
        <v>0.49</v>
      </c>
      <c r="AA126" s="7">
        <f>ROUND(46.12/E126,3)</f>
        <v>0.56200000000000006</v>
      </c>
      <c r="AB126" s="7">
        <f>ROUND(6/E126,3)</f>
        <v>7.2999999999999995E-2</v>
      </c>
      <c r="AC126" s="7">
        <v>8481542</v>
      </c>
    </row>
    <row r="127" spans="1:29" ht="15" customHeight="1" x14ac:dyDescent="0.2">
      <c r="A127" s="7" t="s">
        <v>411</v>
      </c>
      <c r="B127" s="7" t="s">
        <v>376</v>
      </c>
      <c r="D127" s="7">
        <v>14</v>
      </c>
      <c r="K127" s="7"/>
      <c r="AC127" s="7">
        <v>8485366</v>
      </c>
    </row>
    <row r="128" spans="1:29" ht="15" customHeight="1" x14ac:dyDescent="0.2">
      <c r="A128" s="7" t="s">
        <v>412</v>
      </c>
      <c r="B128" s="7" t="s">
        <v>376</v>
      </c>
      <c r="C128" s="7" t="s">
        <v>61</v>
      </c>
      <c r="D128" s="7">
        <v>23</v>
      </c>
      <c r="E128" s="7">
        <v>78</v>
      </c>
      <c r="F128" s="7">
        <f>ROUND(7/E128,3)</f>
        <v>0.09</v>
      </c>
      <c r="G128" s="7">
        <f>ROUND(31/E128,3)</f>
        <v>0.39700000000000002</v>
      </c>
      <c r="H128" s="7">
        <f>ROUND(149/E128,3)</f>
        <v>1.91</v>
      </c>
      <c r="I128" s="7">
        <f>ROUND(138/E128,3)</f>
        <v>1.7689999999999999</v>
      </c>
      <c r="J128" s="7">
        <f>ROUND(58/E128,3)</f>
        <v>0.74399999999999999</v>
      </c>
      <c r="K128" s="7">
        <f>8*F128+6*G128+1*H128+1*J128+0.5*I128</f>
        <v>6.6405000000000003</v>
      </c>
      <c r="L128" s="7">
        <f>ROUND(1750.3833333333/E128,3)</f>
        <v>22.440999999999999</v>
      </c>
      <c r="M128" s="7">
        <f>ROUND(59/E128,3)</f>
        <v>0.75600000000000001</v>
      </c>
      <c r="N128" s="7" t="s">
        <v>194</v>
      </c>
      <c r="O128" s="7" t="s">
        <v>413</v>
      </c>
      <c r="P128" s="7">
        <f>ROUND(283/E128,3)</f>
        <v>3.6280000000000001</v>
      </c>
      <c r="Q128" s="7">
        <f>ROUND(206/E128,3)</f>
        <v>2.641</v>
      </c>
      <c r="R128" s="7">
        <f>ROUND(88/E128,3)</f>
        <v>1.1279999999999999</v>
      </c>
      <c r="S128" s="7">
        <f>ROUND(11/E128,3)</f>
        <v>0.14099999999999999</v>
      </c>
      <c r="T128" s="7">
        <f>ROUND(7.01/E128,3)</f>
        <v>0.09</v>
      </c>
      <c r="U128" s="7">
        <f>ROUND(39/E128,3)</f>
        <v>0.5</v>
      </c>
      <c r="V128" s="7">
        <f>ROUND(23/E128,3)</f>
        <v>0.29499999999999998</v>
      </c>
      <c r="W128" s="7">
        <f>ROUND(7.28/E128,3)</f>
        <v>9.2999999999999999E-2</v>
      </c>
      <c r="X128" s="7">
        <v>0.49</v>
      </c>
      <c r="Y128" s="7">
        <v>0.48</v>
      </c>
      <c r="Z128" s="7">
        <v>0.49</v>
      </c>
      <c r="AA128" s="7">
        <f>ROUND(41.98/E128,3)</f>
        <v>0.53800000000000003</v>
      </c>
      <c r="AB128" s="7">
        <f>ROUND(4/E128,3)</f>
        <v>5.0999999999999997E-2</v>
      </c>
      <c r="AC128" s="7">
        <v>8479410</v>
      </c>
    </row>
    <row r="129" spans="1:29" ht="15" customHeight="1" x14ac:dyDescent="0.2">
      <c r="A129" s="7" t="s">
        <v>414</v>
      </c>
      <c r="B129" s="7" t="s">
        <v>376</v>
      </c>
      <c r="D129" s="7">
        <v>20</v>
      </c>
      <c r="K129" s="7"/>
      <c r="AC129" s="7">
        <v>8481605</v>
      </c>
    </row>
    <row r="130" spans="1:29" ht="15" customHeight="1" x14ac:dyDescent="0.2">
      <c r="A130" s="7" t="s">
        <v>415</v>
      </c>
      <c r="B130" s="7" t="s">
        <v>376</v>
      </c>
      <c r="C130" s="7" t="s">
        <v>72</v>
      </c>
      <c r="D130" s="7">
        <v>26</v>
      </c>
      <c r="E130" s="7">
        <v>79</v>
      </c>
      <c r="F130" s="7">
        <f>ROUND(12/E130,3)</f>
        <v>0.152</v>
      </c>
      <c r="G130" s="7">
        <f>ROUND(25/E130,3)</f>
        <v>0.316</v>
      </c>
      <c r="H130" s="7">
        <f>ROUND(173/E130,3)</f>
        <v>2.19</v>
      </c>
      <c r="I130" s="7">
        <f>ROUND(150/E130,3)</f>
        <v>1.899</v>
      </c>
      <c r="J130" s="7">
        <f>ROUND(96/E130,3)</f>
        <v>1.2150000000000001</v>
      </c>
      <c r="K130" s="7">
        <f>8*F130+6*G130+1*H130+1*J130+0.5*I130</f>
        <v>7.4664999999999999</v>
      </c>
      <c r="L130" s="7">
        <f>ROUND(1869.0833333333/E130,3)</f>
        <v>23.658999999999999</v>
      </c>
      <c r="M130" s="7">
        <f>ROUND(66/E130,3)</f>
        <v>0.83499999999999996</v>
      </c>
      <c r="N130" s="7" t="s">
        <v>416</v>
      </c>
      <c r="O130" s="7" t="s">
        <v>417</v>
      </c>
      <c r="P130" s="7">
        <f>ROUND(351/E130,3)</f>
        <v>4.4429999999999996</v>
      </c>
      <c r="Q130" s="7">
        <f>ROUND(251/E130,3)</f>
        <v>3.177</v>
      </c>
      <c r="R130" s="7">
        <f>ROUND(115/E130,3)</f>
        <v>1.456</v>
      </c>
      <c r="S130" s="7">
        <f>ROUND(22/E130,3)</f>
        <v>0.27800000000000002</v>
      </c>
      <c r="T130" s="7">
        <f>ROUND(12.25/E130,3)</f>
        <v>0.155</v>
      </c>
      <c r="U130" s="7">
        <f>ROUND(63/E130,3)</f>
        <v>0.79700000000000004</v>
      </c>
      <c r="V130" s="7">
        <f>ROUND(26/E130,3)</f>
        <v>0.32900000000000001</v>
      </c>
      <c r="W130" s="7">
        <f>ROUND(11.57/E130,3)</f>
        <v>0.14599999999999999</v>
      </c>
      <c r="X130" s="7">
        <v>0.54</v>
      </c>
      <c r="Y130" s="7">
        <v>0.54</v>
      </c>
      <c r="Z130" s="7">
        <v>0.53</v>
      </c>
      <c r="AA130" s="7">
        <f>ROUND(47.63/E130,3)</f>
        <v>0.60299999999999998</v>
      </c>
      <c r="AB130" s="7">
        <f>ROUND(7/E130,3)</f>
        <v>8.8999999999999996E-2</v>
      </c>
      <c r="AC130" s="7">
        <v>8477504</v>
      </c>
    </row>
    <row r="131" spans="1:29" ht="15" customHeight="1" x14ac:dyDescent="0.2">
      <c r="A131" s="7" t="s">
        <v>418</v>
      </c>
      <c r="B131" s="7" t="s">
        <v>376</v>
      </c>
      <c r="C131" s="7" t="s">
        <v>164</v>
      </c>
      <c r="D131" s="7">
        <v>31</v>
      </c>
      <c r="E131" s="7">
        <v>80</v>
      </c>
      <c r="F131" s="7">
        <f>ROUND(23/E131,3)</f>
        <v>0.28799999999999998</v>
      </c>
      <c r="G131" s="7">
        <f>ROUND(73/E131,3)</f>
        <v>0.91300000000000003</v>
      </c>
      <c r="H131" s="7">
        <f>ROUND(281/E131,3)</f>
        <v>3.5129999999999999</v>
      </c>
      <c r="I131" s="7">
        <f>ROUND(66/E131,3)</f>
        <v>0.82499999999999996</v>
      </c>
      <c r="J131" s="7">
        <f>ROUND(124/E131,3)</f>
        <v>1.55</v>
      </c>
      <c r="K131" s="7">
        <f>8*F131+6*G131+1*H131+1*J131+0.5*I131</f>
        <v>13.2575</v>
      </c>
      <c r="L131" s="7">
        <f>ROUND(2043.7833333333/E131,3)</f>
        <v>25.547000000000001</v>
      </c>
      <c r="M131" s="7">
        <f>ROUND(46/E131,3)</f>
        <v>0.57499999999999996</v>
      </c>
      <c r="N131" s="7" t="s">
        <v>419</v>
      </c>
      <c r="O131" s="7" t="s">
        <v>420</v>
      </c>
      <c r="P131" s="7">
        <f>ROUND(563/E131,3)</f>
        <v>7.0380000000000003</v>
      </c>
      <c r="Q131" s="7">
        <f>ROUND(385/E131,3)</f>
        <v>4.8129999999999997</v>
      </c>
      <c r="R131" s="7">
        <f>ROUND(154/E131,3)</f>
        <v>1.925</v>
      </c>
      <c r="S131" s="7">
        <f>ROUND(28/E131,3)</f>
        <v>0.35</v>
      </c>
      <c r="T131" s="7">
        <f>ROUND(15.79/E131,3)</f>
        <v>0.19700000000000001</v>
      </c>
      <c r="U131" s="7">
        <f>ROUND(71/E131,3)</f>
        <v>0.88800000000000001</v>
      </c>
      <c r="V131" s="7">
        <f>ROUND(48/E131,3)</f>
        <v>0.6</v>
      </c>
      <c r="W131" s="7">
        <f>ROUND(18.23/E131,3)</f>
        <v>0.22800000000000001</v>
      </c>
      <c r="X131" s="7">
        <v>0.56999999999999995</v>
      </c>
      <c r="Y131" s="7">
        <v>0.55000000000000004</v>
      </c>
      <c r="Z131" s="7">
        <v>0.55000000000000004</v>
      </c>
      <c r="AA131" s="7">
        <f>ROUND(97.12/E131,3)</f>
        <v>1.214</v>
      </c>
      <c r="AB131" s="7">
        <f>ROUND(13/E131,3)</f>
        <v>0.16300000000000001</v>
      </c>
      <c r="AC131" s="7">
        <v>8474600</v>
      </c>
    </row>
    <row r="132" spans="1:29" ht="15" customHeight="1" x14ac:dyDescent="0.2">
      <c r="A132" s="7" t="s">
        <v>421</v>
      </c>
      <c r="B132" s="7" t="s">
        <v>376</v>
      </c>
      <c r="D132" s="7">
        <v>19</v>
      </c>
      <c r="K132" s="7"/>
      <c r="AC132" s="7">
        <v>8482105</v>
      </c>
    </row>
    <row r="133" spans="1:29" ht="15" customHeight="1" x14ac:dyDescent="0.2">
      <c r="A133" s="7" t="s">
        <v>422</v>
      </c>
      <c r="B133" s="7" t="s">
        <v>376</v>
      </c>
      <c r="C133" s="7" t="s">
        <v>131</v>
      </c>
      <c r="D133" s="7">
        <v>23</v>
      </c>
      <c r="E133" s="7">
        <v>78</v>
      </c>
      <c r="F133" s="7">
        <f>ROUND(11/E133,3)</f>
        <v>0.14099999999999999</v>
      </c>
      <c r="G133" s="7">
        <f>ROUND(63/E133,3)</f>
        <v>0.80800000000000005</v>
      </c>
      <c r="H133" s="7">
        <f>ROUND(158/E133,3)</f>
        <v>2.0259999999999998</v>
      </c>
      <c r="I133" s="7">
        <f>ROUND(30/E133,3)</f>
        <v>0.38500000000000001</v>
      </c>
      <c r="J133" s="7">
        <f>ROUND(118/E133,3)</f>
        <v>1.5129999999999999</v>
      </c>
      <c r="K133" s="7">
        <f>8*F133+6*G133+1*H133+1*J133+0.5*I133</f>
        <v>9.7075000000000014</v>
      </c>
      <c r="L133" s="7">
        <f>ROUND(1864.7666666667/E133,3)</f>
        <v>23.907</v>
      </c>
      <c r="M133" s="7">
        <f>ROUND(26/E133,3)</f>
        <v>0.33300000000000002</v>
      </c>
      <c r="N133" s="7" t="s">
        <v>423</v>
      </c>
      <c r="O133" s="7" t="s">
        <v>424</v>
      </c>
      <c r="P133" s="7">
        <f>ROUND(275/E133,3)</f>
        <v>3.5259999999999998</v>
      </c>
      <c r="Q133" s="7">
        <f>ROUND(197/E133,3)</f>
        <v>2.5259999999999998</v>
      </c>
      <c r="R133" s="7">
        <f>ROUND(88/E133,3)</f>
        <v>1.1279999999999999</v>
      </c>
      <c r="S133" s="7">
        <f>ROUND(13/E133,3)</f>
        <v>0.16700000000000001</v>
      </c>
      <c r="T133" s="7">
        <f>ROUND(8.36/E133,3)</f>
        <v>0.107</v>
      </c>
      <c r="U133" s="7">
        <f>ROUND(58/E133,3)</f>
        <v>0.74399999999999999</v>
      </c>
      <c r="V133" s="7">
        <f>ROUND(78/E133,3)</f>
        <v>1</v>
      </c>
      <c r="W133" s="7">
        <f>ROUND(7.06/E133,3)</f>
        <v>9.0999999999999998E-2</v>
      </c>
      <c r="X133" s="7">
        <v>0.57999999999999996</v>
      </c>
      <c r="Y133" s="7">
        <v>0.52</v>
      </c>
      <c r="Z133" s="7">
        <v>0.53</v>
      </c>
      <c r="AA133" s="7">
        <f>ROUND(67.65/E133,3)</f>
        <v>0.86699999999999999</v>
      </c>
      <c r="AB133" s="7">
        <f>ROUND(6/E133,3)</f>
        <v>7.6999999999999999E-2</v>
      </c>
      <c r="AC133" s="7">
        <v>8479323</v>
      </c>
    </row>
    <row r="134" spans="1:29" ht="15" customHeight="1" x14ac:dyDescent="0.2">
      <c r="A134" s="7" t="s">
        <v>425</v>
      </c>
      <c r="B134" s="7" t="s">
        <v>376</v>
      </c>
      <c r="D134" s="7">
        <v>19</v>
      </c>
      <c r="K134" s="7"/>
      <c r="AC134" s="7">
        <v>8482122</v>
      </c>
    </row>
    <row r="135" spans="1:29" ht="15" customHeight="1" x14ac:dyDescent="0.2">
      <c r="A135" s="7" t="s">
        <v>426</v>
      </c>
      <c r="B135" s="7" t="s">
        <v>376</v>
      </c>
      <c r="C135" s="7" t="s">
        <v>118</v>
      </c>
      <c r="D135" s="7">
        <v>28</v>
      </c>
      <c r="E135" s="7">
        <v>82</v>
      </c>
      <c r="F135" s="7">
        <f>ROUND(14/E135,3)</f>
        <v>0.17100000000000001</v>
      </c>
      <c r="G135" s="7">
        <f>ROUND(37/E135,3)</f>
        <v>0.45100000000000001</v>
      </c>
      <c r="H135" s="7">
        <f>ROUND(151/E135,3)</f>
        <v>1.841</v>
      </c>
      <c r="I135" s="7">
        <f>ROUND(60/E135,3)</f>
        <v>0.73199999999999998</v>
      </c>
      <c r="J135" s="7">
        <f>ROUND(104/E135,3)</f>
        <v>1.268</v>
      </c>
      <c r="K135" s="7">
        <f t="shared" ref="K135:K143" si="7">8*F135+6*G135+1*H135+1*J135+0.5*I135</f>
        <v>7.5489999999999995</v>
      </c>
      <c r="L135" s="7">
        <f>ROUND(1819.5166666667/E135,3)</f>
        <v>22.189</v>
      </c>
      <c r="M135" s="7">
        <f>ROUND(26/E135,3)</f>
        <v>0.317</v>
      </c>
      <c r="N135" s="7" t="s">
        <v>427</v>
      </c>
      <c r="O135" s="7" t="s">
        <v>428</v>
      </c>
      <c r="P135" s="7">
        <f>ROUND(314/E135,3)</f>
        <v>3.8290000000000002</v>
      </c>
      <c r="Q135" s="7">
        <f>ROUND(216/E135,3)</f>
        <v>2.6339999999999999</v>
      </c>
      <c r="R135" s="7">
        <f>ROUND(88/E135,3)</f>
        <v>1.073</v>
      </c>
      <c r="S135" s="7">
        <f>ROUND(12/E135,3)</f>
        <v>0.14599999999999999</v>
      </c>
      <c r="T135" s="7">
        <f>ROUND(8.22/E135,3)</f>
        <v>0.1</v>
      </c>
      <c r="U135" s="7">
        <f>ROUND(78/E135,3)</f>
        <v>0.95099999999999996</v>
      </c>
      <c r="V135" s="7">
        <f>ROUND(44/E135,3)</f>
        <v>0.53700000000000003</v>
      </c>
      <c r="W135" s="7">
        <f>ROUND(7.2/E135,3)</f>
        <v>8.7999999999999995E-2</v>
      </c>
      <c r="X135" s="7">
        <v>0.47</v>
      </c>
      <c r="Y135" s="7">
        <v>0.48</v>
      </c>
      <c r="Z135" s="7">
        <v>0.47</v>
      </c>
      <c r="AA135" s="7">
        <f>ROUND(31.78/E135,3)</f>
        <v>0.38800000000000001</v>
      </c>
      <c r="AB135" s="7">
        <f>ROUND(4/E135,3)</f>
        <v>4.9000000000000002E-2</v>
      </c>
      <c r="AC135" s="7">
        <v>8476906</v>
      </c>
    </row>
    <row r="136" spans="1:29" ht="15" customHeight="1" x14ac:dyDescent="0.2">
      <c r="A136" s="7" t="s">
        <v>429</v>
      </c>
      <c r="B136" s="7" t="s">
        <v>376</v>
      </c>
      <c r="C136" s="7" t="s">
        <v>160</v>
      </c>
      <c r="D136" s="7">
        <v>23</v>
      </c>
      <c r="E136" s="7">
        <v>78</v>
      </c>
      <c r="F136" s="7">
        <f>ROUND(5/E136,3)</f>
        <v>6.4000000000000001E-2</v>
      </c>
      <c r="G136" s="7">
        <f>ROUND(33/E136,3)</f>
        <v>0.42299999999999999</v>
      </c>
      <c r="H136" s="7">
        <f>ROUND(133/E136,3)</f>
        <v>1.7050000000000001</v>
      </c>
      <c r="I136" s="7">
        <f>ROUND(70/E136,3)</f>
        <v>0.89700000000000002</v>
      </c>
      <c r="J136" s="7">
        <f>ROUND(73/E136,3)</f>
        <v>0.93600000000000005</v>
      </c>
      <c r="K136" s="7">
        <f t="shared" si="7"/>
        <v>6.1395</v>
      </c>
      <c r="L136" s="7">
        <f>ROUND(1718.0166666667/E136,3)</f>
        <v>22.026</v>
      </c>
      <c r="M136" s="7">
        <f>ROUND(36/E136,3)</f>
        <v>0.46200000000000002</v>
      </c>
      <c r="N136" s="7" t="s">
        <v>430</v>
      </c>
      <c r="O136" s="7" t="s">
        <v>431</v>
      </c>
      <c r="P136" s="7">
        <f>ROUND(280/E136,3)</f>
        <v>3.59</v>
      </c>
      <c r="Q136" s="7">
        <f>ROUND(191/E136,3)</f>
        <v>2.4489999999999998</v>
      </c>
      <c r="R136" s="7">
        <f>ROUND(71/E136,3)</f>
        <v>0.91</v>
      </c>
      <c r="S136" s="7">
        <f>ROUND(13/E136,3)</f>
        <v>0.16700000000000001</v>
      </c>
      <c r="T136" s="7">
        <f>ROUND(6.93/E136,3)</f>
        <v>8.8999999999999996E-2</v>
      </c>
      <c r="U136" s="7">
        <f>ROUND(46/E136,3)</f>
        <v>0.59</v>
      </c>
      <c r="V136" s="7">
        <f>ROUND(16/E136,3)</f>
        <v>0.20499999999999999</v>
      </c>
      <c r="W136" s="7">
        <f>ROUND(7.46/E136,3)</f>
        <v>9.6000000000000002E-2</v>
      </c>
      <c r="X136" s="7">
        <v>0.45</v>
      </c>
      <c r="Y136" s="7">
        <v>0.47</v>
      </c>
      <c r="Z136" s="7">
        <v>0.46</v>
      </c>
      <c r="AA136" s="7">
        <f>ROUND(26.07/E136,3)</f>
        <v>0.33400000000000002</v>
      </c>
      <c r="AB136" s="7">
        <f>ROUND(5/E136,3)</f>
        <v>6.4000000000000001E-2</v>
      </c>
      <c r="AC136" s="7">
        <v>8479425</v>
      </c>
    </row>
    <row r="137" spans="1:29" ht="15" customHeight="1" x14ac:dyDescent="0.2">
      <c r="A137" s="7" t="s">
        <v>432</v>
      </c>
      <c r="B137" s="7" t="s">
        <v>376</v>
      </c>
      <c r="C137" s="7" t="s">
        <v>433</v>
      </c>
      <c r="D137" s="7">
        <v>24</v>
      </c>
      <c r="E137" s="7">
        <v>82</v>
      </c>
      <c r="F137" s="7">
        <f>ROUND(4/E137,3)</f>
        <v>4.9000000000000002E-2</v>
      </c>
      <c r="G137" s="7">
        <f>ROUND(46/E137,3)</f>
        <v>0.56100000000000005</v>
      </c>
      <c r="H137" s="7">
        <f>ROUND(152/E137,3)</f>
        <v>1.8540000000000001</v>
      </c>
      <c r="I137" s="7">
        <f>ROUND(63/E137,3)</f>
        <v>0.76800000000000002</v>
      </c>
      <c r="J137" s="7">
        <f>ROUND(111/E137,3)</f>
        <v>1.3540000000000001</v>
      </c>
      <c r="K137" s="7">
        <f t="shared" si="7"/>
        <v>7.3500000000000005</v>
      </c>
      <c r="L137" s="7">
        <f>ROUND(1858.65/E137,3)</f>
        <v>22.666</v>
      </c>
      <c r="M137" s="7">
        <f>ROUND(28/E137,3)</f>
        <v>0.34100000000000003</v>
      </c>
      <c r="N137" s="7" t="s">
        <v>434</v>
      </c>
      <c r="O137" s="7" t="s">
        <v>435</v>
      </c>
      <c r="P137" s="7">
        <f>ROUND(289/E137,3)</f>
        <v>3.524</v>
      </c>
      <c r="Q137" s="7">
        <f>ROUND(214/E137,3)</f>
        <v>2.61</v>
      </c>
      <c r="R137" s="7">
        <f>ROUND(73/E137,3)</f>
        <v>0.89</v>
      </c>
      <c r="S137" s="7">
        <f>ROUND(13/E137,3)</f>
        <v>0.159</v>
      </c>
      <c r="T137" s="7">
        <f>ROUND(8.29/E137,3)</f>
        <v>0.10100000000000001</v>
      </c>
      <c r="U137" s="7">
        <f>ROUND(44/E137,3)</f>
        <v>0.53700000000000003</v>
      </c>
      <c r="V137" s="7">
        <f>ROUND(24/E137,3)</f>
        <v>0.29299999999999998</v>
      </c>
      <c r="W137" s="7">
        <f>ROUND(8.14/E137,3)</f>
        <v>9.9000000000000005E-2</v>
      </c>
      <c r="X137" s="7">
        <v>0.6</v>
      </c>
      <c r="Y137" s="7">
        <v>0.57999999999999996</v>
      </c>
      <c r="Z137" s="7">
        <v>0.57999999999999996</v>
      </c>
      <c r="AA137" s="7">
        <f>ROUND(65.85/E137,3)</f>
        <v>0.80300000000000005</v>
      </c>
      <c r="AB137" s="7">
        <f>ROUND(7/E137,3)</f>
        <v>8.5000000000000006E-2</v>
      </c>
      <c r="AC137" s="7">
        <v>8478397</v>
      </c>
    </row>
    <row r="138" spans="1:29" ht="15" customHeight="1" x14ac:dyDescent="0.2">
      <c r="A138" s="7" t="s">
        <v>436</v>
      </c>
      <c r="B138" s="7" t="s">
        <v>376</v>
      </c>
      <c r="C138" s="7" t="s">
        <v>191</v>
      </c>
      <c r="D138" s="7">
        <v>21</v>
      </c>
      <c r="E138" s="7">
        <v>80</v>
      </c>
      <c r="F138" s="7">
        <f>ROUND(13/E138,3)</f>
        <v>0.16300000000000001</v>
      </c>
      <c r="G138" s="7">
        <f>ROUND(38/E138,3)</f>
        <v>0.47499999999999998</v>
      </c>
      <c r="H138" s="7">
        <f>ROUND(190/E138,3)</f>
        <v>2.375</v>
      </c>
      <c r="I138" s="7">
        <f>ROUND(78/E138,3)</f>
        <v>0.97499999999999998</v>
      </c>
      <c r="J138" s="7">
        <f>ROUND(146/E138,3)</f>
        <v>1.825</v>
      </c>
      <c r="K138" s="7">
        <f t="shared" si="7"/>
        <v>8.8414999999999999</v>
      </c>
      <c r="L138" s="7">
        <f>ROUND(1716.7333333333/E138,3)</f>
        <v>21.459</v>
      </c>
      <c r="M138" s="7">
        <f>ROUND(18/E138,3)</f>
        <v>0.22500000000000001</v>
      </c>
      <c r="N138" s="7" t="s">
        <v>437</v>
      </c>
      <c r="O138" s="7" t="s">
        <v>438</v>
      </c>
      <c r="P138" s="7">
        <f>ROUND(401/E138,3)</f>
        <v>5.0129999999999999</v>
      </c>
      <c r="Q138" s="7">
        <f>ROUND(269/E138,3)</f>
        <v>3.363</v>
      </c>
      <c r="R138" s="7">
        <f>ROUND(101/E138,3)</f>
        <v>1.2629999999999999</v>
      </c>
      <c r="S138" s="7">
        <f>ROUND(14/E138,3)</f>
        <v>0.17499999999999999</v>
      </c>
      <c r="T138" s="7">
        <f>ROUND(8.54/E138,3)</f>
        <v>0.107</v>
      </c>
      <c r="U138" s="7">
        <f>ROUND(82/E138,3)</f>
        <v>1.0249999999999999</v>
      </c>
      <c r="V138" s="7">
        <f>ROUND(27/E138,3)</f>
        <v>0.33800000000000002</v>
      </c>
      <c r="W138" s="7">
        <f>ROUND(8.91/E138,3)</f>
        <v>0.111</v>
      </c>
      <c r="X138" s="7">
        <v>0.5</v>
      </c>
      <c r="Y138" s="7">
        <v>0.51</v>
      </c>
      <c r="Z138" s="7">
        <v>0.51</v>
      </c>
      <c r="AA138" s="7">
        <f>ROUND(47.2/E138,3)</f>
        <v>0.59</v>
      </c>
      <c r="AB138" s="7">
        <f>ROUND(5/E138,3)</f>
        <v>6.3E-2</v>
      </c>
      <c r="AC138" s="7">
        <v>8480865</v>
      </c>
    </row>
    <row r="139" spans="1:29" ht="15" customHeight="1" x14ac:dyDescent="0.2">
      <c r="A139" s="7" t="s">
        <v>439</v>
      </c>
      <c r="B139" s="7" t="s">
        <v>376</v>
      </c>
      <c r="C139" s="7" t="s">
        <v>213</v>
      </c>
      <c r="D139" s="7">
        <v>24</v>
      </c>
      <c r="E139" s="7">
        <v>73</v>
      </c>
      <c r="F139" s="7">
        <f>ROUND(7/E139,3)</f>
        <v>9.6000000000000002E-2</v>
      </c>
      <c r="G139" s="7">
        <f>ROUND(28/E139,3)</f>
        <v>0.38400000000000001</v>
      </c>
      <c r="H139" s="7">
        <f>ROUND(121/E139,3)</f>
        <v>1.6579999999999999</v>
      </c>
      <c r="I139" s="7">
        <f>ROUND(76/E139,3)</f>
        <v>1.0409999999999999</v>
      </c>
      <c r="J139" s="7">
        <f>ROUND(75/E139,3)</f>
        <v>1.0269999999999999</v>
      </c>
      <c r="K139" s="7">
        <f t="shared" si="7"/>
        <v>6.2775000000000007</v>
      </c>
      <c r="L139" s="7">
        <f>ROUND(1509.45/E139,3)</f>
        <v>20.677</v>
      </c>
      <c r="M139" s="7">
        <f>ROUND(63/E139,3)</f>
        <v>0.86299999999999999</v>
      </c>
      <c r="N139" s="7" t="s">
        <v>440</v>
      </c>
      <c r="O139" s="7" t="s">
        <v>441</v>
      </c>
      <c r="P139" s="7">
        <f>ROUND(282/E139,3)</f>
        <v>3.863</v>
      </c>
      <c r="Q139" s="7">
        <f>ROUND(179/E139,3)</f>
        <v>2.452</v>
      </c>
      <c r="R139" s="7">
        <f>ROUND(98/E139,3)</f>
        <v>1.3420000000000001</v>
      </c>
      <c r="S139" s="7">
        <f>ROUND(14/E139,3)</f>
        <v>0.192</v>
      </c>
      <c r="T139" s="7">
        <f>ROUND(6.58/E139,3)</f>
        <v>0.09</v>
      </c>
      <c r="U139" s="7">
        <f>ROUND(48/E139,3)</f>
        <v>0.65800000000000003</v>
      </c>
      <c r="V139" s="7">
        <f>ROUND(25/E139,3)</f>
        <v>0.34200000000000003</v>
      </c>
      <c r="W139" s="7">
        <f>ROUND(6.52/E139,3)</f>
        <v>8.8999999999999996E-2</v>
      </c>
      <c r="X139" s="7">
        <v>0.5</v>
      </c>
      <c r="Y139" s="7">
        <v>0.55000000000000004</v>
      </c>
      <c r="Z139" s="7">
        <v>0.54</v>
      </c>
      <c r="AA139" s="7">
        <f>ROUND(33.72/E139,3)</f>
        <v>0.46200000000000002</v>
      </c>
      <c r="AB139" s="7">
        <f>ROUND(3/E139,3)</f>
        <v>4.1000000000000002E-2</v>
      </c>
      <c r="AC139" s="7">
        <v>8478407</v>
      </c>
    </row>
    <row r="140" spans="1:29" ht="15" customHeight="1" x14ac:dyDescent="0.2">
      <c r="A140" s="7" t="s">
        <v>442</v>
      </c>
      <c r="B140" s="7" t="s">
        <v>376</v>
      </c>
      <c r="C140" s="7" t="s">
        <v>66</v>
      </c>
      <c r="D140" s="7">
        <v>20</v>
      </c>
      <c r="E140" s="7">
        <v>30</v>
      </c>
      <c r="F140" s="7">
        <f>ROUND(5/E140,3)</f>
        <v>0.16700000000000001</v>
      </c>
      <c r="G140" s="7">
        <f>ROUND(12/E140,3)</f>
        <v>0.4</v>
      </c>
      <c r="H140" s="7">
        <f>ROUND(49/E140,3)</f>
        <v>1.633</v>
      </c>
      <c r="I140" s="7">
        <f>ROUND(53/E140,3)</f>
        <v>1.7669999999999999</v>
      </c>
      <c r="J140" s="7">
        <f>ROUND(23/E140,3)</f>
        <v>0.76700000000000002</v>
      </c>
      <c r="K140" s="7">
        <f t="shared" si="7"/>
        <v>7.0195000000000007</v>
      </c>
      <c r="L140" s="7">
        <f>ROUND(564.23333333333/E140,3)</f>
        <v>18.808</v>
      </c>
      <c r="M140" s="7">
        <f>ROUND(12/E140,3)</f>
        <v>0.4</v>
      </c>
      <c r="N140" s="7" t="s">
        <v>443</v>
      </c>
      <c r="O140" s="7" t="s">
        <v>444</v>
      </c>
      <c r="P140" s="7">
        <f>ROUND(102/E140,3)</f>
        <v>3.4</v>
      </c>
      <c r="Q140" s="7">
        <f>ROUND(72/E140,3)</f>
        <v>2.4</v>
      </c>
      <c r="R140" s="7">
        <f>ROUND(40/E140,3)</f>
        <v>1.333</v>
      </c>
      <c r="S140" s="7">
        <f>ROUND(6/E140,3)</f>
        <v>0.2</v>
      </c>
      <c r="T140" s="7">
        <f>ROUND(2.77/E140,3)</f>
        <v>9.1999999999999998E-2</v>
      </c>
      <c r="U140" s="7">
        <f>ROUND(11/E140,3)</f>
        <v>0.36699999999999999</v>
      </c>
      <c r="V140" s="7">
        <f>ROUND(14/E140,3)</f>
        <v>0.46700000000000003</v>
      </c>
      <c r="W140" s="7">
        <f>ROUND(2.72/E140,3)</f>
        <v>9.0999999999999998E-2</v>
      </c>
      <c r="X140" s="7">
        <v>0.53</v>
      </c>
      <c r="Y140" s="7">
        <v>0.54</v>
      </c>
      <c r="Z140" s="7">
        <v>0.53</v>
      </c>
      <c r="AA140" s="7">
        <f>ROUND(19.67/E140,3)</f>
        <v>0.65600000000000003</v>
      </c>
      <c r="AB140" s="7">
        <f>ROUND(1/E140,3)</f>
        <v>3.3000000000000002E-2</v>
      </c>
      <c r="AC140" s="7">
        <v>8481524</v>
      </c>
    </row>
    <row r="141" spans="1:29" ht="15" customHeight="1" x14ac:dyDescent="0.2">
      <c r="A141" s="7" t="s">
        <v>445</v>
      </c>
      <c r="B141" s="7" t="s">
        <v>376</v>
      </c>
      <c r="C141" s="7" t="s">
        <v>138</v>
      </c>
      <c r="D141" s="7">
        <v>21</v>
      </c>
      <c r="E141" s="7">
        <v>42</v>
      </c>
      <c r="F141" s="7">
        <f>ROUND(0/E141,3)</f>
        <v>0</v>
      </c>
      <c r="G141" s="7">
        <f>ROUND(10/E141,3)</f>
        <v>0.23799999999999999</v>
      </c>
      <c r="H141" s="7">
        <f>ROUND(44/E141,3)</f>
        <v>1.048</v>
      </c>
      <c r="I141" s="7">
        <f>ROUND(100/E141,3)</f>
        <v>2.3809999999999998</v>
      </c>
      <c r="J141" s="7">
        <f>ROUND(58/E141,3)</f>
        <v>1.381</v>
      </c>
      <c r="K141" s="7">
        <f t="shared" si="7"/>
        <v>5.0475000000000003</v>
      </c>
      <c r="L141" s="7">
        <f>ROUND(839.71666666667/E141,3)</f>
        <v>19.992999999999999</v>
      </c>
      <c r="M141" s="7">
        <f>ROUND(16/E141,3)</f>
        <v>0.38100000000000001</v>
      </c>
      <c r="N141" s="7" t="s">
        <v>446</v>
      </c>
      <c r="O141" s="7" t="s">
        <v>207</v>
      </c>
      <c r="P141" s="7">
        <f>ROUND(83/E141,3)</f>
        <v>1.976</v>
      </c>
      <c r="Q141" s="7">
        <f>ROUND(57/E141,3)</f>
        <v>1.357</v>
      </c>
      <c r="R141" s="7">
        <f>ROUND(18/E141,3)</f>
        <v>0.42899999999999999</v>
      </c>
      <c r="S141" s="7">
        <f>ROUND(9/E141,3)</f>
        <v>0.214</v>
      </c>
      <c r="T141" s="7">
        <f>ROUND(2.06/E141,3)</f>
        <v>4.9000000000000002E-2</v>
      </c>
      <c r="U141" s="7">
        <f>ROUND(28/E141,3)</f>
        <v>0.66700000000000004</v>
      </c>
      <c r="V141" s="7">
        <f>ROUND(8/E141,3)</f>
        <v>0.19</v>
      </c>
      <c r="W141" s="7">
        <f>ROUND(2.27/E141,3)</f>
        <v>5.3999999999999999E-2</v>
      </c>
      <c r="X141" s="7">
        <v>0.41</v>
      </c>
      <c r="Y141" s="7">
        <v>0.43</v>
      </c>
      <c r="Z141" s="7">
        <v>0.42</v>
      </c>
      <c r="AA141" s="7">
        <f>ROUND(8.25/E141,3)</f>
        <v>0.19600000000000001</v>
      </c>
      <c r="AB141" s="7">
        <f>ROUND(2/E141,3)</f>
        <v>4.8000000000000001E-2</v>
      </c>
      <c r="AC141" s="7">
        <v>8480807</v>
      </c>
    </row>
    <row r="142" spans="1:29" ht="15" customHeight="1" x14ac:dyDescent="0.2">
      <c r="A142" s="7" t="s">
        <v>447</v>
      </c>
      <c r="B142" s="7" t="s">
        <v>376</v>
      </c>
      <c r="C142" s="7" t="s">
        <v>164</v>
      </c>
      <c r="D142" s="7">
        <v>31</v>
      </c>
      <c r="E142" s="7">
        <v>76</v>
      </c>
      <c r="F142" s="7">
        <f>ROUND(6/E142,3)</f>
        <v>7.9000000000000001E-2</v>
      </c>
      <c r="G142" s="7">
        <f>ROUND(25/E142,3)</f>
        <v>0.32900000000000001</v>
      </c>
      <c r="H142" s="7">
        <f>ROUND(145/E142,3)</f>
        <v>1.9079999999999999</v>
      </c>
      <c r="I142" s="7">
        <f>ROUND(79/E142,3)</f>
        <v>1.0389999999999999</v>
      </c>
      <c r="J142" s="7">
        <f>ROUND(86/E142,3)</f>
        <v>1.1319999999999999</v>
      </c>
      <c r="K142" s="7">
        <f t="shared" si="7"/>
        <v>6.1654999999999998</v>
      </c>
      <c r="L142" s="7">
        <f>ROUND(1784.35/E142,3)</f>
        <v>23.478000000000002</v>
      </c>
      <c r="M142" s="7">
        <f>ROUND(44/E142,3)</f>
        <v>0.57899999999999996</v>
      </c>
      <c r="N142" s="7" t="s">
        <v>448</v>
      </c>
      <c r="O142" s="7" t="s">
        <v>449</v>
      </c>
      <c r="P142" s="7">
        <f>ROUND(311/E142,3)</f>
        <v>4.0919999999999996</v>
      </c>
      <c r="Q142" s="7">
        <f>ROUND(213/E142,3)</f>
        <v>2.8029999999999999</v>
      </c>
      <c r="R142" s="7">
        <f>ROUND(90/E142,3)</f>
        <v>1.1839999999999999</v>
      </c>
      <c r="S142" s="7">
        <f>ROUND(21/E142,3)</f>
        <v>0.27600000000000002</v>
      </c>
      <c r="T142" s="7">
        <f>ROUND(10.34/E142,3)</f>
        <v>0.13600000000000001</v>
      </c>
      <c r="U142" s="7">
        <f>ROUND(60/E142,3)</f>
        <v>0.78900000000000003</v>
      </c>
      <c r="V142" s="7">
        <f>ROUND(29/E142,3)</f>
        <v>0.38200000000000001</v>
      </c>
      <c r="W142" s="7">
        <f>ROUND(9.22/E142,3)</f>
        <v>0.121</v>
      </c>
      <c r="X142" s="7">
        <v>0.41</v>
      </c>
      <c r="Y142" s="7">
        <v>0.44</v>
      </c>
      <c r="Z142" s="7">
        <v>0.45</v>
      </c>
      <c r="AA142" s="7">
        <f>ROUND(34.03/E142,3)</f>
        <v>0.44800000000000001</v>
      </c>
      <c r="AB142" s="7">
        <f>ROUND(7/E142,3)</f>
        <v>9.1999999999999998E-2</v>
      </c>
      <c r="AC142" s="7">
        <v>8475218</v>
      </c>
    </row>
    <row r="143" spans="1:29" ht="15" customHeight="1" x14ac:dyDescent="0.2">
      <c r="A143" s="7" t="s">
        <v>450</v>
      </c>
      <c r="B143" s="7" t="s">
        <v>376</v>
      </c>
      <c r="C143" s="7" t="s">
        <v>180</v>
      </c>
      <c r="D143" s="7">
        <v>29</v>
      </c>
      <c r="E143" s="7">
        <v>76</v>
      </c>
      <c r="F143" s="7">
        <f>ROUND(16/E143,3)</f>
        <v>0.21099999999999999</v>
      </c>
      <c r="G143" s="7">
        <f>ROUND(31/E143,3)</f>
        <v>0.40799999999999997</v>
      </c>
      <c r="H143" s="7">
        <f>ROUND(167/E143,3)</f>
        <v>2.1970000000000001</v>
      </c>
      <c r="I143" s="7">
        <f>ROUND(149/E143,3)</f>
        <v>1.9610000000000001</v>
      </c>
      <c r="J143" s="7">
        <f>ROUND(89/E143,3)</f>
        <v>1.171</v>
      </c>
      <c r="K143" s="7">
        <f t="shared" si="7"/>
        <v>8.4845000000000006</v>
      </c>
      <c r="L143" s="7">
        <f>ROUND(1762.3/E143,3)</f>
        <v>23.187999999999999</v>
      </c>
      <c r="M143" s="7">
        <f>ROUND(43/E143,3)</f>
        <v>0.56599999999999995</v>
      </c>
      <c r="N143" s="7" t="s">
        <v>451</v>
      </c>
      <c r="O143" s="7" t="s">
        <v>452</v>
      </c>
      <c r="P143" s="7">
        <f>ROUND(318/E143,3)</f>
        <v>4.1840000000000002</v>
      </c>
      <c r="Q143" s="7">
        <f>ROUND(219/E143,3)</f>
        <v>2.8820000000000001</v>
      </c>
      <c r="R143" s="7">
        <f>ROUND(104/E143,3)</f>
        <v>1.3680000000000001</v>
      </c>
      <c r="S143" s="7">
        <f>ROUND(21/E143,3)</f>
        <v>0.27600000000000002</v>
      </c>
      <c r="T143" s="7">
        <f>ROUND(9.62/E143,3)</f>
        <v>0.127</v>
      </c>
      <c r="U143" s="7">
        <f>ROUND(40/E143,3)</f>
        <v>0.52600000000000002</v>
      </c>
      <c r="V143" s="7">
        <f>ROUND(37/E143,3)</f>
        <v>0.48699999999999999</v>
      </c>
      <c r="W143" s="7">
        <f>ROUND(9.99/E143,3)</f>
        <v>0.13100000000000001</v>
      </c>
      <c r="X143" s="7">
        <v>0.5</v>
      </c>
      <c r="Y143" s="7">
        <v>0.49</v>
      </c>
      <c r="Z143" s="7">
        <v>0.48</v>
      </c>
      <c r="AA143" s="7">
        <f>ROUND(50.63/E143,3)</f>
        <v>0.66600000000000004</v>
      </c>
      <c r="AB143" s="7">
        <f>ROUND(6/E143,3)</f>
        <v>7.9000000000000001E-2</v>
      </c>
      <c r="AC143" s="7">
        <v>8475753</v>
      </c>
    </row>
    <row r="144" spans="1:29" ht="15" customHeight="1" x14ac:dyDescent="0.2">
      <c r="A144" s="7" t="s">
        <v>453</v>
      </c>
      <c r="B144" s="7" t="s">
        <v>376</v>
      </c>
      <c r="D144" s="7">
        <v>23</v>
      </c>
      <c r="K144" s="7"/>
      <c r="AC144" s="7">
        <v>8484258</v>
      </c>
    </row>
    <row r="145" spans="1:29" ht="15" customHeight="1" x14ac:dyDescent="0.2">
      <c r="A145" s="7" t="s">
        <v>454</v>
      </c>
      <c r="B145" s="7" t="s">
        <v>376</v>
      </c>
      <c r="D145" s="7">
        <v>18</v>
      </c>
      <c r="K145" s="7"/>
      <c r="AC145" s="7">
        <v>8482730</v>
      </c>
    </row>
    <row r="146" spans="1:29" ht="15" customHeight="1" x14ac:dyDescent="0.2">
      <c r="A146" s="7" t="s">
        <v>455</v>
      </c>
      <c r="B146" s="7" t="s">
        <v>376</v>
      </c>
      <c r="C146" s="7" t="s">
        <v>102</v>
      </c>
      <c r="D146" s="7">
        <v>26</v>
      </c>
      <c r="E146" s="7">
        <v>78</v>
      </c>
      <c r="F146" s="7">
        <f>ROUND(14/E146,3)</f>
        <v>0.17899999999999999</v>
      </c>
      <c r="G146" s="7">
        <f>ROUND(38/E146,3)</f>
        <v>0.48699999999999999</v>
      </c>
      <c r="H146" s="7">
        <f>ROUND(205/E146,3)</f>
        <v>2.6280000000000001</v>
      </c>
      <c r="I146" s="7">
        <f>ROUND(37/E146,3)</f>
        <v>0.47399999999999998</v>
      </c>
      <c r="J146" s="7">
        <f>ROUND(91/E146,3)</f>
        <v>1.167</v>
      </c>
      <c r="K146" s="7">
        <f t="shared" ref="K146:K158" si="8">8*F146+6*G146+1*H146+1*J146+0.5*I146</f>
        <v>8.3859999999999992</v>
      </c>
      <c r="L146" s="7">
        <f>ROUND(1804.7/E146,3)</f>
        <v>23.137</v>
      </c>
      <c r="M146" s="7">
        <f>ROUND(24/E146,3)</f>
        <v>0.308</v>
      </c>
      <c r="N146" s="7" t="s">
        <v>456</v>
      </c>
      <c r="O146" s="7" t="s">
        <v>457</v>
      </c>
      <c r="P146" s="7">
        <f>ROUND(417/E146,3)</f>
        <v>5.3460000000000001</v>
      </c>
      <c r="Q146" s="7">
        <f>ROUND(273/E146,3)</f>
        <v>3.5</v>
      </c>
      <c r="R146" s="7">
        <f>ROUND(130/E146,3)</f>
        <v>1.667</v>
      </c>
      <c r="S146" s="7">
        <f>ROUND(34/E146,3)</f>
        <v>0.436</v>
      </c>
      <c r="T146" s="7">
        <f>ROUND(11.64/E146,3)</f>
        <v>0.14899999999999999</v>
      </c>
      <c r="U146" s="7">
        <f>ROUND(58/E146,3)</f>
        <v>0.74399999999999999</v>
      </c>
      <c r="V146" s="7">
        <f>ROUND(60/E146,3)</f>
        <v>0.76900000000000002</v>
      </c>
      <c r="W146" s="7">
        <f>ROUND(11.33/E146,3)</f>
        <v>0.14499999999999999</v>
      </c>
      <c r="X146" s="7">
        <v>0.55000000000000004</v>
      </c>
      <c r="Y146" s="7">
        <v>0.56999999999999995</v>
      </c>
      <c r="Z146" s="7">
        <v>0.56999999999999995</v>
      </c>
      <c r="AA146" s="7">
        <f>ROUND(65.37/E146,3)</f>
        <v>0.83799999999999997</v>
      </c>
      <c r="AB146" s="7">
        <f>ROUND(7/E146,3)</f>
        <v>0.09</v>
      </c>
      <c r="AC146" s="7">
        <v>8477447</v>
      </c>
    </row>
    <row r="147" spans="1:29" ht="15" customHeight="1" x14ac:dyDescent="0.2">
      <c r="A147" s="7" t="s">
        <v>458</v>
      </c>
      <c r="B147" s="7" t="s">
        <v>376</v>
      </c>
      <c r="C147" s="7" t="s">
        <v>307</v>
      </c>
      <c r="D147" s="7">
        <v>30</v>
      </c>
      <c r="E147" s="7">
        <v>79</v>
      </c>
      <c r="F147" s="7">
        <f>ROUND(5/E147,3)</f>
        <v>6.3E-2</v>
      </c>
      <c r="G147" s="7">
        <f>ROUND(24/E147,3)</f>
        <v>0.30399999999999999</v>
      </c>
      <c r="H147" s="7">
        <f>ROUND(168/E147,3)</f>
        <v>2.1269999999999998</v>
      </c>
      <c r="I147" s="7">
        <f>ROUND(105/E147,3)</f>
        <v>1.329</v>
      </c>
      <c r="J147" s="7">
        <f>ROUND(78/E147,3)</f>
        <v>0.98699999999999999</v>
      </c>
      <c r="K147" s="7">
        <f t="shared" si="8"/>
        <v>6.1065000000000005</v>
      </c>
      <c r="L147" s="7">
        <f>ROUND(1762.7333333333/E147,3)</f>
        <v>22.312999999999999</v>
      </c>
      <c r="M147" s="7">
        <f>ROUND(48/E147,3)</f>
        <v>0.60799999999999998</v>
      </c>
      <c r="N147" s="7" t="s">
        <v>459</v>
      </c>
      <c r="O147" s="7" t="s">
        <v>460</v>
      </c>
      <c r="P147" s="7">
        <f>ROUND(352/E147,3)</f>
        <v>4.4560000000000004</v>
      </c>
      <c r="Q147" s="7">
        <f>ROUND(234/E147,3)</f>
        <v>2.9620000000000002</v>
      </c>
      <c r="R147" s="7">
        <f>ROUND(83/E147,3)</f>
        <v>1.0509999999999999</v>
      </c>
      <c r="S147" s="7">
        <f>ROUND(9/E147,3)</f>
        <v>0.114</v>
      </c>
      <c r="T147" s="7">
        <f>ROUND(6.93/E147,3)</f>
        <v>8.7999999999999995E-2</v>
      </c>
      <c r="U147" s="7">
        <f>ROUND(42/E147,3)</f>
        <v>0.53200000000000003</v>
      </c>
      <c r="V147" s="7">
        <f>ROUND(26/E147,3)</f>
        <v>0.32900000000000001</v>
      </c>
      <c r="W147" s="7">
        <f>ROUND(6.45/E147,3)</f>
        <v>8.2000000000000003E-2</v>
      </c>
      <c r="X147" s="7">
        <v>0.49</v>
      </c>
      <c r="Y147" s="7">
        <v>0.48</v>
      </c>
      <c r="Z147" s="7">
        <v>0.49</v>
      </c>
      <c r="AA147" s="7">
        <f>ROUND(34.65/E147,3)</f>
        <v>0.439</v>
      </c>
      <c r="AB147" s="7">
        <f>ROUND(2/E147,3)</f>
        <v>2.5000000000000001E-2</v>
      </c>
      <c r="AC147" s="7">
        <v>8475171</v>
      </c>
    </row>
    <row r="148" spans="1:29" ht="15" customHeight="1" x14ac:dyDescent="0.2">
      <c r="A148" s="7" t="s">
        <v>461</v>
      </c>
      <c r="B148" s="7" t="s">
        <v>376</v>
      </c>
      <c r="C148" s="7" t="s">
        <v>153</v>
      </c>
      <c r="D148" s="7">
        <v>28</v>
      </c>
      <c r="E148" s="7">
        <v>62</v>
      </c>
      <c r="F148" s="7">
        <f>ROUND(9/E148,3)</f>
        <v>0.14499999999999999</v>
      </c>
      <c r="G148" s="7">
        <f>ROUND(21/E148,3)</f>
        <v>0.33900000000000002</v>
      </c>
      <c r="H148" s="7">
        <f>ROUND(197/E148,3)</f>
        <v>3.177</v>
      </c>
      <c r="I148" s="7">
        <f>ROUND(87/E148,3)</f>
        <v>1.403</v>
      </c>
      <c r="J148" s="7">
        <f>ROUND(58/E148,3)</f>
        <v>0.93500000000000005</v>
      </c>
      <c r="K148" s="7">
        <f t="shared" si="8"/>
        <v>8.0075000000000003</v>
      </c>
      <c r="L148" s="7">
        <f>ROUND(1315.1166666667/E148,3)</f>
        <v>21.212</v>
      </c>
      <c r="M148" s="7">
        <f>ROUND(34/E148,3)</f>
        <v>0.54800000000000004</v>
      </c>
      <c r="N148" s="7" t="s">
        <v>125</v>
      </c>
      <c r="O148" s="7" t="s">
        <v>462</v>
      </c>
      <c r="P148" s="7">
        <f>ROUND(402/E148,3)</f>
        <v>6.484</v>
      </c>
      <c r="Q148" s="7">
        <f>ROUND(285/E148,3)</f>
        <v>4.5970000000000004</v>
      </c>
      <c r="R148" s="7">
        <f>ROUND(143/E148,3)</f>
        <v>2.306</v>
      </c>
      <c r="S148" s="7">
        <f>ROUND(33/E148,3)</f>
        <v>0.53200000000000003</v>
      </c>
      <c r="T148" s="7">
        <f>ROUND(11.43/E148,3)</f>
        <v>0.184</v>
      </c>
      <c r="U148" s="7">
        <f>ROUND(54/E148,3)</f>
        <v>0.871</v>
      </c>
      <c r="V148" s="7">
        <f>ROUND(20/E148,3)</f>
        <v>0.32300000000000001</v>
      </c>
      <c r="W148" s="7">
        <f>ROUND(11.35/E148,3)</f>
        <v>0.183</v>
      </c>
      <c r="X148" s="7">
        <v>0.53</v>
      </c>
      <c r="Y148" s="7">
        <v>0.56000000000000005</v>
      </c>
      <c r="Z148" s="7">
        <v>0.55000000000000004</v>
      </c>
      <c r="AA148" s="7">
        <f>ROUND(39.63/E148,3)</f>
        <v>0.63900000000000001</v>
      </c>
      <c r="AB148" s="7">
        <f>ROUND(6/E148,3)</f>
        <v>9.7000000000000003E-2</v>
      </c>
      <c r="AC148" s="7">
        <v>8476462</v>
      </c>
    </row>
    <row r="149" spans="1:29" ht="15" customHeight="1" x14ac:dyDescent="0.2">
      <c r="A149" s="7" t="s">
        <v>463</v>
      </c>
      <c r="B149" s="7" t="s">
        <v>376</v>
      </c>
      <c r="C149" s="7" t="s">
        <v>220</v>
      </c>
      <c r="D149" s="7">
        <v>25</v>
      </c>
      <c r="E149" s="7">
        <v>80</v>
      </c>
      <c r="F149" s="7">
        <f>ROUND(7/E149,3)</f>
        <v>8.7999999999999995E-2</v>
      </c>
      <c r="G149" s="7">
        <f>ROUND(24/E149,3)</f>
        <v>0.3</v>
      </c>
      <c r="H149" s="7">
        <f>ROUND(123/E149,3)</f>
        <v>1.538</v>
      </c>
      <c r="I149" s="7">
        <f>ROUND(64/E149,3)</f>
        <v>0.8</v>
      </c>
      <c r="J149" s="7">
        <f>ROUND(135/E149,3)</f>
        <v>1.6879999999999999</v>
      </c>
      <c r="K149" s="7">
        <f t="shared" si="8"/>
        <v>6.13</v>
      </c>
      <c r="L149" s="7">
        <f>ROUND(1837.6166666667/E149,3)</f>
        <v>22.97</v>
      </c>
      <c r="M149" s="7">
        <f>ROUND(34/E149,3)</f>
        <v>0.42499999999999999</v>
      </c>
      <c r="N149" s="7" t="s">
        <v>464</v>
      </c>
      <c r="O149" s="7" t="s">
        <v>465</v>
      </c>
      <c r="P149" s="7">
        <f>ROUND(249/E149,3)</f>
        <v>3.113</v>
      </c>
      <c r="Q149" s="7">
        <f>ROUND(174/E149,3)</f>
        <v>2.1749999999999998</v>
      </c>
      <c r="R149" s="7">
        <f>ROUND(70/E149,3)</f>
        <v>0.875</v>
      </c>
      <c r="S149" s="7">
        <f>ROUND(22/E149,3)</f>
        <v>0.27500000000000002</v>
      </c>
      <c r="T149" s="7">
        <f>ROUND(6.92/E149,3)</f>
        <v>8.6999999999999994E-2</v>
      </c>
      <c r="U149" s="7">
        <f>ROUND(55/E149,3)</f>
        <v>0.68799999999999994</v>
      </c>
      <c r="V149" s="7">
        <f>ROUND(23/E149,3)</f>
        <v>0.28799999999999998</v>
      </c>
      <c r="W149" s="7">
        <f>ROUND(7.04/E149,3)</f>
        <v>8.7999999999999995E-2</v>
      </c>
      <c r="X149" s="7">
        <v>0.43</v>
      </c>
      <c r="Y149" s="7">
        <v>0.45</v>
      </c>
      <c r="Z149" s="7">
        <v>0.45</v>
      </c>
      <c r="AA149" s="7">
        <f>ROUND(30.03/E149,3)</f>
        <v>0.375</v>
      </c>
      <c r="AB149" s="7">
        <f>ROUND(3/E149,3)</f>
        <v>3.7999999999999999E-2</v>
      </c>
      <c r="AC149" s="7">
        <v>8477948</v>
      </c>
    </row>
    <row r="150" spans="1:29" ht="15" customHeight="1" x14ac:dyDescent="0.2">
      <c r="A150" s="7" t="s">
        <v>466</v>
      </c>
      <c r="B150" s="7" t="s">
        <v>376</v>
      </c>
      <c r="C150" s="7" t="s">
        <v>131</v>
      </c>
      <c r="D150" s="7">
        <v>21</v>
      </c>
      <c r="E150" s="7">
        <v>82</v>
      </c>
      <c r="F150" s="7">
        <f>ROUND(7/E150,3)</f>
        <v>8.5000000000000006E-2</v>
      </c>
      <c r="G150" s="7">
        <f>ROUND(13/E150,3)</f>
        <v>0.159</v>
      </c>
      <c r="H150" s="7">
        <f>ROUND(102/E150,3)</f>
        <v>1.244</v>
      </c>
      <c r="I150" s="7">
        <f>ROUND(151/E150,3)</f>
        <v>1.841</v>
      </c>
      <c r="J150" s="7">
        <f>ROUND(90/E150,3)</f>
        <v>1.0980000000000001</v>
      </c>
      <c r="K150" s="7">
        <f t="shared" si="8"/>
        <v>4.8964999999999996</v>
      </c>
      <c r="L150" s="7">
        <f>ROUND(1688.5666666667/E150,3)</f>
        <v>20.591999999999999</v>
      </c>
      <c r="M150" s="7">
        <f>ROUND(24/E150,3)</f>
        <v>0.29299999999999998</v>
      </c>
      <c r="N150" s="7" t="s">
        <v>467</v>
      </c>
      <c r="O150" s="7" t="s">
        <v>468</v>
      </c>
      <c r="P150" s="7">
        <f>ROUND(221/E150,3)</f>
        <v>2.6949999999999998</v>
      </c>
      <c r="Q150" s="7">
        <f>ROUND(140/E150,3)</f>
        <v>1.7070000000000001</v>
      </c>
      <c r="R150" s="7">
        <f>ROUND(64/E150,3)</f>
        <v>0.78</v>
      </c>
      <c r="S150" s="7">
        <f>ROUND(13/E150,3)</f>
        <v>0.159</v>
      </c>
      <c r="T150" s="7">
        <f>ROUND(5.43/E150,3)</f>
        <v>6.6000000000000003E-2</v>
      </c>
      <c r="U150" s="7">
        <f>ROUND(37/E150,3)</f>
        <v>0.45100000000000001</v>
      </c>
      <c r="V150" s="7">
        <f>ROUND(59/E150,3)</f>
        <v>0.72</v>
      </c>
      <c r="W150" s="7">
        <f>ROUND(5.11/E150,3)</f>
        <v>6.2E-2</v>
      </c>
      <c r="X150" s="7">
        <v>0.49</v>
      </c>
      <c r="Y150" s="7">
        <v>0.48</v>
      </c>
      <c r="Z150" s="7">
        <v>0.49</v>
      </c>
      <c r="AA150" s="7">
        <f>ROUND(27.45/E150,3)</f>
        <v>0.33500000000000002</v>
      </c>
      <c r="AB150" s="7">
        <f>ROUND(4/E150,3)</f>
        <v>4.9000000000000002E-2</v>
      </c>
      <c r="AC150" s="7">
        <v>8480817</v>
      </c>
    </row>
    <row r="151" spans="1:29" ht="15" customHeight="1" x14ac:dyDescent="0.2">
      <c r="A151" s="7" t="s">
        <v>469</v>
      </c>
      <c r="B151" s="7" t="s">
        <v>376</v>
      </c>
      <c r="C151" s="7" t="s">
        <v>114</v>
      </c>
      <c r="D151" s="7">
        <v>27</v>
      </c>
      <c r="E151" s="7">
        <v>74</v>
      </c>
      <c r="F151" s="7">
        <f>ROUND(11/E151,3)</f>
        <v>0.14899999999999999</v>
      </c>
      <c r="G151" s="7">
        <f>ROUND(20/E151,3)</f>
        <v>0.27</v>
      </c>
      <c r="H151" s="7">
        <f>ROUND(140/E151,3)</f>
        <v>1.8919999999999999</v>
      </c>
      <c r="I151" s="7">
        <f>ROUND(97/E151,3)</f>
        <v>1.3109999999999999</v>
      </c>
      <c r="J151" s="7">
        <f>ROUND(78/E151,3)</f>
        <v>1.054</v>
      </c>
      <c r="K151" s="7">
        <f t="shared" si="8"/>
        <v>6.4135000000000009</v>
      </c>
      <c r="L151" s="7">
        <f>ROUND(1391.1333333333/E151,3)</f>
        <v>18.798999999999999</v>
      </c>
      <c r="M151" s="7">
        <f>ROUND(33/E151,3)</f>
        <v>0.44600000000000001</v>
      </c>
      <c r="N151" s="7" t="s">
        <v>470</v>
      </c>
      <c r="O151" s="7" t="s">
        <v>471</v>
      </c>
      <c r="P151" s="7">
        <f>ROUND(295/E151,3)</f>
        <v>3.9860000000000002</v>
      </c>
      <c r="Q151" s="7">
        <f>ROUND(210/E151,3)</f>
        <v>2.8380000000000001</v>
      </c>
      <c r="R151" s="7">
        <f>ROUND(90/E151,3)</f>
        <v>1.216</v>
      </c>
      <c r="S151" s="7">
        <f>ROUND(13/E151,3)</f>
        <v>0.17599999999999999</v>
      </c>
      <c r="T151" s="7">
        <f>ROUND(7.2/E151,3)</f>
        <v>9.7000000000000003E-2</v>
      </c>
      <c r="U151" s="7">
        <f>ROUND(43/E151,3)</f>
        <v>0.58099999999999996</v>
      </c>
      <c r="V151" s="7">
        <f>ROUND(43/E151,3)</f>
        <v>0.58099999999999996</v>
      </c>
      <c r="W151" s="7">
        <f>ROUND(7.13/E151,3)</f>
        <v>9.6000000000000002E-2</v>
      </c>
      <c r="X151" s="7">
        <v>0.55000000000000004</v>
      </c>
      <c r="Y151" s="7">
        <v>0.54</v>
      </c>
      <c r="Z151" s="7">
        <v>0.54</v>
      </c>
      <c r="AA151" s="7">
        <f>ROUND(46.75/E151,3)</f>
        <v>0.63200000000000001</v>
      </c>
      <c r="AB151" s="7">
        <f>ROUND(1/E151,3)</f>
        <v>1.4E-2</v>
      </c>
      <c r="AC151" s="7">
        <v>8476875</v>
      </c>
    </row>
    <row r="152" spans="1:29" ht="15" customHeight="1" x14ac:dyDescent="0.2">
      <c r="A152" s="7" t="s">
        <v>472</v>
      </c>
      <c r="B152" s="7" t="s">
        <v>376</v>
      </c>
      <c r="C152" s="7" t="s">
        <v>259</v>
      </c>
      <c r="D152" s="7">
        <v>30</v>
      </c>
      <c r="E152" s="7">
        <v>76</v>
      </c>
      <c r="F152" s="7">
        <f>ROUND(12/E152,3)</f>
        <v>0.158</v>
      </c>
      <c r="G152" s="7">
        <f>ROUND(23/E152,3)</f>
        <v>0.30299999999999999</v>
      </c>
      <c r="H152" s="7">
        <f>ROUND(127/E152,3)</f>
        <v>1.671</v>
      </c>
      <c r="I152" s="7">
        <f>ROUND(124/E152,3)</f>
        <v>1.6319999999999999</v>
      </c>
      <c r="J152" s="7">
        <f>ROUND(90/E152,3)</f>
        <v>1.1839999999999999</v>
      </c>
      <c r="K152" s="7">
        <f t="shared" si="8"/>
        <v>6.7530000000000001</v>
      </c>
      <c r="L152" s="7">
        <f>ROUND(1593.1666666667/E152,3)</f>
        <v>20.963000000000001</v>
      </c>
      <c r="M152" s="7">
        <f>ROUND(44/E152,3)</f>
        <v>0.57899999999999996</v>
      </c>
      <c r="N152" s="7" t="s">
        <v>473</v>
      </c>
      <c r="O152" s="7" t="s">
        <v>474</v>
      </c>
      <c r="P152" s="7">
        <f>ROUND(238/E152,3)</f>
        <v>3.1320000000000001</v>
      </c>
      <c r="Q152" s="7">
        <f>ROUND(174/E152,3)</f>
        <v>2.2890000000000001</v>
      </c>
      <c r="R152" s="7">
        <f>ROUND(76/E152,3)</f>
        <v>1</v>
      </c>
      <c r="S152" s="7">
        <f>ROUND(17/E152,3)</f>
        <v>0.224</v>
      </c>
      <c r="T152" s="7">
        <f>ROUND(6.52/E152,3)</f>
        <v>8.5999999999999993E-2</v>
      </c>
      <c r="U152" s="7">
        <f>ROUND(44/E152,3)</f>
        <v>0.57899999999999996</v>
      </c>
      <c r="V152" s="7">
        <f>ROUND(37/E152,3)</f>
        <v>0.48699999999999999</v>
      </c>
      <c r="W152" s="7">
        <f>ROUND(7.39/E152,3)</f>
        <v>9.7000000000000003E-2</v>
      </c>
      <c r="X152" s="7">
        <v>0.55000000000000004</v>
      </c>
      <c r="Y152" s="7">
        <v>0.52</v>
      </c>
      <c r="Z152" s="7">
        <v>0.53</v>
      </c>
      <c r="AA152" s="7">
        <f>ROUND(46.18/E152,3)</f>
        <v>0.60799999999999998</v>
      </c>
      <c r="AB152" s="7">
        <f>ROUND(5/E152,3)</f>
        <v>6.6000000000000003E-2</v>
      </c>
      <c r="AC152" s="7">
        <v>8475200</v>
      </c>
    </row>
    <row r="153" spans="1:29" ht="15" customHeight="1" x14ac:dyDescent="0.2">
      <c r="A153" s="7" t="s">
        <v>475</v>
      </c>
      <c r="B153" s="7" t="s">
        <v>376</v>
      </c>
      <c r="C153" s="7" t="s">
        <v>146</v>
      </c>
      <c r="D153" s="7">
        <v>27</v>
      </c>
      <c r="E153" s="7">
        <v>82</v>
      </c>
      <c r="F153" s="7">
        <f>ROUND(10/E153,3)</f>
        <v>0.122</v>
      </c>
      <c r="G153" s="7">
        <f>ROUND(58/E153,3)</f>
        <v>0.70699999999999996</v>
      </c>
      <c r="H153" s="7">
        <f>ROUND(221/E153,3)</f>
        <v>2.6949999999999998</v>
      </c>
      <c r="I153" s="7">
        <f>ROUND(92/E153,3)</f>
        <v>1.1220000000000001</v>
      </c>
      <c r="J153" s="7">
        <f>ROUND(80/E153,3)</f>
        <v>0.97599999999999998</v>
      </c>
      <c r="K153" s="7">
        <f t="shared" si="8"/>
        <v>9.4499999999999993</v>
      </c>
      <c r="L153" s="7">
        <f>ROUND(1946.7333333333/E153,3)</f>
        <v>23.741</v>
      </c>
      <c r="M153" s="7">
        <f>ROUND(40/E153,3)</f>
        <v>0.48799999999999999</v>
      </c>
      <c r="N153" s="7" t="s">
        <v>476</v>
      </c>
      <c r="O153" s="7" t="s">
        <v>477</v>
      </c>
      <c r="P153" s="7">
        <f>ROUND(384/E153,3)</f>
        <v>4.6829999999999998</v>
      </c>
      <c r="Q153" s="7">
        <f>ROUND(290/E153,3)</f>
        <v>3.5369999999999999</v>
      </c>
      <c r="R153" s="7">
        <f>ROUND(114/E153,3)</f>
        <v>1.39</v>
      </c>
      <c r="S153" s="7">
        <f>ROUND(16/E153,3)</f>
        <v>0.19500000000000001</v>
      </c>
      <c r="T153" s="7">
        <f>ROUND(9.92/E153,3)</f>
        <v>0.121</v>
      </c>
      <c r="U153" s="7">
        <f>ROUND(76/E153,3)</f>
        <v>0.92700000000000005</v>
      </c>
      <c r="V153" s="7">
        <f>ROUND(40/E153,3)</f>
        <v>0.48799999999999999</v>
      </c>
      <c r="W153" s="7">
        <f>ROUND(9.35/E153,3)</f>
        <v>0.114</v>
      </c>
      <c r="X153" s="7">
        <v>0.56000000000000005</v>
      </c>
      <c r="Y153" s="7">
        <v>0.56000000000000005</v>
      </c>
      <c r="Z153" s="7">
        <v>0.55000000000000004</v>
      </c>
      <c r="AA153" s="7">
        <f>ROUND(75.98/E153,3)</f>
        <v>0.92700000000000005</v>
      </c>
      <c r="AB153" s="7">
        <f>ROUND(4/E153,3)</f>
        <v>4.9000000000000002E-2</v>
      </c>
      <c r="AC153" s="7">
        <v>8476853</v>
      </c>
    </row>
    <row r="154" spans="1:29" ht="15" customHeight="1" x14ac:dyDescent="0.2">
      <c r="A154" s="7" t="s">
        <v>478</v>
      </c>
      <c r="B154" s="7" t="s">
        <v>376</v>
      </c>
      <c r="C154" s="7" t="s">
        <v>93</v>
      </c>
      <c r="D154" s="7">
        <v>20</v>
      </c>
      <c r="E154" s="7">
        <v>34</v>
      </c>
      <c r="F154" s="7">
        <f>ROUND(1/E154,3)</f>
        <v>2.9000000000000001E-2</v>
      </c>
      <c r="G154" s="7">
        <f>ROUND(3/E154,3)</f>
        <v>8.7999999999999995E-2</v>
      </c>
      <c r="H154" s="7">
        <f>ROUND(36/E154,3)</f>
        <v>1.0589999999999999</v>
      </c>
      <c r="I154" s="7">
        <f>ROUND(30/E154,3)</f>
        <v>0.88200000000000001</v>
      </c>
      <c r="J154" s="7">
        <f>ROUND(30/E154,3)</f>
        <v>0.88200000000000001</v>
      </c>
      <c r="K154" s="7">
        <f t="shared" si="8"/>
        <v>3.1419999999999999</v>
      </c>
      <c r="L154" s="7">
        <f>ROUND(465.45/E154,3)</f>
        <v>13.69</v>
      </c>
      <c r="M154" s="7">
        <f>ROUND(6/E154,3)</f>
        <v>0.17599999999999999</v>
      </c>
      <c r="N154" s="7" t="s">
        <v>479</v>
      </c>
      <c r="O154" s="7" t="s">
        <v>480</v>
      </c>
      <c r="P154" s="7">
        <f>ROUND(85/E154,3)</f>
        <v>2.5</v>
      </c>
      <c r="Q154" s="7">
        <f>ROUND(60/E154,3)</f>
        <v>1.7649999999999999</v>
      </c>
      <c r="R154" s="7">
        <f>ROUND(26/E154,3)</f>
        <v>0.76500000000000001</v>
      </c>
      <c r="S154" s="7">
        <f>ROUND(9/E154,3)</f>
        <v>0.26500000000000001</v>
      </c>
      <c r="T154" s="7">
        <f>ROUND(2.08/E154,3)</f>
        <v>6.0999999999999999E-2</v>
      </c>
      <c r="U154" s="7">
        <f>ROUND(18/E154,3)</f>
        <v>0.52900000000000003</v>
      </c>
      <c r="V154" s="7">
        <f>ROUND(9/E154,3)</f>
        <v>0.26500000000000001</v>
      </c>
      <c r="W154" s="7">
        <f>ROUND(2.12/E154,3)</f>
        <v>6.2E-2</v>
      </c>
      <c r="X154" s="7">
        <v>0.55000000000000004</v>
      </c>
      <c r="Y154" s="7">
        <v>0.53</v>
      </c>
      <c r="Z154" s="7">
        <v>0.54</v>
      </c>
      <c r="AA154" s="7">
        <f>ROUND(8.5/E154,3)</f>
        <v>0.25</v>
      </c>
      <c r="AB154" s="7">
        <f>ROUND(1/E154,3)</f>
        <v>2.9000000000000001E-2</v>
      </c>
      <c r="AC154" s="7">
        <v>8481581</v>
      </c>
    </row>
    <row r="155" spans="1:29" ht="15" customHeight="1" x14ac:dyDescent="0.2">
      <c r="A155" s="7" t="s">
        <v>481</v>
      </c>
      <c r="B155" s="7" t="s">
        <v>376</v>
      </c>
      <c r="C155" s="7" t="s">
        <v>114</v>
      </c>
      <c r="D155" s="7">
        <v>24</v>
      </c>
      <c r="E155" s="7">
        <v>81</v>
      </c>
      <c r="F155" s="7">
        <f>ROUND(1/E155,3)</f>
        <v>1.2E-2</v>
      </c>
      <c r="G155" s="7">
        <f>ROUND(24/E155,3)</f>
        <v>0.29599999999999999</v>
      </c>
      <c r="H155" s="7">
        <f>ROUND(90/E155,3)</f>
        <v>1.111</v>
      </c>
      <c r="I155" s="7">
        <f>ROUND(73/E155,3)</f>
        <v>0.90100000000000002</v>
      </c>
      <c r="J155" s="7">
        <f>ROUND(83/E155,3)</f>
        <v>1.0249999999999999</v>
      </c>
      <c r="K155" s="7">
        <f t="shared" si="8"/>
        <v>4.458499999999999</v>
      </c>
      <c r="L155" s="7">
        <f>ROUND(1671.5833333333/E155,3)</f>
        <v>20.637</v>
      </c>
      <c r="M155" s="7">
        <f>ROUND(23/E155,3)</f>
        <v>0.28399999999999997</v>
      </c>
      <c r="N155" s="7" t="s">
        <v>482</v>
      </c>
      <c r="O155" s="7" t="s">
        <v>483</v>
      </c>
      <c r="P155" s="7">
        <f>ROUND(191/E155,3)</f>
        <v>2.3580000000000001</v>
      </c>
      <c r="Q155" s="7">
        <f>ROUND(129/E155,3)</f>
        <v>1.593</v>
      </c>
      <c r="R155" s="7">
        <f>ROUND(53/E155,3)</f>
        <v>0.65400000000000003</v>
      </c>
      <c r="S155" s="7">
        <f>ROUND(12/E155,3)</f>
        <v>0.14799999999999999</v>
      </c>
      <c r="T155" s="7">
        <f>ROUND(4.8/E155,3)</f>
        <v>5.8999999999999997E-2</v>
      </c>
      <c r="U155" s="7">
        <f>ROUND(35/E155,3)</f>
        <v>0.432</v>
      </c>
      <c r="V155" s="7">
        <f>ROUND(43/E155,3)</f>
        <v>0.53100000000000003</v>
      </c>
      <c r="W155" s="7">
        <f>ROUND(4.35/E155,3)</f>
        <v>5.3999999999999999E-2</v>
      </c>
      <c r="X155" s="7">
        <v>0.46</v>
      </c>
      <c r="Y155" s="7">
        <v>0.48</v>
      </c>
      <c r="Z155" s="7">
        <v>0.49</v>
      </c>
      <c r="AA155" s="7">
        <f>ROUND(32.35/E155,3)</f>
        <v>0.39900000000000002</v>
      </c>
      <c r="AB155" s="7">
        <f>ROUND(1/E155,3)</f>
        <v>1.2E-2</v>
      </c>
      <c r="AC155" s="7">
        <v>8478507</v>
      </c>
    </row>
    <row r="156" spans="1:29" ht="15" customHeight="1" x14ac:dyDescent="0.2">
      <c r="A156" s="7" t="s">
        <v>484</v>
      </c>
      <c r="B156" s="7" t="s">
        <v>376</v>
      </c>
      <c r="C156" s="7" t="s">
        <v>380</v>
      </c>
      <c r="D156" s="7">
        <v>25</v>
      </c>
      <c r="E156" s="7">
        <v>80</v>
      </c>
      <c r="F156" s="7">
        <f>ROUND(5/E156,3)</f>
        <v>6.3E-2</v>
      </c>
      <c r="G156" s="7">
        <f>ROUND(28/E156,3)</f>
        <v>0.35</v>
      </c>
      <c r="H156" s="7">
        <f>ROUND(108/E156,3)</f>
        <v>1.35</v>
      </c>
      <c r="I156" s="7">
        <f>ROUND(124/E156,3)</f>
        <v>1.55</v>
      </c>
      <c r="J156" s="7">
        <f>ROUND(134/E156,3)</f>
        <v>1.675</v>
      </c>
      <c r="K156" s="7">
        <f t="shared" si="8"/>
        <v>6.4039999999999999</v>
      </c>
      <c r="L156" s="7">
        <f>ROUND(1783.3/E156,3)</f>
        <v>22.291</v>
      </c>
      <c r="M156" s="7">
        <f>ROUND(68/E156,3)</f>
        <v>0.85</v>
      </c>
      <c r="N156" s="7" t="s">
        <v>125</v>
      </c>
      <c r="O156" s="7" t="s">
        <v>485</v>
      </c>
      <c r="P156" s="7">
        <f>ROUND(204/E156,3)</f>
        <v>2.5499999999999998</v>
      </c>
      <c r="Q156" s="7">
        <f>ROUND(145/E156,3)</f>
        <v>1.8129999999999999</v>
      </c>
      <c r="R156" s="7">
        <f>ROUND(67/E156,3)</f>
        <v>0.83799999999999997</v>
      </c>
      <c r="S156" s="7">
        <f>ROUND(21/E156,3)</f>
        <v>0.26300000000000001</v>
      </c>
      <c r="T156" s="7">
        <f>ROUND(6.48/E156,3)</f>
        <v>8.1000000000000003E-2</v>
      </c>
      <c r="U156" s="7">
        <f>ROUND(34/E156,3)</f>
        <v>0.42499999999999999</v>
      </c>
      <c r="V156" s="7">
        <f>ROUND(22/E156,3)</f>
        <v>0.27500000000000002</v>
      </c>
      <c r="W156" s="7">
        <f>ROUND(7.88/E156,3)</f>
        <v>9.9000000000000005E-2</v>
      </c>
      <c r="X156" s="7">
        <v>0.41</v>
      </c>
      <c r="Y156" s="7">
        <v>0.43</v>
      </c>
      <c r="Z156" s="7">
        <v>0.42</v>
      </c>
      <c r="AA156" s="7">
        <f>ROUND(22.8/E156,3)</f>
        <v>0.28499999999999998</v>
      </c>
      <c r="AB156" s="7">
        <f>ROUND(8/E156,3)</f>
        <v>0.1</v>
      </c>
      <c r="AC156" s="7">
        <v>8478882</v>
      </c>
    </row>
    <row r="157" spans="1:29" ht="15" customHeight="1" x14ac:dyDescent="0.2">
      <c r="A157" s="7" t="s">
        <v>486</v>
      </c>
      <c r="B157" s="7" t="s">
        <v>376</v>
      </c>
      <c r="C157" s="7" t="s">
        <v>297</v>
      </c>
      <c r="D157" s="7">
        <v>36</v>
      </c>
      <c r="E157" s="7">
        <v>82</v>
      </c>
      <c r="F157" s="7">
        <f>ROUND(10/E157,3)</f>
        <v>0.122</v>
      </c>
      <c r="G157" s="7">
        <f>ROUND(44/E157,3)</f>
        <v>0.53700000000000003</v>
      </c>
      <c r="H157" s="7">
        <f>ROUND(203/E157,3)</f>
        <v>2.476</v>
      </c>
      <c r="I157" s="7">
        <f>ROUND(55/E157,3)</f>
        <v>0.67100000000000004</v>
      </c>
      <c r="J157" s="7">
        <f>ROUND(40/E157,3)</f>
        <v>0.48799999999999999</v>
      </c>
      <c r="K157" s="7">
        <f t="shared" si="8"/>
        <v>7.4975000000000005</v>
      </c>
      <c r="L157" s="7">
        <f>ROUND(2144.0333333333/E157,3)</f>
        <v>26.146999999999998</v>
      </c>
      <c r="M157" s="7">
        <f>ROUND(42/E157,3)</f>
        <v>0.51200000000000001</v>
      </c>
      <c r="N157" s="7" t="s">
        <v>487</v>
      </c>
      <c r="O157" s="7" t="s">
        <v>488</v>
      </c>
      <c r="P157" s="7">
        <f>ROUND(446/E157,3)</f>
        <v>5.4390000000000001</v>
      </c>
      <c r="Q157" s="7">
        <f>ROUND(293/E157,3)</f>
        <v>3.573</v>
      </c>
      <c r="R157" s="7">
        <f>ROUND(90/E157,3)</f>
        <v>1.0980000000000001</v>
      </c>
      <c r="S157" s="7">
        <f>ROUND(9/E157,3)</f>
        <v>0.11</v>
      </c>
      <c r="T157" s="7">
        <f>ROUND(9.13/E157,3)</f>
        <v>0.111</v>
      </c>
      <c r="U157" s="7">
        <f>ROUND(97/E157,3)</f>
        <v>1.1830000000000001</v>
      </c>
      <c r="V157" s="7">
        <f>ROUND(68/E157,3)</f>
        <v>0.82899999999999996</v>
      </c>
      <c r="W157" s="7">
        <f>ROUND(9.2/E157,3)</f>
        <v>0.112</v>
      </c>
      <c r="X157" s="7">
        <v>0.46</v>
      </c>
      <c r="Y157" s="7">
        <v>0.46</v>
      </c>
      <c r="Z157" s="7">
        <v>0.47</v>
      </c>
      <c r="AA157" s="7">
        <f>ROUND(41.61/E157,3)</f>
        <v>0.50700000000000001</v>
      </c>
      <c r="AB157" s="7">
        <f>ROUND(4/E157,3)</f>
        <v>4.9000000000000002E-2</v>
      </c>
      <c r="AC157" s="7">
        <v>8470613</v>
      </c>
    </row>
    <row r="158" spans="1:29" ht="15" customHeight="1" x14ac:dyDescent="0.2">
      <c r="A158" s="7" t="s">
        <v>489</v>
      </c>
      <c r="B158" s="7" t="s">
        <v>376</v>
      </c>
      <c r="C158" s="7" t="s">
        <v>131</v>
      </c>
      <c r="D158" s="7">
        <v>27</v>
      </c>
      <c r="E158" s="7">
        <v>81</v>
      </c>
      <c r="F158" s="7">
        <f>ROUND(11/E158,3)</f>
        <v>0.13600000000000001</v>
      </c>
      <c r="G158" s="7">
        <f>ROUND(28/E158,3)</f>
        <v>0.34599999999999997</v>
      </c>
      <c r="H158" s="7">
        <f>ROUND(204/E158,3)</f>
        <v>2.5190000000000001</v>
      </c>
      <c r="I158" s="7">
        <f>ROUND(207/E158,3)</f>
        <v>2.556</v>
      </c>
      <c r="J158" s="7">
        <f>ROUND(158/E158,3)</f>
        <v>1.9510000000000001</v>
      </c>
      <c r="K158" s="7">
        <f t="shared" si="8"/>
        <v>8.9120000000000008</v>
      </c>
      <c r="L158" s="7">
        <f>ROUND(1816.4166666667/E158,3)</f>
        <v>22.425000000000001</v>
      </c>
      <c r="M158" s="7">
        <f>ROUND(88/E158,3)</f>
        <v>1.0860000000000001</v>
      </c>
      <c r="N158" s="7" t="s">
        <v>490</v>
      </c>
      <c r="O158" s="7" t="s">
        <v>491</v>
      </c>
      <c r="P158" s="7">
        <f>ROUND(388/E158,3)</f>
        <v>4.79</v>
      </c>
      <c r="Q158" s="7">
        <f>ROUND(277/E158,3)</f>
        <v>3.42</v>
      </c>
      <c r="R158" s="7">
        <f>ROUND(119/E158,3)</f>
        <v>1.4690000000000001</v>
      </c>
      <c r="S158" s="7">
        <f>ROUND(31/E158,3)</f>
        <v>0.38300000000000001</v>
      </c>
      <c r="T158" s="7">
        <f>ROUND(11.45/E158,3)</f>
        <v>0.14099999999999999</v>
      </c>
      <c r="U158" s="7">
        <f>ROUND(63/E158,3)</f>
        <v>0.77800000000000002</v>
      </c>
      <c r="V158" s="7">
        <f>ROUND(24/E158,3)</f>
        <v>0.29599999999999999</v>
      </c>
      <c r="W158" s="7">
        <f>ROUND(10.69/E158,3)</f>
        <v>0.13200000000000001</v>
      </c>
      <c r="X158" s="7">
        <v>0.49</v>
      </c>
      <c r="Y158" s="7">
        <v>0.47</v>
      </c>
      <c r="Z158" s="7">
        <v>0.48</v>
      </c>
      <c r="AA158" s="7">
        <f>ROUND(47.45/E158,3)</f>
        <v>0.58599999999999997</v>
      </c>
      <c r="AB158" s="7">
        <f>ROUND(10/E158,3)</f>
        <v>0.123</v>
      </c>
      <c r="AC158" s="7">
        <v>8476885</v>
      </c>
    </row>
    <row r="159" spans="1:29" ht="15" customHeight="1" x14ac:dyDescent="0.2">
      <c r="A159" s="7" t="s">
        <v>492</v>
      </c>
      <c r="B159" s="7" t="s">
        <v>376</v>
      </c>
      <c r="D159" s="7">
        <v>18</v>
      </c>
      <c r="K159" s="7"/>
      <c r="AC159" s="7">
        <v>8482684</v>
      </c>
    </row>
    <row r="160" spans="1:29" ht="15" customHeight="1" x14ac:dyDescent="0.2">
      <c r="A160" s="7" t="s">
        <v>493</v>
      </c>
      <c r="B160" s="7" t="s">
        <v>376</v>
      </c>
      <c r="D160" s="7">
        <v>24</v>
      </c>
      <c r="K160" s="7"/>
      <c r="AC160" s="7">
        <v>8478854</v>
      </c>
    </row>
    <row r="161" spans="1:29" ht="15" customHeight="1" x14ac:dyDescent="0.2">
      <c r="A161" s="7" t="s">
        <v>494</v>
      </c>
      <c r="B161" s="7" t="s">
        <v>376</v>
      </c>
      <c r="C161" s="7" t="s">
        <v>80</v>
      </c>
      <c r="D161" s="7">
        <v>25</v>
      </c>
      <c r="E161" s="7">
        <v>64</v>
      </c>
      <c r="F161" s="7">
        <f>ROUND(10/E161,3)</f>
        <v>0.156</v>
      </c>
      <c r="G161" s="7">
        <f>ROUND(41/E161,3)</f>
        <v>0.64100000000000001</v>
      </c>
      <c r="H161" s="7">
        <f>ROUND(151/E161,3)</f>
        <v>2.359</v>
      </c>
      <c r="I161" s="7">
        <f>ROUND(41/E161,3)</f>
        <v>0.64100000000000001</v>
      </c>
      <c r="J161" s="7">
        <f>ROUND(54/E161,3)</f>
        <v>0.84399999999999997</v>
      </c>
      <c r="K161" s="7">
        <f>8*F161+6*G161+1*H161+1*J161+0.5*I161</f>
        <v>8.6174999999999997</v>
      </c>
      <c r="L161" s="7">
        <f>ROUND(1267.0333333333/E161,3)</f>
        <v>19.797000000000001</v>
      </c>
      <c r="M161" s="7">
        <f>ROUND(56/E161,3)</f>
        <v>0.875</v>
      </c>
      <c r="N161" s="7" t="s">
        <v>495</v>
      </c>
      <c r="O161" s="7" t="s">
        <v>496</v>
      </c>
      <c r="P161" s="7">
        <f>ROUND(264/E161,3)</f>
        <v>4.125</v>
      </c>
      <c r="Q161" s="7">
        <f>ROUND(191/E161,3)</f>
        <v>2.984</v>
      </c>
      <c r="R161" s="7">
        <f>ROUND(79/E161,3)</f>
        <v>1.234</v>
      </c>
      <c r="S161" s="7">
        <f>ROUND(6/E161,3)</f>
        <v>9.4E-2</v>
      </c>
      <c r="T161" s="7">
        <f>ROUND(7.16/E161,3)</f>
        <v>0.112</v>
      </c>
      <c r="U161" s="7">
        <f>ROUND(39/E161,3)</f>
        <v>0.60899999999999999</v>
      </c>
      <c r="V161" s="7">
        <f>ROUND(27/E161,3)</f>
        <v>0.42199999999999999</v>
      </c>
      <c r="W161" s="7">
        <f>ROUND(6.83/E161,3)</f>
        <v>0.107</v>
      </c>
      <c r="X161" s="7">
        <v>0.61</v>
      </c>
      <c r="Y161" s="7">
        <v>0.6</v>
      </c>
      <c r="Z161" s="7">
        <v>0.6</v>
      </c>
      <c r="AA161" s="7">
        <f>ROUND(61.38/E161,3)</f>
        <v>0.95899999999999996</v>
      </c>
      <c r="AB161" s="7">
        <f>ROUND(3/E161,3)</f>
        <v>4.7E-2</v>
      </c>
      <c r="AC161" s="7">
        <v>8477950</v>
      </c>
    </row>
    <row r="162" spans="1:29" ht="15" customHeight="1" x14ac:dyDescent="0.2">
      <c r="A162" s="7" t="s">
        <v>497</v>
      </c>
      <c r="B162" s="7" t="s">
        <v>376</v>
      </c>
      <c r="C162" s="7" t="s">
        <v>56</v>
      </c>
      <c r="D162" s="7">
        <v>20</v>
      </c>
      <c r="E162" s="7">
        <v>23</v>
      </c>
      <c r="F162" s="7">
        <f>ROUND(1/E162,3)</f>
        <v>4.2999999999999997E-2</v>
      </c>
      <c r="G162" s="7">
        <f>ROUND(2/E162,3)</f>
        <v>8.6999999999999994E-2</v>
      </c>
      <c r="H162" s="7">
        <f>ROUND(29/E162,3)</f>
        <v>1.2609999999999999</v>
      </c>
      <c r="I162" s="7">
        <f>ROUND(10/E162,3)</f>
        <v>0.435</v>
      </c>
      <c r="J162" s="7">
        <f>ROUND(8/E162,3)</f>
        <v>0.34799999999999998</v>
      </c>
      <c r="K162" s="7">
        <f>8*F162+6*G162+1*H162+1*J162+0.5*I162</f>
        <v>2.6924999999999994</v>
      </c>
      <c r="L162" s="7">
        <f>ROUND(309.8/E162,3)</f>
        <v>13.47</v>
      </c>
      <c r="M162" s="7">
        <f>ROUND(8/E162,3)</f>
        <v>0.34799999999999998</v>
      </c>
      <c r="N162" s="7" t="s">
        <v>327</v>
      </c>
      <c r="O162" s="7" t="s">
        <v>498</v>
      </c>
      <c r="P162" s="7">
        <f>ROUND(60/E162,3)</f>
        <v>2.609</v>
      </c>
      <c r="Q162" s="7">
        <f>ROUND(41/E162,3)</f>
        <v>1.7829999999999999</v>
      </c>
      <c r="R162" s="7">
        <f>ROUND(15/E162,3)</f>
        <v>0.65200000000000002</v>
      </c>
      <c r="S162" s="7">
        <f>ROUND(2/E162,3)</f>
        <v>8.6999999999999994E-2</v>
      </c>
      <c r="T162" s="7">
        <f>ROUND(1.12/E162,3)</f>
        <v>4.9000000000000002E-2</v>
      </c>
      <c r="U162" s="7">
        <f>ROUND(14/E162,3)</f>
        <v>0.60899999999999999</v>
      </c>
      <c r="V162" s="7">
        <f>ROUND(5/E162,3)</f>
        <v>0.217</v>
      </c>
      <c r="W162" s="7">
        <f>ROUND(1.06/E162,3)</f>
        <v>4.5999999999999999E-2</v>
      </c>
      <c r="X162" s="7">
        <v>0.43</v>
      </c>
      <c r="Y162" s="7">
        <v>0.51</v>
      </c>
      <c r="Z162" s="7">
        <v>0.5</v>
      </c>
      <c r="AA162" s="7">
        <f>ROUND(4.28/E162,3)</f>
        <v>0.186</v>
      </c>
      <c r="AB162" s="7">
        <f>ROUND(0/E162,3)</f>
        <v>0</v>
      </c>
      <c r="AC162" s="7">
        <v>8481598</v>
      </c>
    </row>
    <row r="163" spans="1:29" ht="15" customHeight="1" x14ac:dyDescent="0.2">
      <c r="A163" s="7" t="s">
        <v>499</v>
      </c>
      <c r="B163" s="7" t="s">
        <v>376</v>
      </c>
      <c r="C163" s="7" t="s">
        <v>114</v>
      </c>
      <c r="D163" s="7">
        <v>34</v>
      </c>
      <c r="E163" s="7">
        <v>78</v>
      </c>
      <c r="F163" s="7">
        <f>ROUND(10/E163,3)</f>
        <v>0.128</v>
      </c>
      <c r="G163" s="7">
        <f>ROUND(58/E163,3)</f>
        <v>0.74399999999999999</v>
      </c>
      <c r="H163" s="7">
        <f>ROUND(214/E163,3)</f>
        <v>2.7440000000000002</v>
      </c>
      <c r="I163" s="7">
        <f>ROUND(171/E163,3)</f>
        <v>2.1920000000000002</v>
      </c>
      <c r="J163" s="7">
        <f>ROUND(113/E163,3)</f>
        <v>1.4490000000000001</v>
      </c>
      <c r="K163" s="7">
        <f>8*F163+6*G163+1*H163+1*J163+0.5*I163</f>
        <v>10.777000000000001</v>
      </c>
      <c r="L163" s="7">
        <f>ROUND(2010.6333333333/E163,3)</f>
        <v>25.777000000000001</v>
      </c>
      <c r="M163" s="7">
        <f>ROUND(49/E163,3)</f>
        <v>0.628</v>
      </c>
      <c r="N163" s="7" t="s">
        <v>500</v>
      </c>
      <c r="O163" s="7" t="s">
        <v>501</v>
      </c>
      <c r="P163" s="7">
        <f>ROUND(403/E163,3)</f>
        <v>5.1669999999999998</v>
      </c>
      <c r="Q163" s="7">
        <f>ROUND(272/E163,3)</f>
        <v>3.4870000000000001</v>
      </c>
      <c r="R163" s="7">
        <f>ROUND(117/E163,3)</f>
        <v>1.5</v>
      </c>
      <c r="S163" s="7">
        <f>ROUND(14/E163,3)</f>
        <v>0.17899999999999999</v>
      </c>
      <c r="T163" s="7">
        <f>ROUND(10.31/E163,3)</f>
        <v>0.13200000000000001</v>
      </c>
      <c r="U163" s="7">
        <f>ROUND(79/E163,3)</f>
        <v>1.0129999999999999</v>
      </c>
      <c r="V163" s="7">
        <f>ROUND(59/E163,3)</f>
        <v>0.75600000000000001</v>
      </c>
      <c r="W163" s="7">
        <f>ROUND(9.69/E163,3)</f>
        <v>0.124</v>
      </c>
      <c r="X163" s="7">
        <v>0.56000000000000005</v>
      </c>
      <c r="Y163" s="7">
        <v>0.54</v>
      </c>
      <c r="Z163" s="7">
        <v>0.55000000000000004</v>
      </c>
      <c r="AA163" s="7">
        <f>ROUND(70.85/E163,3)</f>
        <v>0.90800000000000003</v>
      </c>
      <c r="AB163" s="7">
        <f>ROUND(5/E163,3)</f>
        <v>6.4000000000000001E-2</v>
      </c>
      <c r="AC163" s="7">
        <v>8471724</v>
      </c>
    </row>
    <row r="164" spans="1:29" ht="15" customHeight="1" x14ac:dyDescent="0.2">
      <c r="A164" s="7" t="s">
        <v>502</v>
      </c>
      <c r="B164" s="7" t="s">
        <v>376</v>
      </c>
      <c r="D164" s="7">
        <v>19</v>
      </c>
      <c r="K164" s="7"/>
      <c r="AC164" s="7">
        <v>8482100</v>
      </c>
    </row>
    <row r="165" spans="1:29" ht="15" customHeight="1" x14ac:dyDescent="0.2">
      <c r="A165" s="7" t="s">
        <v>503</v>
      </c>
      <c r="B165" s="7" t="s">
        <v>376</v>
      </c>
      <c r="C165" s="7" t="s">
        <v>274</v>
      </c>
      <c r="D165" s="7">
        <v>27</v>
      </c>
      <c r="E165" s="7">
        <v>81</v>
      </c>
      <c r="F165" s="7">
        <f>ROUND(11/E165,3)</f>
        <v>0.13600000000000001</v>
      </c>
      <c r="G165" s="7">
        <f>ROUND(26/E165,3)</f>
        <v>0.32100000000000001</v>
      </c>
      <c r="H165" s="7">
        <f>ROUND(153/E165,3)</f>
        <v>1.889</v>
      </c>
      <c r="I165" s="7">
        <f>ROUND(64/E165,3)</f>
        <v>0.79</v>
      </c>
      <c r="J165" s="7">
        <f>ROUND(64/E165,3)</f>
        <v>0.79</v>
      </c>
      <c r="K165" s="7">
        <f>8*F165+6*G165+1*H165+1*J165+0.5*I165</f>
        <v>6.088000000000001</v>
      </c>
      <c r="L165" s="7">
        <f>ROUND(1450.3666666667/E165,3)</f>
        <v>17.905999999999999</v>
      </c>
      <c r="M165" s="7">
        <f>ROUND(48/E165,3)</f>
        <v>0.59299999999999997</v>
      </c>
      <c r="N165" s="7" t="s">
        <v>504</v>
      </c>
      <c r="O165" s="7" t="s">
        <v>505</v>
      </c>
      <c r="P165" s="7">
        <f>ROUND(298/E165,3)</f>
        <v>3.6789999999999998</v>
      </c>
      <c r="Q165" s="7">
        <f>ROUND(219/E165,3)</f>
        <v>2.7040000000000002</v>
      </c>
      <c r="R165" s="7">
        <f>ROUND(106/E165,3)</f>
        <v>1.3089999999999999</v>
      </c>
      <c r="S165" s="7">
        <f>ROUND(24/E165,3)</f>
        <v>0.29599999999999999</v>
      </c>
      <c r="T165" s="7">
        <f>ROUND(9.4/E165,3)</f>
        <v>0.11600000000000001</v>
      </c>
      <c r="U165" s="7">
        <f>ROUND(49/E165,3)</f>
        <v>0.60499999999999998</v>
      </c>
      <c r="V165" s="7">
        <f>ROUND(26/E165,3)</f>
        <v>0.32100000000000001</v>
      </c>
      <c r="W165" s="7">
        <f>ROUND(10.17/E165,3)</f>
        <v>0.126</v>
      </c>
      <c r="X165" s="7">
        <v>0.52</v>
      </c>
      <c r="Y165" s="7">
        <v>0.56999999999999995</v>
      </c>
      <c r="Z165" s="7">
        <v>0.55000000000000004</v>
      </c>
      <c r="AA165" s="7">
        <f>ROUND(55.37/E165,3)</f>
        <v>0.68400000000000005</v>
      </c>
      <c r="AB165" s="7">
        <f>ROUND(8/E165,3)</f>
        <v>9.9000000000000005E-2</v>
      </c>
      <c r="AC165" s="7">
        <v>8477986</v>
      </c>
    </row>
    <row r="166" spans="1:29" ht="15" customHeight="1" x14ac:dyDescent="0.2">
      <c r="A166" s="7" t="s">
        <v>506</v>
      </c>
      <c r="B166" s="7" t="s">
        <v>376</v>
      </c>
      <c r="C166" s="7" t="s">
        <v>230</v>
      </c>
      <c r="D166" s="7">
        <v>19</v>
      </c>
      <c r="E166" s="7">
        <v>81</v>
      </c>
      <c r="F166" s="7">
        <f>ROUND(4/E166,3)</f>
        <v>4.9000000000000002E-2</v>
      </c>
      <c r="G166" s="7">
        <f>ROUND(28/E166,3)</f>
        <v>0.34599999999999997</v>
      </c>
      <c r="H166" s="7">
        <f>ROUND(137/E166,3)</f>
        <v>1.6910000000000001</v>
      </c>
      <c r="I166" s="7">
        <f>ROUND(40/E166,3)</f>
        <v>0.49399999999999999</v>
      </c>
      <c r="J166" s="7">
        <f>ROUND(66/E166,3)</f>
        <v>0.81499999999999995</v>
      </c>
      <c r="K166" s="7">
        <f>8*F166+6*G166+1*H166+1*J166+0.5*I166</f>
        <v>5.2210000000000001</v>
      </c>
      <c r="L166" s="7">
        <f>ROUND(1610.7/E166,3)</f>
        <v>19.885000000000002</v>
      </c>
      <c r="M166" s="7">
        <f>ROUND(16/E166,3)</f>
        <v>0.19800000000000001</v>
      </c>
      <c r="N166" s="7" t="s">
        <v>172</v>
      </c>
      <c r="O166" s="7" t="s">
        <v>507</v>
      </c>
      <c r="P166" s="7">
        <f>ROUND(290/E166,3)</f>
        <v>3.58</v>
      </c>
      <c r="Q166" s="7">
        <f>ROUND(202/E166,3)</f>
        <v>2.4940000000000002</v>
      </c>
      <c r="R166" s="7">
        <f>ROUND(85/E166,3)</f>
        <v>1.0489999999999999</v>
      </c>
      <c r="S166" s="7">
        <f>ROUND(13/E166,3)</f>
        <v>0.16</v>
      </c>
      <c r="T166" s="7">
        <f>ROUND(7.93/E166,3)</f>
        <v>9.8000000000000004E-2</v>
      </c>
      <c r="U166" s="7">
        <f>ROUND(49/E166,3)</f>
        <v>0.60499999999999998</v>
      </c>
      <c r="V166" s="7">
        <f>ROUND(19/E166,3)</f>
        <v>0.23499999999999999</v>
      </c>
      <c r="W166" s="7">
        <f>ROUND(6.97/E166,3)</f>
        <v>8.5999999999999993E-2</v>
      </c>
      <c r="X166" s="7">
        <v>0.5</v>
      </c>
      <c r="Y166" s="7">
        <v>0.51</v>
      </c>
      <c r="Z166" s="7">
        <v>0.51</v>
      </c>
      <c r="AA166" s="7">
        <f>ROUND(26.13/E166,3)</f>
        <v>0.32300000000000001</v>
      </c>
      <c r="AB166" s="7">
        <f>ROUND(5/E166,3)</f>
        <v>6.2E-2</v>
      </c>
      <c r="AC166" s="7">
        <v>8482142</v>
      </c>
    </row>
    <row r="167" spans="1:29" ht="15" customHeight="1" x14ac:dyDescent="0.2">
      <c r="A167" s="7" t="s">
        <v>508</v>
      </c>
      <c r="B167" s="7" t="s">
        <v>376</v>
      </c>
      <c r="C167" s="7" t="s">
        <v>153</v>
      </c>
      <c r="D167" s="7">
        <v>27</v>
      </c>
      <c r="E167" s="7">
        <v>80</v>
      </c>
      <c r="F167" s="7">
        <f>ROUND(11/E167,3)</f>
        <v>0.13800000000000001</v>
      </c>
      <c r="G167" s="7">
        <f>ROUND(35/E167,3)</f>
        <v>0.438</v>
      </c>
      <c r="H167" s="7">
        <f>ROUND(158/E167,3)</f>
        <v>1.9750000000000001</v>
      </c>
      <c r="I167" s="7">
        <f>ROUND(91/E167,3)</f>
        <v>1.1379999999999999</v>
      </c>
      <c r="J167" s="7">
        <f>ROUND(51/E167,3)</f>
        <v>0.63800000000000001</v>
      </c>
      <c r="K167" s="7">
        <f>8*F167+6*G167+1*H167+1*J167+0.5*I167</f>
        <v>6.9140000000000006</v>
      </c>
      <c r="L167" s="7">
        <f>ROUND(1888.35/E167,3)</f>
        <v>23.603999999999999</v>
      </c>
      <c r="M167" s="7">
        <f>ROUND(57/E167,3)</f>
        <v>0.71299999999999997</v>
      </c>
      <c r="N167" s="7" t="s">
        <v>509</v>
      </c>
      <c r="O167" s="7" t="s">
        <v>424</v>
      </c>
      <c r="P167" s="7">
        <f>ROUND(312/E167,3)</f>
        <v>3.9</v>
      </c>
      <c r="Q167" s="7">
        <f>ROUND(224/E167,3)</f>
        <v>2.8</v>
      </c>
      <c r="R167" s="7">
        <f>ROUND(89/E167,3)</f>
        <v>1.113</v>
      </c>
      <c r="S167" s="7">
        <f>ROUND(17/E167,3)</f>
        <v>0.21299999999999999</v>
      </c>
      <c r="T167" s="7">
        <f>ROUND(10.31/E167,3)</f>
        <v>0.129</v>
      </c>
      <c r="U167" s="7">
        <f>ROUND(63/E167,3)</f>
        <v>0.78800000000000003</v>
      </c>
      <c r="V167" s="7">
        <f>ROUND(38/E167,3)</f>
        <v>0.47499999999999998</v>
      </c>
      <c r="W167" s="7">
        <f>ROUND(10.96/E167,3)</f>
        <v>0.13700000000000001</v>
      </c>
      <c r="X167" s="7">
        <v>0.47</v>
      </c>
      <c r="Y167" s="7">
        <v>0.51</v>
      </c>
      <c r="Z167" s="7">
        <v>0.5</v>
      </c>
      <c r="AA167" s="7">
        <f>ROUND(45.2/E167,3)</f>
        <v>0.56499999999999995</v>
      </c>
      <c r="AB167" s="7">
        <f>ROUND(11/E167,3)</f>
        <v>0.13800000000000001</v>
      </c>
      <c r="AC167" s="7">
        <v>8476923</v>
      </c>
    </row>
    <row r="168" spans="1:29" ht="15" customHeight="1" x14ac:dyDescent="0.2">
      <c r="A168" s="7" t="s">
        <v>510</v>
      </c>
      <c r="B168" s="7" t="s">
        <v>376</v>
      </c>
      <c r="C168" s="7" t="s">
        <v>127</v>
      </c>
      <c r="D168" s="7">
        <v>26</v>
      </c>
      <c r="E168" s="7">
        <v>78</v>
      </c>
      <c r="F168" s="7">
        <f>ROUND(5/E168,3)</f>
        <v>6.4000000000000001E-2</v>
      </c>
      <c r="G168" s="7">
        <f>ROUND(46/E168,3)</f>
        <v>0.59</v>
      </c>
      <c r="H168" s="7">
        <f>ROUND(194/E168,3)</f>
        <v>2.4870000000000001</v>
      </c>
      <c r="I168" s="7">
        <f>ROUND(99/E168,3)</f>
        <v>1.2689999999999999</v>
      </c>
      <c r="J168" s="7">
        <f>ROUND(145/E168,3)</f>
        <v>1.859</v>
      </c>
      <c r="K168" s="7">
        <f>8*F168+6*G168+1*H168+1*J168+0.5*I168</f>
        <v>9.0324999999999989</v>
      </c>
      <c r="L168" s="7">
        <f>ROUND(2044.3666666667/E168,3)</f>
        <v>26.21</v>
      </c>
      <c r="M168" s="7">
        <f>ROUND(28/E168,3)</f>
        <v>0.35899999999999999</v>
      </c>
      <c r="N168" s="7" t="s">
        <v>351</v>
      </c>
      <c r="O168" s="7" t="s">
        <v>511</v>
      </c>
      <c r="P168" s="7">
        <f>ROUND(365/E168,3)</f>
        <v>4.6790000000000003</v>
      </c>
      <c r="Q168" s="7">
        <f>ROUND(255/E168,3)</f>
        <v>3.2690000000000001</v>
      </c>
      <c r="R168" s="7">
        <f>ROUND(106/E168,3)</f>
        <v>1.359</v>
      </c>
      <c r="S168" s="7">
        <f>ROUND(29/E168,3)</f>
        <v>0.372</v>
      </c>
      <c r="T168" s="7">
        <f>ROUND(9.46/E168,3)</f>
        <v>0.121</v>
      </c>
      <c r="U168" s="7">
        <f>ROUND(71/E168,3)</f>
        <v>0.91</v>
      </c>
      <c r="V168" s="7">
        <f>ROUND(34/E168,3)</f>
        <v>0.436</v>
      </c>
      <c r="W168" s="7">
        <f>ROUND(7.08/E168,3)</f>
        <v>9.0999999999999998E-2</v>
      </c>
      <c r="X168" s="7">
        <v>0.5</v>
      </c>
      <c r="Y168" s="7">
        <v>0.51</v>
      </c>
      <c r="Z168" s="7">
        <v>0.51</v>
      </c>
      <c r="AA168" s="7">
        <f>ROUND(38.6/E168,3)</f>
        <v>0.495</v>
      </c>
      <c r="AB168" s="7">
        <f>ROUND(3/E168,3)</f>
        <v>3.7999999999999999E-2</v>
      </c>
      <c r="AC168" s="7">
        <v>8477495</v>
      </c>
    </row>
    <row r="169" spans="1:29" ht="15" customHeight="1" x14ac:dyDescent="0.2">
      <c r="A169" s="7" t="s">
        <v>512</v>
      </c>
      <c r="B169" s="7" t="s">
        <v>376</v>
      </c>
      <c r="C169" s="7" t="s">
        <v>93</v>
      </c>
      <c r="D169" s="7">
        <v>27</v>
      </c>
      <c r="E169" s="7">
        <v>76</v>
      </c>
      <c r="F169" s="7">
        <f>ROUND(4/E169,3)</f>
        <v>5.2999999999999999E-2</v>
      </c>
      <c r="G169" s="7">
        <f>ROUND(21/E169,3)</f>
        <v>0.27600000000000002</v>
      </c>
      <c r="H169" s="7">
        <f>ROUND(136/E169,3)</f>
        <v>1.7889999999999999</v>
      </c>
      <c r="I169" s="7">
        <f>ROUND(111/E169,3)</f>
        <v>1.4610000000000001</v>
      </c>
      <c r="J169" s="7">
        <f>ROUND(143/E169,3)</f>
        <v>1.8819999999999999</v>
      </c>
      <c r="K169" s="7">
        <f>8*F169+6*G169+1*H169+1*J169+0.5*I169</f>
        <v>6.4814999999999996</v>
      </c>
      <c r="L169" s="7">
        <f>ROUND(1675.4333333333/E169,3)</f>
        <v>22.045000000000002</v>
      </c>
      <c r="M169" s="7">
        <f>ROUND(12/E169,3)</f>
        <v>0.158</v>
      </c>
      <c r="N169" s="7" t="s">
        <v>513</v>
      </c>
      <c r="O169" s="7" t="s">
        <v>514</v>
      </c>
      <c r="P169" s="7">
        <f>ROUND(211/E169,3)</f>
        <v>2.7759999999999998</v>
      </c>
      <c r="Q169" s="7">
        <f>ROUND(159/E169,3)</f>
        <v>2.0920000000000001</v>
      </c>
      <c r="R169" s="7">
        <f>ROUND(61/E169,3)</f>
        <v>0.80300000000000005</v>
      </c>
      <c r="S169" s="7">
        <f>ROUND(10/E169,3)</f>
        <v>0.13200000000000001</v>
      </c>
      <c r="T169" s="7">
        <f>ROUND(4.59/E169,3)</f>
        <v>0.06</v>
      </c>
      <c r="U169" s="7">
        <f>ROUND(55/E169,3)</f>
        <v>0.72399999999999998</v>
      </c>
      <c r="V169" s="7">
        <f>ROUND(20/E169,3)</f>
        <v>0.26300000000000001</v>
      </c>
      <c r="W169" s="7">
        <f>ROUND(4.91/E169,3)</f>
        <v>6.5000000000000002E-2</v>
      </c>
      <c r="X169" s="7">
        <v>0.46</v>
      </c>
      <c r="Y169" s="7">
        <v>0.42</v>
      </c>
      <c r="Z169" s="7">
        <v>0.44</v>
      </c>
      <c r="AA169" s="7">
        <f>ROUND(24.04/E169,3)</f>
        <v>0.316</v>
      </c>
      <c r="AB169" s="7">
        <f>ROUND(2/E169,3)</f>
        <v>2.5999999999999999E-2</v>
      </c>
      <c r="AC169" s="7">
        <v>8476902</v>
      </c>
    </row>
    <row r="170" spans="1:29" ht="15" customHeight="1" x14ac:dyDescent="0.2">
      <c r="A170" s="7" t="s">
        <v>515</v>
      </c>
      <c r="B170" s="7" t="s">
        <v>376</v>
      </c>
      <c r="D170" s="7">
        <v>17</v>
      </c>
      <c r="K170" s="7"/>
      <c r="AC170" s="7">
        <v>8483485</v>
      </c>
    </row>
    <row r="171" spans="1:29" ht="15" customHeight="1" x14ac:dyDescent="0.2">
      <c r="A171" s="7" t="s">
        <v>516</v>
      </c>
      <c r="B171" s="7" t="s">
        <v>376</v>
      </c>
      <c r="C171" s="7" t="s">
        <v>184</v>
      </c>
      <c r="D171" s="7">
        <v>26</v>
      </c>
      <c r="E171" s="7">
        <v>6</v>
      </c>
      <c r="F171" s="7">
        <f>ROUND(0/E171,3)</f>
        <v>0</v>
      </c>
      <c r="G171" s="7">
        <f>ROUND(2/E171,3)</f>
        <v>0.33300000000000002</v>
      </c>
      <c r="H171" s="7">
        <f>ROUND(18/E171,3)</f>
        <v>3</v>
      </c>
      <c r="I171" s="7">
        <f>ROUND(9/E171,3)</f>
        <v>1.5</v>
      </c>
      <c r="J171" s="7">
        <f>ROUND(9/E171,3)</f>
        <v>1.5</v>
      </c>
      <c r="K171" s="7">
        <f>8*F171+6*G171+1*H171+1*J171+0.5*I171</f>
        <v>7.2480000000000002</v>
      </c>
      <c r="L171" s="7">
        <f>ROUND(110.23333333333/E171,3)</f>
        <v>18.372</v>
      </c>
      <c r="M171" s="7">
        <f>ROUND(4/E171,3)</f>
        <v>0.66700000000000004</v>
      </c>
      <c r="N171" s="7" t="s">
        <v>115</v>
      </c>
      <c r="O171" s="7" t="s">
        <v>207</v>
      </c>
      <c r="P171" s="7">
        <f>ROUND(32/E171,3)</f>
        <v>5.3330000000000002</v>
      </c>
      <c r="Q171" s="7">
        <f>ROUND(22/E171,3)</f>
        <v>3.6669999999999998</v>
      </c>
      <c r="R171" s="7">
        <f>ROUND(14/E171,3)</f>
        <v>2.3330000000000002</v>
      </c>
      <c r="S171" s="7">
        <f>ROUND(2/E171,3)</f>
        <v>0.33300000000000002</v>
      </c>
      <c r="T171" s="7">
        <f>ROUND(0.72/E171,3)</f>
        <v>0.12</v>
      </c>
      <c r="U171" s="7">
        <f>ROUND(1/E171,3)</f>
        <v>0.16700000000000001</v>
      </c>
      <c r="V171" s="7">
        <f>ROUND(1/E171,3)</f>
        <v>0.16700000000000001</v>
      </c>
      <c r="W171" s="7">
        <f>ROUND(1.04/E171,3)</f>
        <v>0.17299999999999999</v>
      </c>
      <c r="X171" s="7">
        <v>0.48</v>
      </c>
      <c r="Y171" s="7">
        <v>0.55000000000000004</v>
      </c>
      <c r="Z171" s="7">
        <v>0.56000000000000005</v>
      </c>
      <c r="AA171" s="7">
        <f>ROUND(3.8/E171,3)</f>
        <v>0.63300000000000001</v>
      </c>
      <c r="AB171" s="7">
        <f>ROUND(2/E171,3)</f>
        <v>0.33300000000000002</v>
      </c>
      <c r="AC171" s="7">
        <v>8480336</v>
      </c>
    </row>
    <row r="172" spans="1:29" ht="15" customHeight="1" x14ac:dyDescent="0.2">
      <c r="A172" s="7" t="s">
        <v>517</v>
      </c>
      <c r="B172" s="7" t="s">
        <v>376</v>
      </c>
      <c r="C172" s="7" t="s">
        <v>220</v>
      </c>
      <c r="D172" s="7">
        <v>24</v>
      </c>
      <c r="E172" s="7">
        <v>79</v>
      </c>
      <c r="F172" s="7">
        <f>ROUND(9/E172,3)</f>
        <v>0.114</v>
      </c>
      <c r="G172" s="7">
        <f>ROUND(22/E172,3)</f>
        <v>0.27800000000000002</v>
      </c>
      <c r="H172" s="7">
        <f>ROUND(170/E172,3)</f>
        <v>2.1520000000000001</v>
      </c>
      <c r="I172" s="7">
        <f>ROUND(74/E172,3)</f>
        <v>0.93700000000000006</v>
      </c>
      <c r="J172" s="7">
        <f>ROUND(160/E172,3)</f>
        <v>2.0249999999999999</v>
      </c>
      <c r="K172" s="7">
        <f>8*F172+6*G172+1*H172+1*J172+0.5*I172</f>
        <v>7.2254999999999994</v>
      </c>
      <c r="L172" s="7">
        <f>ROUND(1966.3666666667/E172,3)</f>
        <v>24.890999999999998</v>
      </c>
      <c r="M172" s="7">
        <f>ROUND(34/E172,3)</f>
        <v>0.43</v>
      </c>
      <c r="N172" s="7" t="s">
        <v>518</v>
      </c>
      <c r="O172" s="7" t="s">
        <v>519</v>
      </c>
      <c r="P172" s="7">
        <f>ROUND(322/E172,3)</f>
        <v>4.0759999999999996</v>
      </c>
      <c r="Q172" s="7">
        <f>ROUND(221/E172,3)</f>
        <v>2.7970000000000002</v>
      </c>
      <c r="R172" s="7">
        <f>ROUND(93/E172,3)</f>
        <v>1.177</v>
      </c>
      <c r="S172" s="7">
        <f>ROUND(17/E172,3)</f>
        <v>0.215</v>
      </c>
      <c r="T172" s="7">
        <f>ROUND(7.69/E172,3)</f>
        <v>9.7000000000000003E-2</v>
      </c>
      <c r="U172" s="7">
        <f>ROUND(84/E172,3)</f>
        <v>1.0629999999999999</v>
      </c>
      <c r="V172" s="7">
        <f>ROUND(17/E172,3)</f>
        <v>0.215</v>
      </c>
      <c r="W172" s="7">
        <f>ROUND(8.34/E172,3)</f>
        <v>0.106</v>
      </c>
      <c r="X172" s="7">
        <v>0.44</v>
      </c>
      <c r="Y172" s="7">
        <v>0.47</v>
      </c>
      <c r="Z172" s="7">
        <v>0.47</v>
      </c>
      <c r="AA172" s="7">
        <f>ROUND(30.7/E172,3)</f>
        <v>0.38900000000000001</v>
      </c>
      <c r="AB172" s="7">
        <f>ROUND(6/E172,3)</f>
        <v>7.5999999999999998E-2</v>
      </c>
      <c r="AC172" s="7">
        <v>8478500</v>
      </c>
    </row>
    <row r="173" spans="1:29" ht="15" customHeight="1" x14ac:dyDescent="0.2">
      <c r="A173" s="7" t="s">
        <v>520</v>
      </c>
      <c r="B173" s="7" t="s">
        <v>376</v>
      </c>
      <c r="C173" s="7" t="s">
        <v>184</v>
      </c>
      <c r="D173" s="7">
        <v>20</v>
      </c>
      <c r="E173" s="7">
        <v>24</v>
      </c>
      <c r="F173" s="7">
        <f>ROUND(2/E173,3)</f>
        <v>8.3000000000000004E-2</v>
      </c>
      <c r="G173" s="7">
        <f>ROUND(6/E173,3)</f>
        <v>0.25</v>
      </c>
      <c r="H173" s="7">
        <f>ROUND(41/E173,3)</f>
        <v>1.708</v>
      </c>
      <c r="I173" s="7">
        <f>ROUND(32/E173,3)</f>
        <v>1.333</v>
      </c>
      <c r="J173" s="7">
        <f>ROUND(16/E173,3)</f>
        <v>0.66700000000000004</v>
      </c>
      <c r="K173" s="7">
        <f>8*F173+6*G173+1*H173+1*J173+0.5*I173</f>
        <v>5.2054999999999998</v>
      </c>
      <c r="L173" s="7">
        <f>ROUND(473.85/E173,3)</f>
        <v>19.744</v>
      </c>
      <c r="M173" s="7">
        <f>ROUND(2/E173,3)</f>
        <v>8.3000000000000004E-2</v>
      </c>
      <c r="N173" s="7" t="s">
        <v>521</v>
      </c>
      <c r="O173" s="7" t="s">
        <v>522</v>
      </c>
      <c r="P173" s="7">
        <f>ROUND(99/E173,3)</f>
        <v>4.125</v>
      </c>
      <c r="Q173" s="7">
        <f>ROUND(60/E173,3)</f>
        <v>2.5</v>
      </c>
      <c r="R173" s="7">
        <f>ROUND(27/E173,3)</f>
        <v>1.125</v>
      </c>
      <c r="S173" s="7">
        <f>ROUND(3/E173,3)</f>
        <v>0.125</v>
      </c>
      <c r="T173" s="7">
        <f>ROUND(1.54/E173,3)</f>
        <v>6.4000000000000001E-2</v>
      </c>
      <c r="U173" s="7">
        <f>ROUND(11/E173,3)</f>
        <v>0.45800000000000002</v>
      </c>
      <c r="V173" s="7">
        <f>ROUND(3/E173,3)</f>
        <v>0.125</v>
      </c>
      <c r="W173" s="7">
        <f>ROUND(1.41/E173,3)</f>
        <v>5.8999999999999997E-2</v>
      </c>
      <c r="X173" s="7">
        <v>0.55000000000000004</v>
      </c>
      <c r="Y173" s="7">
        <v>0.59</v>
      </c>
      <c r="Z173" s="7">
        <v>0.59</v>
      </c>
      <c r="AA173" s="7">
        <f>ROUND(15.17/E173,3)</f>
        <v>0.63200000000000001</v>
      </c>
      <c r="AB173" s="7">
        <f>ROUND(0/E173,3)</f>
        <v>0</v>
      </c>
      <c r="AC173" s="7">
        <v>8481606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73"/>
  <sheetViews>
    <sheetView zoomScaleNormal="100" workbookViewId="0">
      <pane xSplit="4" ySplit="2" topLeftCell="O3" activePane="bottomRight" state="frozen"/>
      <selection pane="topRight" activeCell="E1" sqref="E1"/>
      <selection pane="bottomLeft" activeCell="A3" sqref="A3"/>
      <selection pane="bottomRight" activeCell="W1" sqref="W1:W1048576"/>
    </sheetView>
  </sheetViews>
  <sheetFormatPr baseColWidth="10" defaultColWidth="8.6640625" defaultRowHeight="15" x14ac:dyDescent="0.2"/>
  <cols>
    <col min="1" max="1" width="14" customWidth="1"/>
    <col min="2" max="2" width="10" customWidth="1"/>
    <col min="3" max="3" width="14" customWidth="1"/>
    <col min="4" max="29" width="10" customWidth="1"/>
  </cols>
  <sheetData>
    <row r="1" spans="1:29" ht="15" customHeight="1" x14ac:dyDescent="0.2">
      <c r="A1" s="4" t="s">
        <v>24</v>
      </c>
      <c r="B1" s="5"/>
      <c r="C1" s="5"/>
      <c r="D1" s="5"/>
      <c r="E1" s="5"/>
      <c r="F1" s="5"/>
      <c r="G1" s="5"/>
      <c r="H1" s="5"/>
      <c r="I1" s="5"/>
      <c r="J1" s="5"/>
      <c r="K1" s="5"/>
      <c r="L1" s="5"/>
      <c r="M1" s="5"/>
      <c r="N1" s="5"/>
      <c r="O1" s="5"/>
      <c r="P1" s="5"/>
      <c r="Q1" s="5"/>
      <c r="R1" s="5"/>
      <c r="S1" s="5"/>
      <c r="T1" s="5"/>
      <c r="U1" s="5"/>
      <c r="V1" s="5"/>
      <c r="W1" s="5"/>
      <c r="X1" s="5"/>
      <c r="Y1" s="5"/>
      <c r="Z1" s="5"/>
      <c r="AA1" s="5"/>
      <c r="AB1" s="5"/>
      <c r="AC1" s="5"/>
    </row>
    <row r="2" spans="1:29" ht="15" customHeight="1" x14ac:dyDescent="0.2">
      <c r="A2" s="6" t="s">
        <v>25</v>
      </c>
      <c r="B2" s="6" t="s">
        <v>26</v>
      </c>
      <c r="C2" s="6" t="s">
        <v>27</v>
      </c>
      <c r="D2" s="6" t="s">
        <v>28</v>
      </c>
      <c r="E2" s="6" t="s">
        <v>29</v>
      </c>
      <c r="F2" s="6" t="s">
        <v>30</v>
      </c>
      <c r="G2" s="6" t="s">
        <v>31</v>
      </c>
      <c r="H2" s="6" t="s">
        <v>32</v>
      </c>
      <c r="I2" s="6" t="s">
        <v>33</v>
      </c>
      <c r="J2" s="6" t="s">
        <v>34</v>
      </c>
      <c r="K2" s="6" t="s">
        <v>35</v>
      </c>
      <c r="L2" s="6" t="s">
        <v>36</v>
      </c>
      <c r="M2" s="6" t="s">
        <v>37</v>
      </c>
      <c r="N2" s="6" t="s">
        <v>38</v>
      </c>
      <c r="O2" s="6" t="s">
        <v>39</v>
      </c>
      <c r="P2" s="6" t="s">
        <v>40</v>
      </c>
      <c r="Q2" s="6" t="s">
        <v>41</v>
      </c>
      <c r="R2" s="6" t="s">
        <v>42</v>
      </c>
      <c r="S2" s="6" t="s">
        <v>43</v>
      </c>
      <c r="T2" s="6" t="s">
        <v>44</v>
      </c>
      <c r="U2" s="6" t="s">
        <v>45</v>
      </c>
      <c r="V2" s="6" t="s">
        <v>46</v>
      </c>
      <c r="W2" s="6" t="s">
        <v>47</v>
      </c>
      <c r="X2" s="6" t="s">
        <v>48</v>
      </c>
      <c r="Y2" s="6" t="s">
        <v>49</v>
      </c>
      <c r="Z2" s="6" t="s">
        <v>50</v>
      </c>
      <c r="AA2" s="6" t="s">
        <v>51</v>
      </c>
      <c r="AB2" s="6" t="s">
        <v>52</v>
      </c>
      <c r="AC2" s="6" t="s">
        <v>53</v>
      </c>
    </row>
    <row r="3" spans="1:29" ht="15" customHeight="1" x14ac:dyDescent="0.2">
      <c r="A3" s="7" t="s">
        <v>54</v>
      </c>
      <c r="B3" s="7" t="s">
        <v>55</v>
      </c>
      <c r="C3" s="7" t="s">
        <v>56</v>
      </c>
      <c r="D3" s="7">
        <v>25</v>
      </c>
      <c r="E3" s="7">
        <v>82</v>
      </c>
      <c r="F3" s="7">
        <f>ROUND(64/E3,3)</f>
        <v>0.78</v>
      </c>
      <c r="G3" s="7">
        <f>ROUND(89/E3,3)</f>
        <v>1.085</v>
      </c>
      <c r="H3" s="7">
        <f>ROUND(352/E3,3)</f>
        <v>4.2930000000000001</v>
      </c>
      <c r="I3" s="7">
        <f>ROUND(89/E3,3)</f>
        <v>1.085</v>
      </c>
      <c r="J3" s="7">
        <f>ROUND(37/E3,3)</f>
        <v>0.45100000000000001</v>
      </c>
      <c r="K3" s="7">
        <f>8*F3+6*G3+1*H3+1*J3+0.5*I3</f>
        <v>18.0365</v>
      </c>
      <c r="L3" s="7">
        <f>ROUND(1835.6166666667/E3,3)</f>
        <v>22.385999999999999</v>
      </c>
      <c r="M3" s="7">
        <f>ROUND(36/E3,3)</f>
        <v>0.439</v>
      </c>
      <c r="N3" s="7" t="s">
        <v>523</v>
      </c>
      <c r="O3" s="7" t="s">
        <v>524</v>
      </c>
      <c r="P3" s="7">
        <f>ROUND(529/E3,3)</f>
        <v>6.4509999999999996</v>
      </c>
      <c r="Q3" s="7">
        <f>ROUND(441/E3,3)</f>
        <v>5.3780000000000001</v>
      </c>
      <c r="R3" s="7">
        <f>ROUND(379/E3,3)</f>
        <v>4.6219999999999999</v>
      </c>
      <c r="S3" s="7">
        <f>ROUND(164/E3,3)</f>
        <v>2</v>
      </c>
      <c r="T3" s="7">
        <f>ROUND(43.97/E3,3)</f>
        <v>0.53600000000000003</v>
      </c>
      <c r="U3" s="7">
        <f>ROUND(77/E3,3)</f>
        <v>0.93899999999999995</v>
      </c>
      <c r="V3" s="7">
        <f>ROUND(82/E3,3)</f>
        <v>1</v>
      </c>
      <c r="W3" s="7">
        <f>ROUND(45.31/E3,3)</f>
        <v>0.55300000000000005</v>
      </c>
      <c r="X3" s="7">
        <v>0.67</v>
      </c>
      <c r="Y3" s="7">
        <v>0.6</v>
      </c>
      <c r="Z3" s="7">
        <v>0.59</v>
      </c>
      <c r="AA3" s="7">
        <f>ROUND(151.69/E3,3)</f>
        <v>1.85</v>
      </c>
      <c r="AB3" s="7">
        <f>ROUND(41/E3,3)</f>
        <v>0.5</v>
      </c>
      <c r="AC3" s="7">
        <v>8478402</v>
      </c>
    </row>
    <row r="4" spans="1:29" ht="15" customHeight="1" x14ac:dyDescent="0.2">
      <c r="A4" s="7" t="s">
        <v>59</v>
      </c>
      <c r="B4" s="7" t="s">
        <v>60</v>
      </c>
      <c r="C4" s="7" t="s">
        <v>61</v>
      </c>
      <c r="D4" s="7">
        <v>29</v>
      </c>
      <c r="E4" s="7">
        <v>82</v>
      </c>
      <c r="F4" s="7">
        <f>ROUND(30/E4,3)</f>
        <v>0.36599999999999999</v>
      </c>
      <c r="G4" s="7">
        <f>ROUND(83/E4,3)</f>
        <v>1.012</v>
      </c>
      <c r="H4" s="7">
        <f>ROUND(271/E4,3)</f>
        <v>3.3050000000000002</v>
      </c>
      <c r="I4" s="7">
        <f>ROUND(61/E4,3)</f>
        <v>0.74399999999999999</v>
      </c>
      <c r="J4" s="7">
        <f>ROUND(6/E4,3)</f>
        <v>7.2999999999999995E-2</v>
      </c>
      <c r="K4" s="7">
        <f>8*F4+6*G4+1*H4+1*J4+0.5*I4</f>
        <v>12.75</v>
      </c>
      <c r="L4" s="7">
        <f>ROUND(1650.85/E4,3)</f>
        <v>20.132000000000001</v>
      </c>
      <c r="M4" s="7">
        <f>ROUND(36/E4,3)</f>
        <v>0.439</v>
      </c>
      <c r="N4" s="7" t="s">
        <v>525</v>
      </c>
      <c r="O4" s="7" t="s">
        <v>526</v>
      </c>
      <c r="P4" s="7">
        <f>ROUND(545/E4,3)</f>
        <v>6.6459999999999999</v>
      </c>
      <c r="Q4" s="7">
        <f>ROUND(396/E4,3)</f>
        <v>4.8289999999999997</v>
      </c>
      <c r="R4" s="7">
        <f>ROUND(295/E4,3)</f>
        <v>3.5979999999999999</v>
      </c>
      <c r="S4" s="7">
        <f>ROUND(89/E4,3)</f>
        <v>1.085</v>
      </c>
      <c r="T4" s="7">
        <f>ROUND(28.14/E4,3)</f>
        <v>0.34300000000000003</v>
      </c>
      <c r="U4" s="7">
        <f>ROUND(98/E4,3)</f>
        <v>1.1950000000000001</v>
      </c>
      <c r="V4" s="7">
        <f>ROUND(57/E4,3)</f>
        <v>0.69499999999999995</v>
      </c>
      <c r="W4" s="7">
        <f>ROUND(30.23/E4,3)</f>
        <v>0.36899999999999999</v>
      </c>
      <c r="X4" s="7">
        <v>0.62</v>
      </c>
      <c r="Y4" s="7">
        <v>0.61</v>
      </c>
      <c r="Z4" s="7">
        <v>0.61</v>
      </c>
      <c r="AA4" s="7">
        <f>ROUND(110.74/E4,3)</f>
        <v>1.35</v>
      </c>
      <c r="AB4" s="7">
        <f>ROUND(22/E4,3)</f>
        <v>0.26800000000000002</v>
      </c>
      <c r="AC4" s="7">
        <v>8476453</v>
      </c>
    </row>
    <row r="5" spans="1:29" ht="15" customHeight="1" x14ac:dyDescent="0.2">
      <c r="A5" s="7" t="s">
        <v>65</v>
      </c>
      <c r="B5" s="7" t="s">
        <v>55</v>
      </c>
      <c r="C5" s="7" t="s">
        <v>66</v>
      </c>
      <c r="D5" s="7">
        <v>27</v>
      </c>
      <c r="E5" s="7">
        <v>71</v>
      </c>
      <c r="F5" s="7">
        <f>ROUND(42/E5,3)</f>
        <v>0.59199999999999997</v>
      </c>
      <c r="G5" s="7">
        <f>ROUND(69/E5,3)</f>
        <v>0.97199999999999998</v>
      </c>
      <c r="H5" s="7">
        <f>ROUND(366/E5,3)</f>
        <v>5.1550000000000002</v>
      </c>
      <c r="I5" s="7">
        <f>ROUND(53/E5,3)</f>
        <v>0.746</v>
      </c>
      <c r="J5" s="7">
        <f>ROUND(33/E5,3)</f>
        <v>0.46500000000000002</v>
      </c>
      <c r="K5" s="7">
        <f>8*F5+6*G5+1*H5+1*J5+0.5*I5</f>
        <v>16.561</v>
      </c>
      <c r="L5" s="7">
        <f>ROUND(1584.5333333333/E5,3)</f>
        <v>22.317</v>
      </c>
      <c r="M5" s="7">
        <f>ROUND(30/E5,3)</f>
        <v>0.42299999999999999</v>
      </c>
      <c r="N5" s="7" t="s">
        <v>527</v>
      </c>
      <c r="O5" s="7" t="s">
        <v>528</v>
      </c>
      <c r="P5" s="7">
        <f>ROUND(629/E5,3)</f>
        <v>8.859</v>
      </c>
      <c r="Q5" s="7">
        <f>ROUND(480/E5,3)</f>
        <v>6.7610000000000001</v>
      </c>
      <c r="R5" s="7">
        <f>ROUND(329/E5,3)</f>
        <v>4.6340000000000003</v>
      </c>
      <c r="S5" s="7">
        <f>ROUND(99/E5,3)</f>
        <v>1.3939999999999999</v>
      </c>
      <c r="T5" s="7">
        <f>ROUND(32.26/E5,3)</f>
        <v>0.45400000000000001</v>
      </c>
      <c r="U5" s="7">
        <f>ROUND(47/E5,3)</f>
        <v>0.66200000000000003</v>
      </c>
      <c r="V5" s="7">
        <f>ROUND(43/E5,3)</f>
        <v>0.60599999999999998</v>
      </c>
      <c r="W5" s="7">
        <f>ROUND(30.83/E5,3)</f>
        <v>0.434</v>
      </c>
      <c r="X5" s="7">
        <v>0.62</v>
      </c>
      <c r="Y5" s="7">
        <v>0.63</v>
      </c>
      <c r="Z5" s="7">
        <v>0.61</v>
      </c>
      <c r="AA5" s="7">
        <f>ROUND(125.2/E5,3)</f>
        <v>1.7629999999999999</v>
      </c>
      <c r="AB5" s="7">
        <f>ROUND(22/E5,3)</f>
        <v>0.31</v>
      </c>
      <c r="AC5" s="7">
        <v>8477492</v>
      </c>
    </row>
    <row r="6" spans="1:29" ht="15" customHeight="1" x14ac:dyDescent="0.2">
      <c r="A6" s="7" t="s">
        <v>70</v>
      </c>
      <c r="B6" s="7" t="s">
        <v>55</v>
      </c>
      <c r="D6" s="7">
        <v>16</v>
      </c>
      <c r="K6" s="7"/>
      <c r="AC6" s="7">
        <v>8484801</v>
      </c>
    </row>
    <row r="7" spans="1:29" ht="15" customHeight="1" x14ac:dyDescent="0.2">
      <c r="A7" s="7" t="s">
        <v>71</v>
      </c>
      <c r="B7" s="7" t="s">
        <v>55</v>
      </c>
      <c r="C7" s="7" t="s">
        <v>72</v>
      </c>
      <c r="D7" s="7">
        <v>29</v>
      </c>
      <c r="E7" s="7">
        <v>81</v>
      </c>
      <c r="F7" s="7">
        <f>ROUND(42/E7,3)</f>
        <v>0.51900000000000002</v>
      </c>
      <c r="G7" s="7">
        <f>ROUND(26/E7,3)</f>
        <v>0.32100000000000001</v>
      </c>
      <c r="H7" s="7">
        <f>ROUND(206/E7,3)</f>
        <v>2.5430000000000001</v>
      </c>
      <c r="I7" s="7">
        <f>ROUND(50/E7,3)</f>
        <v>0.61699999999999999</v>
      </c>
      <c r="J7" s="7">
        <f>ROUND(34/E7,3)</f>
        <v>0.42</v>
      </c>
      <c r="K7" s="7">
        <f t="shared" ref="K7:K25" si="0">8*F7+6*G7+1*H7+1*J7+0.5*I7</f>
        <v>9.3495000000000008</v>
      </c>
      <c r="L7" s="7">
        <f>ROUND(1658.7833333333/E7,3)</f>
        <v>20.478999999999999</v>
      </c>
      <c r="M7" s="7">
        <f>ROUND(43/E7,3)</f>
        <v>0.53100000000000003</v>
      </c>
      <c r="N7" s="7" t="s">
        <v>529</v>
      </c>
      <c r="O7" s="7" t="s">
        <v>530</v>
      </c>
      <c r="P7" s="7">
        <f>ROUND(363/E7,3)</f>
        <v>4.4809999999999999</v>
      </c>
      <c r="Q7" s="7">
        <f>ROUND(301/E7,3)</f>
        <v>3.7160000000000002</v>
      </c>
      <c r="R7" s="7">
        <f>ROUND(277/E7,3)</f>
        <v>3.42</v>
      </c>
      <c r="S7" s="7">
        <f>ROUND(135/E7,3)</f>
        <v>1.667</v>
      </c>
      <c r="T7" s="7">
        <f>ROUND(31.57/E7,3)</f>
        <v>0.39</v>
      </c>
      <c r="U7" s="7">
        <f>ROUND(45/E7,3)</f>
        <v>0.55600000000000005</v>
      </c>
      <c r="V7" s="7">
        <f>ROUND(61/E7,3)</f>
        <v>0.753</v>
      </c>
      <c r="W7" s="7">
        <f>ROUND(32.69/E7,3)</f>
        <v>0.40400000000000003</v>
      </c>
      <c r="X7" s="7">
        <v>0.56999999999999995</v>
      </c>
      <c r="Y7" s="7">
        <v>0.57999999999999996</v>
      </c>
      <c r="Z7" s="7">
        <v>0.56999999999999995</v>
      </c>
      <c r="AA7" s="7">
        <f>ROUND(70.11/E7,3)</f>
        <v>0.86599999999999999</v>
      </c>
      <c r="AB7" s="7">
        <f>ROUND(33/E7,3)</f>
        <v>0.40699999999999997</v>
      </c>
      <c r="AC7" s="7">
        <v>8476460</v>
      </c>
    </row>
    <row r="8" spans="1:29" ht="15" customHeight="1" x14ac:dyDescent="0.2">
      <c r="A8" s="7" t="s">
        <v>75</v>
      </c>
      <c r="B8" s="7" t="s">
        <v>55</v>
      </c>
      <c r="C8" s="7" t="s">
        <v>76</v>
      </c>
      <c r="D8" s="7">
        <v>23</v>
      </c>
      <c r="E8" s="7">
        <v>82</v>
      </c>
      <c r="F8" s="7">
        <f>ROUND(26/E8,3)</f>
        <v>0.317</v>
      </c>
      <c r="G8" s="7">
        <f>ROUND(40/E8,3)</f>
        <v>0.48799999999999999</v>
      </c>
      <c r="H8" s="7">
        <f>ROUND(162/E8,3)</f>
        <v>1.976</v>
      </c>
      <c r="I8" s="7">
        <f>ROUND(50/E8,3)</f>
        <v>0.61</v>
      </c>
      <c r="J8" s="7">
        <f>ROUND(49/E8,3)</f>
        <v>0.59799999999999998</v>
      </c>
      <c r="K8" s="7">
        <f t="shared" si="0"/>
        <v>8.343</v>
      </c>
      <c r="L8" s="7">
        <f>ROUND(1729.8333333333/E8,3)</f>
        <v>21.096</v>
      </c>
      <c r="M8" s="7">
        <f>ROUND(33/E8,3)</f>
        <v>0.40200000000000002</v>
      </c>
      <c r="N8" s="7" t="s">
        <v>531</v>
      </c>
      <c r="O8" s="7" t="s">
        <v>532</v>
      </c>
      <c r="P8" s="7">
        <f>ROUND(294/E8,3)</f>
        <v>3.585</v>
      </c>
      <c r="Q8" s="7">
        <f>ROUND(217/E8,3)</f>
        <v>2.6459999999999999</v>
      </c>
      <c r="R8" s="7">
        <f>ROUND(162/E8,3)</f>
        <v>1.976</v>
      </c>
      <c r="S8" s="7">
        <f>ROUND(71/E8,3)</f>
        <v>0.86599999999999999</v>
      </c>
      <c r="T8" s="7">
        <f>ROUND(17.66/E8,3)</f>
        <v>0.215</v>
      </c>
      <c r="U8" s="7">
        <f>ROUND(52/E8,3)</f>
        <v>0.63400000000000001</v>
      </c>
      <c r="V8" s="7">
        <f>ROUND(42/E8,3)</f>
        <v>0.51200000000000001</v>
      </c>
      <c r="W8" s="7">
        <f>ROUND(18.09/E8,3)</f>
        <v>0.221</v>
      </c>
      <c r="X8" s="7">
        <v>0.44</v>
      </c>
      <c r="Y8" s="7">
        <v>0.49</v>
      </c>
      <c r="Z8" s="7">
        <v>0.49</v>
      </c>
      <c r="AA8" s="7">
        <f>ROUND(52.7/E8,3)</f>
        <v>0.64300000000000002</v>
      </c>
      <c r="AB8" s="7">
        <f>ROUND(22/E8,3)</f>
        <v>0.26800000000000002</v>
      </c>
      <c r="AC8" s="7">
        <v>8480018</v>
      </c>
    </row>
    <row r="9" spans="1:29" ht="15" customHeight="1" x14ac:dyDescent="0.2">
      <c r="A9" s="7" t="s">
        <v>79</v>
      </c>
      <c r="B9" s="7" t="s">
        <v>55</v>
      </c>
      <c r="C9" s="7" t="s">
        <v>80</v>
      </c>
      <c r="D9" s="7">
        <v>23</v>
      </c>
      <c r="E9" s="7">
        <v>82</v>
      </c>
      <c r="F9" s="7">
        <f>ROUND(28/E9,3)</f>
        <v>0.34100000000000003</v>
      </c>
      <c r="G9" s="7">
        <f>ROUND(43/E9,3)</f>
        <v>0.52400000000000002</v>
      </c>
      <c r="H9" s="7">
        <f>ROUND(240/E9,3)</f>
        <v>2.927</v>
      </c>
      <c r="I9" s="7">
        <f>ROUND(57/E9,3)</f>
        <v>0.69499999999999995</v>
      </c>
      <c r="J9" s="7">
        <f>ROUND(19/E9,3)</f>
        <v>0.23200000000000001</v>
      </c>
      <c r="K9" s="7">
        <f t="shared" si="0"/>
        <v>9.3784999999999989</v>
      </c>
      <c r="L9" s="7">
        <f>ROUND(1509.8/E9,3)</f>
        <v>18.411999999999999</v>
      </c>
      <c r="M9" s="7">
        <f>ROUND(32/E9,3)</f>
        <v>0.39</v>
      </c>
      <c r="N9" s="7" t="s">
        <v>533</v>
      </c>
      <c r="O9" s="7" t="s">
        <v>385</v>
      </c>
      <c r="P9" s="7">
        <f>ROUND(438/E9,3)</f>
        <v>5.3410000000000002</v>
      </c>
      <c r="Q9" s="7">
        <f>ROUND(349/E9,3)</f>
        <v>4.2560000000000002</v>
      </c>
      <c r="R9" s="7">
        <f>ROUND(242/E9,3)</f>
        <v>2.9510000000000001</v>
      </c>
      <c r="S9" s="7">
        <f>ROUND(82/E9,3)</f>
        <v>1</v>
      </c>
      <c r="T9" s="7">
        <f>ROUND(23.87/E9,3)</f>
        <v>0.29099999999999998</v>
      </c>
      <c r="U9" s="7">
        <f>ROUND(65/E9,3)</f>
        <v>0.79300000000000004</v>
      </c>
      <c r="V9" s="7">
        <f>ROUND(45/E9,3)</f>
        <v>0.54900000000000004</v>
      </c>
      <c r="W9" s="7">
        <f>ROUND(26.9/E9,3)</f>
        <v>0.32800000000000001</v>
      </c>
      <c r="X9" s="7">
        <v>0.62</v>
      </c>
      <c r="Y9" s="7">
        <v>0.64</v>
      </c>
      <c r="Z9" s="7">
        <v>0.63</v>
      </c>
      <c r="AA9" s="7">
        <f>ROUND(89.14/E9,3)</f>
        <v>1.087</v>
      </c>
      <c r="AB9" s="7">
        <f>ROUND(29/E9,3)</f>
        <v>0.35399999999999998</v>
      </c>
      <c r="AC9" s="7">
        <v>8480039</v>
      </c>
    </row>
    <row r="10" spans="1:29" ht="15" customHeight="1" x14ac:dyDescent="0.2">
      <c r="A10" s="7" t="s">
        <v>83</v>
      </c>
      <c r="B10" s="7" t="s">
        <v>60</v>
      </c>
      <c r="C10" s="7" t="s">
        <v>84</v>
      </c>
      <c r="D10" s="7">
        <v>26</v>
      </c>
      <c r="E10" s="7">
        <v>82</v>
      </c>
      <c r="F10" s="7">
        <f>ROUND(61/E10,3)</f>
        <v>0.74399999999999999</v>
      </c>
      <c r="G10" s="7">
        <f>ROUND(52/E10,3)</f>
        <v>0.63400000000000001</v>
      </c>
      <c r="H10" s="7">
        <f>ROUND(407/E10,3)</f>
        <v>4.9630000000000001</v>
      </c>
      <c r="I10" s="7">
        <f>ROUND(91/E10,3)</f>
        <v>1.1100000000000001</v>
      </c>
      <c r="J10" s="7">
        <f>ROUND(31/E10,3)</f>
        <v>0.378</v>
      </c>
      <c r="K10" s="7">
        <f t="shared" si="0"/>
        <v>15.652000000000001</v>
      </c>
      <c r="L10" s="7">
        <f>ROUND(1604.2833333333/E10,3)</f>
        <v>19.564</v>
      </c>
      <c r="M10" s="7">
        <f>ROUND(38/E10,3)</f>
        <v>0.46300000000000002</v>
      </c>
      <c r="N10" s="7" t="s">
        <v>534</v>
      </c>
      <c r="O10" s="7" t="s">
        <v>535</v>
      </c>
      <c r="P10" s="7">
        <f>ROUND(727/E10,3)</f>
        <v>8.8659999999999997</v>
      </c>
      <c r="Q10" s="7">
        <f>ROUND(541/E10,3)</f>
        <v>6.5979999999999999</v>
      </c>
      <c r="R10" s="7">
        <f>ROUND(374/E10,3)</f>
        <v>4.5609999999999999</v>
      </c>
      <c r="S10" s="7">
        <f>ROUND(120/E10,3)</f>
        <v>1.4630000000000001</v>
      </c>
      <c r="T10" s="7">
        <f>ROUND(40.17/E10,3)</f>
        <v>0.49</v>
      </c>
      <c r="U10" s="7">
        <f>ROUND(109/E10,3)</f>
        <v>1.329</v>
      </c>
      <c r="V10" s="7">
        <f>ROUND(52/E10,3)</f>
        <v>0.63400000000000001</v>
      </c>
      <c r="W10" s="7">
        <f>ROUND(45.36/E10,3)</f>
        <v>0.55300000000000005</v>
      </c>
      <c r="X10" s="7">
        <v>0.64</v>
      </c>
      <c r="Y10" s="7">
        <v>0.6</v>
      </c>
      <c r="Z10" s="7">
        <v>0.6</v>
      </c>
      <c r="AA10" s="7">
        <f>ROUND(123.3/E10,3)</f>
        <v>1.504</v>
      </c>
      <c r="AB10" s="7">
        <f>ROUND(44/E10,3)</f>
        <v>0.53700000000000003</v>
      </c>
      <c r="AC10" s="7">
        <v>8477956</v>
      </c>
    </row>
    <row r="11" spans="1:29" ht="15" customHeight="1" x14ac:dyDescent="0.2">
      <c r="A11" s="7" t="s">
        <v>88</v>
      </c>
      <c r="B11" s="7" t="s">
        <v>55</v>
      </c>
      <c r="C11" s="7" t="s">
        <v>56</v>
      </c>
      <c r="D11" s="7">
        <v>26</v>
      </c>
      <c r="E11" s="7">
        <v>80</v>
      </c>
      <c r="F11" s="7">
        <f>ROUND(52/E11,3)</f>
        <v>0.65</v>
      </c>
      <c r="G11" s="7">
        <f>ROUND(76/E11,3)</f>
        <v>0.95</v>
      </c>
      <c r="H11" s="7">
        <f>ROUND(247/E11,3)</f>
        <v>3.0880000000000001</v>
      </c>
      <c r="I11" s="7">
        <f>ROUND(66/E11,3)</f>
        <v>0.82499999999999996</v>
      </c>
      <c r="J11" s="7">
        <f>ROUND(36/E11,3)</f>
        <v>0.45</v>
      </c>
      <c r="K11" s="7">
        <f t="shared" si="0"/>
        <v>14.850499999999998</v>
      </c>
      <c r="L11" s="7">
        <f>ROUND(1738.7166666667/E11,3)</f>
        <v>21.734000000000002</v>
      </c>
      <c r="M11" s="7">
        <f>ROUND(24/E11,3)</f>
        <v>0.3</v>
      </c>
      <c r="N11" s="7" t="s">
        <v>536</v>
      </c>
      <c r="O11" s="7" t="s">
        <v>537</v>
      </c>
      <c r="P11" s="7">
        <f>ROUND(423/E11,3)</f>
        <v>5.2880000000000003</v>
      </c>
      <c r="Q11" s="7">
        <f>ROUND(349/E11,3)</f>
        <v>4.3630000000000004</v>
      </c>
      <c r="R11" s="7">
        <f>ROUND(264/E11,3)</f>
        <v>3.3</v>
      </c>
      <c r="S11" s="7">
        <f>ROUND(100/E11,3)</f>
        <v>1.25</v>
      </c>
      <c r="T11" s="7">
        <f>ROUND(31.95/E11,3)</f>
        <v>0.39900000000000002</v>
      </c>
      <c r="U11" s="7">
        <f>ROUND(102/E11,3)</f>
        <v>1.2749999999999999</v>
      </c>
      <c r="V11" s="7">
        <f>ROUND(77/E11,3)</f>
        <v>0.96299999999999997</v>
      </c>
      <c r="W11" s="7">
        <f>ROUND(35.67/E11,3)</f>
        <v>0.44600000000000001</v>
      </c>
      <c r="X11" s="7">
        <v>0.64</v>
      </c>
      <c r="Y11" s="7">
        <v>0.59</v>
      </c>
      <c r="Z11" s="7">
        <v>0.59</v>
      </c>
      <c r="AA11" s="7">
        <f>ROUND(119.11/E11,3)</f>
        <v>1.4890000000000001</v>
      </c>
      <c r="AB11" s="7">
        <f>ROUND(29/E11,3)</f>
        <v>0.36299999999999999</v>
      </c>
      <c r="AC11" s="7">
        <v>8477934</v>
      </c>
    </row>
    <row r="12" spans="1:29" ht="15" customHeight="1" x14ac:dyDescent="0.2">
      <c r="A12" s="7" t="s">
        <v>91</v>
      </c>
      <c r="B12" s="7" t="s">
        <v>92</v>
      </c>
      <c r="C12" s="7" t="s">
        <v>93</v>
      </c>
      <c r="D12" s="7">
        <v>23</v>
      </c>
      <c r="E12" s="7">
        <v>82</v>
      </c>
      <c r="F12" s="7">
        <f>ROUND(46/E12,3)</f>
        <v>0.56100000000000005</v>
      </c>
      <c r="G12" s="7">
        <f>ROUND(63/E12,3)</f>
        <v>0.76800000000000002</v>
      </c>
      <c r="H12" s="7">
        <f>ROUND(313/E12,3)</f>
        <v>3.8170000000000002</v>
      </c>
      <c r="I12" s="7">
        <f>ROUND(57/E12,3)</f>
        <v>0.69499999999999995</v>
      </c>
      <c r="J12" s="7">
        <f>ROUND(18/E12,3)</f>
        <v>0.22</v>
      </c>
      <c r="K12" s="7">
        <f t="shared" si="0"/>
        <v>13.480500000000001</v>
      </c>
      <c r="L12" s="7">
        <f>ROUND(1544.7833333333/E12,3)</f>
        <v>18.838999999999999</v>
      </c>
      <c r="M12" s="7">
        <f>ROUND(20/E12,3)</f>
        <v>0.24399999999999999</v>
      </c>
      <c r="N12" s="7" t="s">
        <v>538</v>
      </c>
      <c r="O12" s="7" t="s">
        <v>539</v>
      </c>
      <c r="P12" s="7">
        <f>ROUND(565/E12,3)</f>
        <v>6.89</v>
      </c>
      <c r="Q12" s="7">
        <f>ROUND(412/E12,3)</f>
        <v>5.024</v>
      </c>
      <c r="R12" s="7">
        <f>ROUND(307/E12,3)</f>
        <v>3.7440000000000002</v>
      </c>
      <c r="S12" s="7">
        <f>ROUND(106/E12,3)</f>
        <v>1.2929999999999999</v>
      </c>
      <c r="T12" s="7">
        <f>ROUND(32.91/E12,3)</f>
        <v>0.40100000000000002</v>
      </c>
      <c r="U12" s="7">
        <f>ROUND(66/E12,3)</f>
        <v>0.80500000000000005</v>
      </c>
      <c r="V12" s="7">
        <f>ROUND(62/E12,3)</f>
        <v>0.75600000000000001</v>
      </c>
      <c r="W12" s="7">
        <f>ROUND(30.92/E12,3)</f>
        <v>0.377</v>
      </c>
      <c r="X12" s="7">
        <v>0.68</v>
      </c>
      <c r="Y12" s="7">
        <v>0.63</v>
      </c>
      <c r="Z12" s="7">
        <v>0.63</v>
      </c>
      <c r="AA12" s="7">
        <f>ROUND(119.72/E12,3)</f>
        <v>1.46</v>
      </c>
      <c r="AB12" s="7">
        <f>ROUND(30/E12,3)</f>
        <v>0.36599999999999999</v>
      </c>
      <c r="AC12" s="7">
        <v>8480027</v>
      </c>
    </row>
    <row r="13" spans="1:29" ht="15" customHeight="1" x14ac:dyDescent="0.2">
      <c r="A13" s="7" t="s">
        <v>97</v>
      </c>
      <c r="B13" s="7" t="s">
        <v>92</v>
      </c>
      <c r="C13" s="7" t="s">
        <v>72</v>
      </c>
      <c r="D13" s="7">
        <v>25</v>
      </c>
      <c r="E13" s="7">
        <v>82</v>
      </c>
      <c r="F13" s="7">
        <f>ROUND(31/E13,3)</f>
        <v>0.378</v>
      </c>
      <c r="G13" s="7">
        <f>ROUND(49/E13,3)</f>
        <v>0.59799999999999998</v>
      </c>
      <c r="H13" s="7">
        <f>ROUND(273/E13,3)</f>
        <v>3.3290000000000002</v>
      </c>
      <c r="I13" s="7">
        <f>ROUND(43/E13,3)</f>
        <v>0.52400000000000002</v>
      </c>
      <c r="J13" s="7">
        <f>ROUND(22/E13,3)</f>
        <v>0.26800000000000002</v>
      </c>
      <c r="K13" s="7">
        <f t="shared" si="0"/>
        <v>10.471000000000002</v>
      </c>
      <c r="L13" s="7">
        <f>ROUND(1683.4/E13,3)</f>
        <v>20.529</v>
      </c>
      <c r="M13" s="7">
        <f>ROUND(20/E13,3)</f>
        <v>0.24399999999999999</v>
      </c>
      <c r="N13" s="7" t="s">
        <v>540</v>
      </c>
      <c r="O13" s="7" t="s">
        <v>541</v>
      </c>
      <c r="P13" s="7">
        <f>ROUND(497/E13,3)</f>
        <v>6.0609999999999999</v>
      </c>
      <c r="Q13" s="7">
        <f>ROUND(379/E13,3)</f>
        <v>4.6219999999999999</v>
      </c>
      <c r="R13" s="7">
        <f>ROUND(316/E13,3)</f>
        <v>3.8540000000000001</v>
      </c>
      <c r="S13" s="7">
        <f>ROUND(121/E13,3)</f>
        <v>1.476</v>
      </c>
      <c r="T13" s="7">
        <f>ROUND(30.45/E13,3)</f>
        <v>0.371</v>
      </c>
      <c r="U13" s="7">
        <f>ROUND(40/E13,3)</f>
        <v>0.48799999999999999</v>
      </c>
      <c r="V13" s="7">
        <f>ROUND(42/E13,3)</f>
        <v>0.51200000000000001</v>
      </c>
      <c r="W13" s="7">
        <f>ROUND(33.07/E13,3)</f>
        <v>0.40300000000000002</v>
      </c>
      <c r="X13" s="7">
        <v>0.57999999999999996</v>
      </c>
      <c r="Y13" s="7">
        <v>0.59</v>
      </c>
      <c r="Z13" s="7">
        <v>0.57999999999999996</v>
      </c>
      <c r="AA13" s="7">
        <f>ROUND(80.05/E13,3)</f>
        <v>0.97599999999999998</v>
      </c>
      <c r="AB13" s="7">
        <f>ROUND(36/E13,3)</f>
        <v>0.439</v>
      </c>
      <c r="AC13" s="7">
        <v>8478398</v>
      </c>
    </row>
    <row r="14" spans="1:29" ht="15" customHeight="1" x14ac:dyDescent="0.2">
      <c r="A14" s="7" t="s">
        <v>101</v>
      </c>
      <c r="B14" s="7" t="s">
        <v>55</v>
      </c>
      <c r="C14" s="7" t="s">
        <v>102</v>
      </c>
      <c r="D14" s="7">
        <v>25</v>
      </c>
      <c r="E14" s="7">
        <v>67</v>
      </c>
      <c r="F14" s="7">
        <f>ROUND(27/E14,3)</f>
        <v>0.40300000000000002</v>
      </c>
      <c r="G14" s="7">
        <f>ROUND(39/E14,3)</f>
        <v>0.58199999999999996</v>
      </c>
      <c r="H14" s="7">
        <f>ROUND(223/E14,3)</f>
        <v>3.3279999999999998</v>
      </c>
      <c r="I14" s="7">
        <f>ROUND(59/E14,3)</f>
        <v>0.88100000000000001</v>
      </c>
      <c r="J14" s="7">
        <f>ROUND(49/E14,3)</f>
        <v>0.73099999999999998</v>
      </c>
      <c r="K14" s="7">
        <f t="shared" si="0"/>
        <v>11.2155</v>
      </c>
      <c r="L14" s="7">
        <f>ROUND(1257.3833333333/E14,3)</f>
        <v>18.766999999999999</v>
      </c>
      <c r="M14" s="7">
        <f>ROUND(6/E14,3)</f>
        <v>0.09</v>
      </c>
      <c r="N14" s="7" t="s">
        <v>543</v>
      </c>
      <c r="O14" s="7" t="s">
        <v>544</v>
      </c>
      <c r="P14" s="7">
        <f>ROUND(359/E14,3)</f>
        <v>5.3579999999999997</v>
      </c>
      <c r="Q14" s="7">
        <f>ROUND(283/E14,3)</f>
        <v>4.2240000000000002</v>
      </c>
      <c r="R14" s="7">
        <f>ROUND(168/E14,3)</f>
        <v>2.5070000000000001</v>
      </c>
      <c r="S14" s="7">
        <f>ROUND(63/E14,3)</f>
        <v>0.94</v>
      </c>
      <c r="T14" s="7">
        <f>ROUND(19.49/E14,3)</f>
        <v>0.29099999999999998</v>
      </c>
      <c r="U14" s="7">
        <f>ROUND(54/E14,3)</f>
        <v>0.80600000000000005</v>
      </c>
      <c r="V14" s="7">
        <f>ROUND(47/E14,3)</f>
        <v>0.70099999999999996</v>
      </c>
      <c r="W14" s="7">
        <f>ROUND(20.71/E14,3)</f>
        <v>0.309</v>
      </c>
      <c r="X14" s="7">
        <v>0.56999999999999995</v>
      </c>
      <c r="Y14" s="7">
        <v>0.54</v>
      </c>
      <c r="Z14" s="7">
        <v>0.56000000000000005</v>
      </c>
      <c r="AA14" s="7">
        <f>ROUND(66.97/E14,3)</f>
        <v>1</v>
      </c>
      <c r="AB14" s="7">
        <f>ROUND(23/E14,3)</f>
        <v>0.34300000000000003</v>
      </c>
      <c r="AC14" s="7">
        <v>8478403</v>
      </c>
    </row>
    <row r="15" spans="1:29" ht="15" customHeight="1" x14ac:dyDescent="0.2">
      <c r="A15" s="7" t="s">
        <v>105</v>
      </c>
      <c r="B15" s="7" t="s">
        <v>92</v>
      </c>
      <c r="C15" s="7" t="s">
        <v>106</v>
      </c>
      <c r="D15" s="7">
        <v>25</v>
      </c>
      <c r="E15" s="7">
        <v>67</v>
      </c>
      <c r="F15" s="7">
        <f>ROUND(40/E15,3)</f>
        <v>0.59699999999999998</v>
      </c>
      <c r="G15" s="7">
        <f>ROUND(35/E15,3)</f>
        <v>0.52200000000000002</v>
      </c>
      <c r="H15" s="7">
        <f>ROUND(261/E15,3)</f>
        <v>3.8959999999999999</v>
      </c>
      <c r="I15" s="7">
        <f>ROUND(66/E15,3)</f>
        <v>0.98499999999999999</v>
      </c>
      <c r="J15" s="7">
        <f>ROUND(25/E15,3)</f>
        <v>0.373</v>
      </c>
      <c r="K15" s="7">
        <f t="shared" si="0"/>
        <v>12.669499999999998</v>
      </c>
      <c r="L15" s="7">
        <f>ROUND(1414.55/E15,3)</f>
        <v>21.113</v>
      </c>
      <c r="M15" s="7">
        <f>ROUND(35/E15,3)</f>
        <v>0.52200000000000002</v>
      </c>
      <c r="N15" s="7" t="s">
        <v>545</v>
      </c>
      <c r="O15" s="7" t="s">
        <v>546</v>
      </c>
      <c r="P15" s="7">
        <f>ROUND(498/E15,3)</f>
        <v>7.4329999999999998</v>
      </c>
      <c r="Q15" s="7">
        <f>ROUND(370/E15,3)</f>
        <v>5.5220000000000002</v>
      </c>
      <c r="R15" s="7">
        <f>ROUND(304/E15,3)</f>
        <v>4.5369999999999999</v>
      </c>
      <c r="S15" s="7">
        <f>ROUND(119/E15,3)</f>
        <v>1.776</v>
      </c>
      <c r="T15" s="7">
        <f>ROUND(33.41/E15,3)</f>
        <v>0.499</v>
      </c>
      <c r="U15" s="7">
        <f>ROUND(54/E15,3)</f>
        <v>0.80600000000000005</v>
      </c>
      <c r="V15" s="7">
        <f>ROUND(50/E15,3)</f>
        <v>0.746</v>
      </c>
      <c r="W15" s="7">
        <f>ROUND(35.23/E15,3)</f>
        <v>0.52600000000000002</v>
      </c>
      <c r="X15" s="7">
        <v>0.64</v>
      </c>
      <c r="Y15" s="7">
        <v>0.63</v>
      </c>
      <c r="Z15" s="7">
        <v>0.64</v>
      </c>
      <c r="AA15" s="7">
        <f>ROUND(87.12/E15,3)</f>
        <v>1.3</v>
      </c>
      <c r="AB15" s="7">
        <f>ROUND(40/E15,3)</f>
        <v>0.59699999999999998</v>
      </c>
      <c r="AC15" s="7">
        <v>8478864</v>
      </c>
    </row>
    <row r="16" spans="1:29" ht="15" customHeight="1" x14ac:dyDescent="0.2">
      <c r="A16" s="7" t="s">
        <v>109</v>
      </c>
      <c r="B16" s="7" t="s">
        <v>60</v>
      </c>
      <c r="C16" s="7" t="s">
        <v>76</v>
      </c>
      <c r="D16" s="7">
        <v>21</v>
      </c>
      <c r="E16" s="7">
        <v>46</v>
      </c>
      <c r="F16" s="7">
        <f>ROUND(26/E16,3)</f>
        <v>0.56499999999999995</v>
      </c>
      <c r="G16" s="7">
        <f>ROUND(10/E16,3)</f>
        <v>0.217</v>
      </c>
      <c r="H16" s="7">
        <f>ROUND(158/E16,3)</f>
        <v>3.4350000000000001</v>
      </c>
      <c r="I16" s="7">
        <f>ROUND(18/E16,3)</f>
        <v>0.39100000000000001</v>
      </c>
      <c r="J16" s="7">
        <f>ROUND(12/E16,3)</f>
        <v>0.26100000000000001</v>
      </c>
      <c r="K16" s="7">
        <f t="shared" si="0"/>
        <v>9.7134999999999998</v>
      </c>
      <c r="L16" s="7">
        <f>ROUND(830.28333333333/E16,3)</f>
        <v>18.05</v>
      </c>
      <c r="M16" s="7">
        <f>ROUND(2/E16,3)</f>
        <v>4.2999999999999997E-2</v>
      </c>
      <c r="N16" s="7" t="s">
        <v>547</v>
      </c>
      <c r="O16" s="7" t="s">
        <v>548</v>
      </c>
      <c r="P16" s="7">
        <f>ROUND(294/E16,3)</f>
        <v>6.391</v>
      </c>
      <c r="Q16" s="7">
        <f>ROUND(228/E16,3)</f>
        <v>4.9569999999999999</v>
      </c>
      <c r="R16" s="7">
        <f>ROUND(151/E16,3)</f>
        <v>3.2829999999999999</v>
      </c>
      <c r="S16" s="7">
        <f>ROUND(46/E16,3)</f>
        <v>1</v>
      </c>
      <c r="T16" s="7">
        <f>ROUND(16.27/E16,3)</f>
        <v>0.35399999999999998</v>
      </c>
      <c r="U16" s="7">
        <f>ROUND(23/E16,3)</f>
        <v>0.5</v>
      </c>
      <c r="V16" s="7">
        <f>ROUND(19/E16,3)</f>
        <v>0.41299999999999998</v>
      </c>
      <c r="W16" s="7">
        <f>ROUND(15.47/E16,3)</f>
        <v>0.33600000000000002</v>
      </c>
      <c r="X16" s="7">
        <v>0.44</v>
      </c>
      <c r="Y16" s="7">
        <v>0.54</v>
      </c>
      <c r="Z16" s="7">
        <v>0.54</v>
      </c>
      <c r="AA16" s="7">
        <f>ROUND(37.65/E16,3)</f>
        <v>0.81799999999999995</v>
      </c>
      <c r="AB16" s="7">
        <f>ROUND(14/E16,3)</f>
        <v>0.30399999999999999</v>
      </c>
      <c r="AC16" s="7">
        <v>8481540</v>
      </c>
    </row>
    <row r="17" spans="1:29" ht="15" customHeight="1" x14ac:dyDescent="0.2">
      <c r="A17" s="7" t="s">
        <v>113</v>
      </c>
      <c r="B17" s="7" t="s">
        <v>55</v>
      </c>
      <c r="C17" s="7" t="s">
        <v>114</v>
      </c>
      <c r="D17" s="7">
        <v>27</v>
      </c>
      <c r="E17" s="7">
        <v>78</v>
      </c>
      <c r="F17" s="7">
        <f>ROUND(36/E17,3)</f>
        <v>0.46200000000000002</v>
      </c>
      <c r="G17" s="7">
        <f>ROUND(37/E17,3)</f>
        <v>0.47399999999999998</v>
      </c>
      <c r="H17" s="7">
        <f>ROUND(244/E17,3)</f>
        <v>3.1280000000000001</v>
      </c>
      <c r="I17" s="7">
        <f>ROUND(83/E17,3)</f>
        <v>1.0640000000000001</v>
      </c>
      <c r="J17" s="7">
        <f>ROUND(42/E17,3)</f>
        <v>0.53800000000000003</v>
      </c>
      <c r="K17" s="7">
        <f t="shared" si="0"/>
        <v>10.738</v>
      </c>
      <c r="L17" s="7">
        <f>ROUND(1569.05/E17,3)</f>
        <v>20.116</v>
      </c>
      <c r="M17" s="7">
        <f>ROUND(46/E17,3)</f>
        <v>0.59</v>
      </c>
      <c r="N17" s="7" t="s">
        <v>549</v>
      </c>
      <c r="O17" s="7" t="s">
        <v>550</v>
      </c>
      <c r="P17" s="7">
        <f>ROUND(446/E17,3)</f>
        <v>5.718</v>
      </c>
      <c r="Q17" s="7">
        <f>ROUND(344/E17,3)</f>
        <v>4.41</v>
      </c>
      <c r="R17" s="7">
        <f>ROUND(330/E17,3)</f>
        <v>4.2309999999999999</v>
      </c>
      <c r="S17" s="7">
        <f>ROUND(176/E17,3)</f>
        <v>2.2559999999999998</v>
      </c>
      <c r="T17" s="7">
        <f>ROUND(38.09/E17,3)</f>
        <v>0.48799999999999999</v>
      </c>
      <c r="U17" s="7">
        <f>ROUND(48/E17,3)</f>
        <v>0.61499999999999999</v>
      </c>
      <c r="V17" s="7">
        <f>ROUND(44/E17,3)</f>
        <v>0.56399999999999995</v>
      </c>
      <c r="W17" s="7">
        <f>ROUND(38.93/E17,3)</f>
        <v>0.499</v>
      </c>
      <c r="X17" s="7">
        <v>0.59</v>
      </c>
      <c r="Y17" s="7">
        <v>0.59</v>
      </c>
      <c r="Z17" s="7">
        <v>0.59</v>
      </c>
      <c r="AA17" s="7">
        <f>ROUND(83.6/E17,3)</f>
        <v>1.0720000000000001</v>
      </c>
      <c r="AB17" s="7">
        <f>ROUND(47/E17,3)</f>
        <v>0.60299999999999998</v>
      </c>
      <c r="AC17" s="7">
        <v>8477404</v>
      </c>
    </row>
    <row r="18" spans="1:29" ht="15" customHeight="1" x14ac:dyDescent="0.2">
      <c r="A18" s="7" t="s">
        <v>117</v>
      </c>
      <c r="B18" s="7" t="s">
        <v>60</v>
      </c>
      <c r="C18" s="7" t="s">
        <v>118</v>
      </c>
      <c r="D18" s="7">
        <v>24</v>
      </c>
      <c r="E18" s="7">
        <v>82</v>
      </c>
      <c r="F18" s="7">
        <f>ROUND(37/E18,3)</f>
        <v>0.45100000000000001</v>
      </c>
      <c r="G18" s="7">
        <f>ROUND(49/E18,3)</f>
        <v>0.59799999999999998</v>
      </c>
      <c r="H18" s="7">
        <f>ROUND(224/E18,3)</f>
        <v>2.7320000000000002</v>
      </c>
      <c r="I18" s="7">
        <f>ROUND(18/E18,3)</f>
        <v>0.22</v>
      </c>
      <c r="J18" s="7">
        <f>ROUND(29/E18,3)</f>
        <v>0.35399999999999998</v>
      </c>
      <c r="K18" s="7">
        <f t="shared" si="0"/>
        <v>10.391999999999999</v>
      </c>
      <c r="L18" s="7">
        <f>ROUND(1701.5166666667/E18,3)</f>
        <v>20.75</v>
      </c>
      <c r="M18" s="7">
        <f>ROUND(49/E18,3)</f>
        <v>0.59799999999999998</v>
      </c>
      <c r="N18" s="7" t="s">
        <v>551</v>
      </c>
      <c r="O18" s="7" t="s">
        <v>552</v>
      </c>
      <c r="P18" s="7">
        <f>ROUND(383/E18,3)</f>
        <v>4.6710000000000003</v>
      </c>
      <c r="Q18" s="7">
        <f>ROUND(302/E18,3)</f>
        <v>3.6829999999999998</v>
      </c>
      <c r="R18" s="7">
        <f>ROUND(216/E18,3)</f>
        <v>2.6339999999999999</v>
      </c>
      <c r="S18" s="7">
        <f>ROUND(69/E18,3)</f>
        <v>0.84099999999999997</v>
      </c>
      <c r="T18" s="7">
        <f>ROUND(22.54/E18,3)</f>
        <v>0.27500000000000002</v>
      </c>
      <c r="U18" s="7">
        <f>ROUND(63/E18,3)</f>
        <v>0.76800000000000002</v>
      </c>
      <c r="V18" s="7">
        <f>ROUND(58/E18,3)</f>
        <v>0.70699999999999996</v>
      </c>
      <c r="W18" s="7">
        <f>ROUND(24.95/E18,3)</f>
        <v>0.30399999999999999</v>
      </c>
      <c r="X18" s="7">
        <v>0.52</v>
      </c>
      <c r="Y18" s="7">
        <v>0.53</v>
      </c>
      <c r="Z18" s="7">
        <v>0.53</v>
      </c>
      <c r="AA18" s="7">
        <f>ROUND(77.36/E18,3)</f>
        <v>0.94299999999999995</v>
      </c>
      <c r="AB18" s="7">
        <f>ROUND(22/E18,3)</f>
        <v>0.26800000000000002</v>
      </c>
      <c r="AC18" s="7">
        <v>8479343</v>
      </c>
    </row>
    <row r="19" spans="1:29" ht="15" customHeight="1" x14ac:dyDescent="0.2">
      <c r="A19" s="7" t="s">
        <v>121</v>
      </c>
      <c r="B19" s="7" t="s">
        <v>55</v>
      </c>
      <c r="C19" s="7" t="s">
        <v>93</v>
      </c>
      <c r="D19" s="7">
        <v>19</v>
      </c>
      <c r="E19" s="7">
        <v>82</v>
      </c>
      <c r="F19" s="7">
        <f>ROUND(24/E19,3)</f>
        <v>0.29299999999999998</v>
      </c>
      <c r="G19" s="7">
        <f>ROUND(17/E19,3)</f>
        <v>0.20699999999999999</v>
      </c>
      <c r="H19" s="7">
        <f>ROUND(160/E19,3)</f>
        <v>1.9510000000000001</v>
      </c>
      <c r="I19" s="7">
        <f>ROUND(22/E19,3)</f>
        <v>0.26800000000000002</v>
      </c>
      <c r="J19" s="7">
        <f>ROUND(27/E19,3)</f>
        <v>0.32900000000000001</v>
      </c>
      <c r="K19" s="7">
        <f t="shared" si="0"/>
        <v>6</v>
      </c>
      <c r="L19" s="7">
        <f>ROUND(1269.5/E19,3)</f>
        <v>15.481999999999999</v>
      </c>
      <c r="M19" s="7">
        <f>ROUND(20/E19,3)</f>
        <v>0.24399999999999999</v>
      </c>
      <c r="N19" s="7" t="s">
        <v>553</v>
      </c>
      <c r="O19" s="7" t="s">
        <v>554</v>
      </c>
      <c r="P19" s="7">
        <f>ROUND(281/E19,3)</f>
        <v>3.427</v>
      </c>
      <c r="Q19" s="7">
        <f>ROUND(207/E19,3)</f>
        <v>2.524</v>
      </c>
      <c r="R19" s="7">
        <f>ROUND(192/E19,3)</f>
        <v>2.3410000000000002</v>
      </c>
      <c r="S19" s="7">
        <f>ROUND(94/E19,3)</f>
        <v>1.1459999999999999</v>
      </c>
      <c r="T19" s="7">
        <f>ROUND(18.92/E19,3)</f>
        <v>0.23100000000000001</v>
      </c>
      <c r="U19" s="7">
        <f>ROUND(55/E19,3)</f>
        <v>0.67100000000000004</v>
      </c>
      <c r="V19" s="7">
        <f>ROUND(47/E19,3)</f>
        <v>0.57299999999999995</v>
      </c>
      <c r="W19" s="7">
        <f>ROUND(19.87/E19,3)</f>
        <v>0.24199999999999999</v>
      </c>
      <c r="X19" s="7">
        <v>0.55000000000000004</v>
      </c>
      <c r="Y19" s="7">
        <v>0.53</v>
      </c>
      <c r="Z19" s="7">
        <v>0.51</v>
      </c>
      <c r="AA19" s="7">
        <f>ROUND(41.25/E19,3)</f>
        <v>0.503</v>
      </c>
      <c r="AB19" s="7">
        <f>ROUND(22/E19,3)</f>
        <v>0.26800000000000002</v>
      </c>
      <c r="AC19" s="7">
        <v>8482740</v>
      </c>
    </row>
    <row r="20" spans="1:29" ht="15" customHeight="1" x14ac:dyDescent="0.2">
      <c r="A20" s="7" t="s">
        <v>122</v>
      </c>
      <c r="B20" s="7" t="s">
        <v>92</v>
      </c>
      <c r="C20" s="7" t="s">
        <v>106</v>
      </c>
      <c r="D20" s="7">
        <v>21</v>
      </c>
      <c r="E20" s="7">
        <v>81</v>
      </c>
      <c r="F20" s="7">
        <f>ROUND(31/E20,3)</f>
        <v>0.38300000000000001</v>
      </c>
      <c r="G20" s="7">
        <f>ROUND(32/E20,3)</f>
        <v>0.39500000000000002</v>
      </c>
      <c r="H20" s="7">
        <f>ROUND(255/E20,3)</f>
        <v>3.1480000000000001</v>
      </c>
      <c r="I20" s="7">
        <f>ROUND(65/E20,3)</f>
        <v>0.80200000000000005</v>
      </c>
      <c r="J20" s="7">
        <f>ROUND(23/E20,3)</f>
        <v>0.28399999999999997</v>
      </c>
      <c r="K20" s="7">
        <f t="shared" si="0"/>
        <v>9.2670000000000012</v>
      </c>
      <c r="L20" s="7">
        <f>ROUND(1498.4833333333/E20,3)</f>
        <v>18.5</v>
      </c>
      <c r="M20" s="7">
        <f>ROUND(39/E20,3)</f>
        <v>0.48099999999999998</v>
      </c>
      <c r="N20" s="7" t="s">
        <v>547</v>
      </c>
      <c r="O20" s="7" t="s">
        <v>555</v>
      </c>
      <c r="P20" s="7">
        <f>ROUND(486/E20,3)</f>
        <v>6</v>
      </c>
      <c r="Q20" s="7">
        <f>ROUND(379/E20,3)</f>
        <v>4.6790000000000003</v>
      </c>
      <c r="R20" s="7">
        <f>ROUND(271/E20,3)</f>
        <v>3.3460000000000001</v>
      </c>
      <c r="S20" s="7">
        <f>ROUND(96/E20,3)</f>
        <v>1.1850000000000001</v>
      </c>
      <c r="T20" s="7">
        <f>ROUND(29.16/E20,3)</f>
        <v>0.36</v>
      </c>
      <c r="U20" s="7">
        <f>ROUND(42/E20,3)</f>
        <v>0.51900000000000002</v>
      </c>
      <c r="V20" s="7">
        <f>ROUND(51/E20,3)</f>
        <v>0.63</v>
      </c>
      <c r="W20" s="7">
        <f>ROUND(30.11/E20,3)</f>
        <v>0.372</v>
      </c>
      <c r="X20" s="7">
        <v>0.63</v>
      </c>
      <c r="Y20" s="7">
        <v>0.61</v>
      </c>
      <c r="Z20" s="7">
        <v>0.62</v>
      </c>
      <c r="AA20" s="7">
        <f>ROUND(67.56/E20,3)</f>
        <v>0.83399999999999996</v>
      </c>
      <c r="AB20" s="7">
        <f>ROUND(31/E20,3)</f>
        <v>0.38300000000000001</v>
      </c>
      <c r="AC20" s="7">
        <v>8481557</v>
      </c>
    </row>
    <row r="21" spans="1:29" ht="15" customHeight="1" x14ac:dyDescent="0.2">
      <c r="A21" s="7" t="s">
        <v>126</v>
      </c>
      <c r="B21" s="7" t="s">
        <v>60</v>
      </c>
      <c r="C21" s="7" t="s">
        <v>135</v>
      </c>
      <c r="D21" s="7">
        <v>24</v>
      </c>
      <c r="E21" s="7">
        <v>82</v>
      </c>
      <c r="F21" s="7">
        <f>ROUND(27/E21,3)</f>
        <v>0.32900000000000001</v>
      </c>
      <c r="G21" s="7">
        <f>ROUND(39/E21,3)</f>
        <v>0.47599999999999998</v>
      </c>
      <c r="H21" s="7">
        <f>ROUND(263/E21,3)</f>
        <v>3.2069999999999999</v>
      </c>
      <c r="I21" s="7">
        <f>ROUND(109/E21,3)</f>
        <v>1.329</v>
      </c>
      <c r="J21" s="7">
        <f>ROUND(37/E21,3)</f>
        <v>0.45100000000000001</v>
      </c>
      <c r="K21" s="7">
        <f t="shared" si="0"/>
        <v>9.8105000000000011</v>
      </c>
      <c r="L21" s="7">
        <f>ROUND(1558.5166666667/E21,3)</f>
        <v>19.006</v>
      </c>
      <c r="M21" s="7">
        <f>ROUND(45/E21,3)</f>
        <v>0.54900000000000004</v>
      </c>
      <c r="N21" s="7" t="s">
        <v>214</v>
      </c>
      <c r="O21" s="7" t="s">
        <v>556</v>
      </c>
      <c r="P21" s="7">
        <f>ROUND(471/E21,3)</f>
        <v>5.7439999999999998</v>
      </c>
      <c r="Q21" s="7">
        <f>ROUND(345/E21,3)</f>
        <v>4.2069999999999999</v>
      </c>
      <c r="R21" s="7">
        <f>ROUND(288/E21,3)</f>
        <v>3.512</v>
      </c>
      <c r="S21" s="7">
        <f>ROUND(89/E21,3)</f>
        <v>1.085</v>
      </c>
      <c r="T21" s="7">
        <f>ROUND(28.2/E21,3)</f>
        <v>0.34399999999999997</v>
      </c>
      <c r="U21" s="7">
        <f>ROUND(39/E21,3)</f>
        <v>0.47599999999999998</v>
      </c>
      <c r="V21" s="7">
        <f>ROUND(44/E21,3)</f>
        <v>0.53700000000000003</v>
      </c>
      <c r="W21" s="7">
        <f>ROUND(28.32/E21,3)</f>
        <v>0.34499999999999997</v>
      </c>
      <c r="X21" s="7">
        <v>0.6</v>
      </c>
      <c r="Y21" s="7">
        <v>0.59</v>
      </c>
      <c r="Z21" s="7">
        <v>0.59</v>
      </c>
      <c r="AA21" s="7">
        <f>ROUND(68.13/E21,3)</f>
        <v>0.83099999999999996</v>
      </c>
      <c r="AB21" s="7">
        <f>ROUND(25/E21,3)</f>
        <v>0.30499999999999999</v>
      </c>
      <c r="AC21" s="7">
        <v>8479337</v>
      </c>
    </row>
    <row r="22" spans="1:29" ht="15" customHeight="1" x14ac:dyDescent="0.2">
      <c r="A22" s="7" t="s">
        <v>130</v>
      </c>
      <c r="B22" s="7" t="s">
        <v>92</v>
      </c>
      <c r="C22" s="7" t="s">
        <v>131</v>
      </c>
      <c r="D22" s="7">
        <v>30</v>
      </c>
      <c r="E22" s="7">
        <v>82</v>
      </c>
      <c r="F22" s="7">
        <f>ROUND(29/E22,3)</f>
        <v>0.35399999999999998</v>
      </c>
      <c r="G22" s="7">
        <f>ROUND(63/E22,3)</f>
        <v>0.76800000000000002</v>
      </c>
      <c r="H22" s="7">
        <f>ROUND(204/E22,3)</f>
        <v>2.488</v>
      </c>
      <c r="I22" s="7">
        <f>ROUND(26/E22,3)</f>
        <v>0.317</v>
      </c>
      <c r="J22" s="7">
        <f>ROUND(9/E22,3)</f>
        <v>0.11</v>
      </c>
      <c r="K22" s="7">
        <f t="shared" si="0"/>
        <v>10.1965</v>
      </c>
      <c r="L22" s="7">
        <f>ROUND(1607.8333333333/E22,3)</f>
        <v>19.608000000000001</v>
      </c>
      <c r="M22" s="7">
        <f>ROUND(36/E22,3)</f>
        <v>0.439</v>
      </c>
      <c r="N22" s="7" t="s">
        <v>558</v>
      </c>
      <c r="O22" s="7" t="s">
        <v>559</v>
      </c>
      <c r="P22" s="7">
        <f>ROUND(430/E22,3)</f>
        <v>5.2439999999999998</v>
      </c>
      <c r="Q22" s="7">
        <f>ROUND(306/E22,3)</f>
        <v>3.7320000000000002</v>
      </c>
      <c r="R22" s="7">
        <f>ROUND(220/E22,3)</f>
        <v>2.6829999999999998</v>
      </c>
      <c r="S22" s="7">
        <f>ROUND(48/E22,3)</f>
        <v>0.58499999999999996</v>
      </c>
      <c r="T22" s="7">
        <f>ROUND(21.02/E22,3)</f>
        <v>0.25600000000000001</v>
      </c>
      <c r="U22" s="7">
        <f>ROUND(102/E22,3)</f>
        <v>1.244</v>
      </c>
      <c r="V22" s="7">
        <f>ROUND(36/E22,3)</f>
        <v>0.439</v>
      </c>
      <c r="W22" s="7">
        <f>ROUND(17.26/E22,3)</f>
        <v>0.21</v>
      </c>
      <c r="X22" s="7">
        <v>0.62</v>
      </c>
      <c r="Y22" s="7">
        <v>0.62</v>
      </c>
      <c r="Z22" s="7">
        <v>0.63</v>
      </c>
      <c r="AA22" s="7">
        <f>ROUND(84.38/E22,3)</f>
        <v>1.0289999999999999</v>
      </c>
      <c r="AB22" s="7">
        <f>ROUND(8/E22,3)</f>
        <v>9.8000000000000004E-2</v>
      </c>
      <c r="AC22" s="7">
        <v>8478550</v>
      </c>
    </row>
    <row r="23" spans="1:29" ht="15" customHeight="1" x14ac:dyDescent="0.2">
      <c r="A23" s="7" t="s">
        <v>134</v>
      </c>
      <c r="B23" s="7" t="s">
        <v>55</v>
      </c>
      <c r="C23" s="7" t="s">
        <v>135</v>
      </c>
      <c r="D23" s="7">
        <v>20</v>
      </c>
      <c r="E23" s="7">
        <v>78</v>
      </c>
      <c r="F23" s="7">
        <f>ROUND(39/E23,3)</f>
        <v>0.5</v>
      </c>
      <c r="G23" s="7">
        <f>ROUND(51/E23,3)</f>
        <v>0.65400000000000003</v>
      </c>
      <c r="H23" s="7">
        <f>ROUND(228/E23,3)</f>
        <v>2.923</v>
      </c>
      <c r="I23" s="7">
        <f>ROUND(114/E23,3)</f>
        <v>1.462</v>
      </c>
      <c r="J23" s="7">
        <f>ROUND(45/E23,3)</f>
        <v>0.57699999999999996</v>
      </c>
      <c r="K23" s="7">
        <f t="shared" si="0"/>
        <v>12.155000000000001</v>
      </c>
      <c r="L23" s="7">
        <f>ROUND(1658.6666666667/E23,3)</f>
        <v>21.265000000000001</v>
      </c>
      <c r="M23" s="7">
        <f>ROUND(54/E23,3)</f>
        <v>0.69199999999999995</v>
      </c>
      <c r="N23" s="7" t="s">
        <v>561</v>
      </c>
      <c r="O23" s="7" t="s">
        <v>562</v>
      </c>
      <c r="P23" s="7">
        <f>ROUND(442/E23,3)</f>
        <v>5.6669999999999998</v>
      </c>
      <c r="Q23" s="7">
        <f>ROUND(322/E23,3)</f>
        <v>4.1280000000000001</v>
      </c>
      <c r="R23" s="7">
        <f>ROUND(276/E23,3)</f>
        <v>3.5379999999999998</v>
      </c>
      <c r="S23" s="7">
        <f>ROUND(111/E23,3)</f>
        <v>1.423</v>
      </c>
      <c r="T23" s="7">
        <f>ROUND(29.56/E23,3)</f>
        <v>0.379</v>
      </c>
      <c r="U23" s="7">
        <f>ROUND(62/E23,3)</f>
        <v>0.79500000000000004</v>
      </c>
      <c r="V23" s="7">
        <f>ROUND(61/E23,3)</f>
        <v>0.78200000000000003</v>
      </c>
      <c r="W23" s="7">
        <f>ROUND(32.58/E23,3)</f>
        <v>0.41799999999999998</v>
      </c>
      <c r="X23" s="7">
        <v>0.59</v>
      </c>
      <c r="Y23" s="7">
        <v>0.59</v>
      </c>
      <c r="Z23" s="7">
        <v>0.59</v>
      </c>
      <c r="AA23" s="7">
        <f>ROUND(94.18/E23,3)</f>
        <v>1.2070000000000001</v>
      </c>
      <c r="AB23" s="7">
        <f>ROUND(33/E23,3)</f>
        <v>0.42299999999999999</v>
      </c>
      <c r="AC23" s="7">
        <v>8482116</v>
      </c>
    </row>
    <row r="24" spans="1:29" ht="15" customHeight="1" x14ac:dyDescent="0.2">
      <c r="A24" s="7" t="s">
        <v>137</v>
      </c>
      <c r="B24" s="7" t="s">
        <v>55</v>
      </c>
      <c r="C24" s="7" t="s">
        <v>138</v>
      </c>
      <c r="D24" s="7">
        <v>24</v>
      </c>
      <c r="E24" s="7">
        <v>78</v>
      </c>
      <c r="F24" s="7">
        <f>ROUND(47/E24,3)</f>
        <v>0.60299999999999998</v>
      </c>
      <c r="G24" s="7">
        <f>ROUND(47/E24,3)</f>
        <v>0.60299999999999998</v>
      </c>
      <c r="H24" s="7">
        <f>ROUND(295/E24,3)</f>
        <v>3.782</v>
      </c>
      <c r="I24" s="7">
        <f>ROUND(55/E24,3)</f>
        <v>0.70499999999999996</v>
      </c>
      <c r="J24" s="7">
        <f>ROUND(24/E24,3)</f>
        <v>0.308</v>
      </c>
      <c r="K24" s="7">
        <f t="shared" si="0"/>
        <v>12.884499999999999</v>
      </c>
      <c r="L24" s="7">
        <f>ROUND(1450.0333333333/E24,3)</f>
        <v>18.59</v>
      </c>
      <c r="M24" s="7">
        <f>ROUND(39/E24,3)</f>
        <v>0.5</v>
      </c>
      <c r="N24" s="7" t="s">
        <v>564</v>
      </c>
      <c r="O24" s="7" t="s">
        <v>565</v>
      </c>
      <c r="P24" s="7">
        <f>ROUND(542/E24,3)</f>
        <v>6.9489999999999998</v>
      </c>
      <c r="Q24" s="7">
        <f>ROUND(410/E24,3)</f>
        <v>5.2560000000000002</v>
      </c>
      <c r="R24" s="7">
        <f>ROUND(299/E24,3)</f>
        <v>3.8330000000000002</v>
      </c>
      <c r="S24" s="7">
        <f>ROUND(119/E24,3)</f>
        <v>1.526</v>
      </c>
      <c r="T24" s="7">
        <f>ROUND(30.35/E24,3)</f>
        <v>0.38900000000000001</v>
      </c>
      <c r="U24" s="7">
        <f>ROUND(40/E24,3)</f>
        <v>0.51300000000000001</v>
      </c>
      <c r="V24" s="7">
        <f>ROUND(43/E24,3)</f>
        <v>0.55100000000000005</v>
      </c>
      <c r="W24" s="7">
        <f>ROUND(34.18/E24,3)</f>
        <v>0.438</v>
      </c>
      <c r="X24" s="7">
        <v>0.56000000000000005</v>
      </c>
      <c r="Y24" s="7">
        <v>0.59</v>
      </c>
      <c r="Z24" s="7">
        <v>0.57999999999999996</v>
      </c>
      <c r="AA24" s="7">
        <f>ROUND(97.45/E24,3)</f>
        <v>1.2490000000000001</v>
      </c>
      <c r="AB24" s="7">
        <f>ROUND(39/E24,3)</f>
        <v>0.5</v>
      </c>
      <c r="AC24" s="7">
        <v>8479420</v>
      </c>
    </row>
    <row r="25" spans="1:29" ht="15" customHeight="1" x14ac:dyDescent="0.2">
      <c r="A25" s="7" t="s">
        <v>141</v>
      </c>
      <c r="B25" s="7" t="s">
        <v>55</v>
      </c>
      <c r="C25" s="7" t="s">
        <v>80</v>
      </c>
      <c r="D25" s="7">
        <v>25</v>
      </c>
      <c r="E25" s="7">
        <v>75</v>
      </c>
      <c r="F25" s="7">
        <f>ROUND(36/E25,3)</f>
        <v>0.48</v>
      </c>
      <c r="G25" s="7">
        <f>ROUND(31/E25,3)</f>
        <v>0.41299999999999998</v>
      </c>
      <c r="H25" s="7">
        <f>ROUND(218/E25,3)</f>
        <v>2.907</v>
      </c>
      <c r="I25" s="7">
        <f>ROUND(59/E25,3)</f>
        <v>0.78700000000000003</v>
      </c>
      <c r="J25" s="7">
        <f>ROUND(17/E25,3)</f>
        <v>0.22700000000000001</v>
      </c>
      <c r="K25" s="7">
        <f t="shared" si="0"/>
        <v>9.8454999999999995</v>
      </c>
      <c r="L25" s="7">
        <f>ROUND(1462.1666666667/E25,3)</f>
        <v>19.495999999999999</v>
      </c>
      <c r="M25" s="7">
        <f>ROUND(42/E25,3)</f>
        <v>0.56000000000000005</v>
      </c>
      <c r="N25" s="7" t="s">
        <v>566</v>
      </c>
      <c r="O25" s="7" t="s">
        <v>567</v>
      </c>
      <c r="P25" s="7">
        <f>ROUND(377/E25,3)</f>
        <v>5.0270000000000001</v>
      </c>
      <c r="Q25" s="7">
        <f>ROUND(311/E25,3)</f>
        <v>4.1470000000000002</v>
      </c>
      <c r="R25" s="7">
        <f>ROUND(251/E25,3)</f>
        <v>3.347</v>
      </c>
      <c r="S25" s="7">
        <f>ROUND(145/E25,3)</f>
        <v>1.9330000000000001</v>
      </c>
      <c r="T25" s="7">
        <f>ROUND(30.78/E25,3)</f>
        <v>0.41</v>
      </c>
      <c r="U25" s="7">
        <f>ROUND(63/E25,3)</f>
        <v>0.84</v>
      </c>
      <c r="V25" s="7">
        <f>ROUND(63/E25,3)</f>
        <v>0.84</v>
      </c>
      <c r="W25" s="7">
        <f>ROUND(32.97/E25,3)</f>
        <v>0.44</v>
      </c>
      <c r="X25" s="7">
        <v>0.62</v>
      </c>
      <c r="Y25" s="7">
        <v>0.63</v>
      </c>
      <c r="Z25" s="7">
        <v>0.62</v>
      </c>
      <c r="AA25" s="7">
        <f>ROUND(84.98/E25,3)</f>
        <v>1.133</v>
      </c>
      <c r="AB25" s="7">
        <f>ROUND(36/E25,3)</f>
        <v>0.48</v>
      </c>
      <c r="AC25" s="7">
        <v>8478427</v>
      </c>
    </row>
    <row r="26" spans="1:29" ht="15" customHeight="1" x14ac:dyDescent="0.2">
      <c r="A26" s="7" t="s">
        <v>144</v>
      </c>
      <c r="B26" s="7" t="s">
        <v>60</v>
      </c>
      <c r="D26" s="7">
        <v>25</v>
      </c>
      <c r="K26" s="7"/>
      <c r="W26" s="7">
        <v>20.39</v>
      </c>
      <c r="X26" s="7">
        <v>0.57999999999999996</v>
      </c>
      <c r="Y26" s="7">
        <v>0.56000000000000005</v>
      </c>
      <c r="Z26" s="7">
        <v>0.56000000000000005</v>
      </c>
      <c r="AA26" s="7">
        <v>95.26</v>
      </c>
      <c r="AB26" s="7">
        <v>23</v>
      </c>
      <c r="AC26" s="7">
        <v>8478483</v>
      </c>
    </row>
    <row r="27" spans="1:29" ht="15" customHeight="1" x14ac:dyDescent="0.2">
      <c r="A27" s="7" t="s">
        <v>145</v>
      </c>
      <c r="B27" s="7" t="s">
        <v>60</v>
      </c>
      <c r="C27" s="7" t="s">
        <v>146</v>
      </c>
      <c r="D27" s="7">
        <v>26</v>
      </c>
      <c r="E27" s="7">
        <v>82</v>
      </c>
      <c r="F27" s="7">
        <f>ROUND(40/E27,3)</f>
        <v>0.48799999999999999</v>
      </c>
      <c r="G27" s="7">
        <f>ROUND(47/E27,3)</f>
        <v>0.57299999999999995</v>
      </c>
      <c r="H27" s="7">
        <f>ROUND(293/E27,3)</f>
        <v>3.573</v>
      </c>
      <c r="I27" s="7">
        <f>ROUND(18/E27,3)</f>
        <v>0.22</v>
      </c>
      <c r="J27" s="7">
        <f>ROUND(25/E27,3)</f>
        <v>0.30499999999999999</v>
      </c>
      <c r="K27" s="7">
        <f t="shared" ref="K27:K32" si="1">8*F27+6*G27+1*H27+1*J27+0.5*I27</f>
        <v>11.329999999999998</v>
      </c>
      <c r="L27" s="7">
        <f>ROUND(1520.45/E27,3)</f>
        <v>18.542000000000002</v>
      </c>
      <c r="M27" s="7">
        <f>ROUND(28/E27,3)</f>
        <v>0.34100000000000003</v>
      </c>
      <c r="N27" s="7" t="s">
        <v>136</v>
      </c>
      <c r="O27" s="7" t="s">
        <v>569</v>
      </c>
      <c r="P27" s="7">
        <f>ROUND(516/E27,3)</f>
        <v>6.2930000000000001</v>
      </c>
      <c r="Q27" s="7">
        <f>ROUND(404/E27,3)</f>
        <v>4.9269999999999996</v>
      </c>
      <c r="R27" s="7">
        <f>ROUND(325/E27,3)</f>
        <v>3.9630000000000001</v>
      </c>
      <c r="S27" s="7">
        <f>ROUND(140/E27,3)</f>
        <v>1.7070000000000001</v>
      </c>
      <c r="T27" s="7">
        <f>ROUND(34.52/E27,3)</f>
        <v>0.42099999999999999</v>
      </c>
      <c r="U27" s="7">
        <f>ROUND(37/E27,3)</f>
        <v>0.45100000000000001</v>
      </c>
      <c r="V27" s="7">
        <f>ROUND(70/E27,3)</f>
        <v>0.85399999999999998</v>
      </c>
      <c r="W27" s="7">
        <f>ROUND(32.92/E27,3)</f>
        <v>0.40100000000000002</v>
      </c>
      <c r="X27" s="7">
        <v>0.64</v>
      </c>
      <c r="Y27" s="7">
        <v>0.6</v>
      </c>
      <c r="Z27" s="7">
        <v>0.61</v>
      </c>
      <c r="AA27" s="7">
        <f>ROUND(92.59/E27,3)</f>
        <v>1.129</v>
      </c>
      <c r="AB27" s="7">
        <f>ROUND(39/E27,3)</f>
        <v>0.47599999999999998</v>
      </c>
      <c r="AC27" s="7">
        <v>8477939</v>
      </c>
    </row>
    <row r="28" spans="1:29" ht="15" customHeight="1" x14ac:dyDescent="0.2">
      <c r="A28" s="7" t="s">
        <v>149</v>
      </c>
      <c r="B28" s="7" t="s">
        <v>55</v>
      </c>
      <c r="C28" s="7" t="s">
        <v>131</v>
      </c>
      <c r="D28" s="7">
        <v>29</v>
      </c>
      <c r="E28" s="7">
        <v>82</v>
      </c>
      <c r="F28" s="7">
        <f>ROUND(39/E28,3)</f>
        <v>0.47599999999999998</v>
      </c>
      <c r="G28" s="7">
        <f>ROUND(52/E28,3)</f>
        <v>0.63400000000000001</v>
      </c>
      <c r="H28" s="7">
        <f>ROUND(251/E28,3)</f>
        <v>3.0609999999999999</v>
      </c>
      <c r="I28" s="7">
        <f>ROUND(71/E28,3)</f>
        <v>0.86599999999999999</v>
      </c>
      <c r="J28" s="7">
        <f>ROUND(39/E28,3)</f>
        <v>0.47599999999999998</v>
      </c>
      <c r="K28" s="7">
        <f t="shared" si="1"/>
        <v>11.582000000000001</v>
      </c>
      <c r="L28" s="7">
        <f>ROUND(1636.9/E28,3)</f>
        <v>19.962</v>
      </c>
      <c r="M28" s="7">
        <f>ROUND(20/E28,3)</f>
        <v>0.24399999999999999</v>
      </c>
      <c r="N28" s="7" t="s">
        <v>154</v>
      </c>
      <c r="O28" s="7" t="s">
        <v>570</v>
      </c>
      <c r="P28" s="7">
        <f>ROUND(440/E28,3)</f>
        <v>5.3659999999999997</v>
      </c>
      <c r="Q28" s="7">
        <f>ROUND(368/E28,3)</f>
        <v>4.4880000000000004</v>
      </c>
      <c r="R28" s="7">
        <f>ROUND(229/E28,3)</f>
        <v>2.7930000000000001</v>
      </c>
      <c r="S28" s="7">
        <f>ROUND(94/E28,3)</f>
        <v>1.1459999999999999</v>
      </c>
      <c r="T28" s="7">
        <f>ROUND(30.24/E28,3)</f>
        <v>0.36899999999999999</v>
      </c>
      <c r="U28" s="7">
        <f>ROUND(67/E28,3)</f>
        <v>0.81699999999999995</v>
      </c>
      <c r="V28" s="7">
        <f>ROUND(57/E28,3)</f>
        <v>0.69499999999999995</v>
      </c>
      <c r="W28" s="7">
        <f>ROUND(30.49/E28,3)</f>
        <v>0.372</v>
      </c>
      <c r="X28" s="7">
        <v>0.56000000000000005</v>
      </c>
      <c r="Y28" s="7">
        <v>0.56000000000000005</v>
      </c>
      <c r="Z28" s="7">
        <v>0.56999999999999995</v>
      </c>
      <c r="AA28" s="7">
        <f>ROUND(87.68/E28,3)</f>
        <v>1.069</v>
      </c>
      <c r="AB28" s="7">
        <f>ROUND(28/E28,3)</f>
        <v>0.34100000000000003</v>
      </c>
      <c r="AC28" s="7">
        <v>8476459</v>
      </c>
    </row>
    <row r="29" spans="1:29" ht="15" customHeight="1" x14ac:dyDescent="0.2">
      <c r="A29" s="7" t="s">
        <v>152</v>
      </c>
      <c r="B29" s="7" t="s">
        <v>55</v>
      </c>
      <c r="C29" s="7" t="s">
        <v>153</v>
      </c>
      <c r="D29" s="7">
        <v>21</v>
      </c>
      <c r="E29" s="7">
        <v>78</v>
      </c>
      <c r="F29" s="7">
        <f>ROUND(43/E29,3)</f>
        <v>0.55100000000000005</v>
      </c>
      <c r="G29" s="7">
        <f>ROUND(56/E29,3)</f>
        <v>0.71799999999999997</v>
      </c>
      <c r="H29" s="7">
        <f>ROUND(336/E29,3)</f>
        <v>4.3079999999999998</v>
      </c>
      <c r="I29" s="7">
        <f>ROUND(12/E29,3)</f>
        <v>0.154</v>
      </c>
      <c r="J29" s="7">
        <f>ROUND(0/E29,3)</f>
        <v>0</v>
      </c>
      <c r="K29" s="7">
        <f t="shared" si="1"/>
        <v>13.101000000000001</v>
      </c>
      <c r="L29" s="7">
        <f>ROUND(1557.35/E29,3)</f>
        <v>19.966000000000001</v>
      </c>
      <c r="M29" s="7">
        <f>ROUND(6/E29,3)</f>
        <v>7.6999999999999999E-2</v>
      </c>
      <c r="N29" s="7" t="s">
        <v>571</v>
      </c>
      <c r="O29" s="7" t="s">
        <v>326</v>
      </c>
      <c r="P29" s="7">
        <f>ROUND(554/E29,3)</f>
        <v>7.1029999999999998</v>
      </c>
      <c r="Q29" s="7">
        <f>ROUND(422/E29,3)</f>
        <v>5.41</v>
      </c>
      <c r="R29" s="7">
        <f>ROUND(326/E29,3)</f>
        <v>4.1790000000000003</v>
      </c>
      <c r="S29" s="7">
        <f>ROUND(109/E29,3)</f>
        <v>1.397</v>
      </c>
      <c r="T29" s="7">
        <f>ROUND(37.04/E29,3)</f>
        <v>0.47499999999999998</v>
      </c>
      <c r="U29" s="7">
        <f>ROUND(85/E29,3)</f>
        <v>1.0900000000000001</v>
      </c>
      <c r="V29" s="7">
        <f>ROUND(60/E29,3)</f>
        <v>0.76900000000000002</v>
      </c>
      <c r="W29" s="7">
        <f>ROUND(36.58/E29,3)</f>
        <v>0.46899999999999997</v>
      </c>
      <c r="X29" s="7">
        <v>0.64</v>
      </c>
      <c r="Y29" s="7">
        <v>0.63</v>
      </c>
      <c r="Z29" s="7">
        <v>0.63</v>
      </c>
      <c r="AA29" s="7">
        <f>ROUND(114.74/E29,3)</f>
        <v>1.4710000000000001</v>
      </c>
      <c r="AB29" s="7">
        <f>ROUND(33/E29,3)</f>
        <v>0.42299999999999999</v>
      </c>
      <c r="AC29" s="7">
        <v>8481559</v>
      </c>
    </row>
    <row r="30" spans="1:29" ht="15" customHeight="1" x14ac:dyDescent="0.2">
      <c r="A30" s="7" t="s">
        <v>156</v>
      </c>
      <c r="B30" s="7" t="s">
        <v>60</v>
      </c>
      <c r="C30" s="7" t="s">
        <v>66</v>
      </c>
      <c r="D30" s="7">
        <v>25</v>
      </c>
      <c r="E30" s="7">
        <v>82</v>
      </c>
      <c r="F30" s="7">
        <f>ROUND(55/E30,3)</f>
        <v>0.67100000000000004</v>
      </c>
      <c r="G30" s="7">
        <f>ROUND(50/E30,3)</f>
        <v>0.61</v>
      </c>
      <c r="H30" s="7">
        <f>ROUND(307/E30,3)</f>
        <v>3.7440000000000002</v>
      </c>
      <c r="I30" s="7">
        <f>ROUND(77/E30,3)</f>
        <v>0.93899999999999995</v>
      </c>
      <c r="J30" s="7">
        <f>ROUND(34/E30,3)</f>
        <v>0.41499999999999998</v>
      </c>
      <c r="K30" s="7">
        <f t="shared" si="1"/>
        <v>13.656499999999999</v>
      </c>
      <c r="L30" s="7">
        <f>ROUND(1822.3833333333/E30,3)</f>
        <v>22.224</v>
      </c>
      <c r="M30" s="7">
        <f>ROUND(82/E30,3)</f>
        <v>1</v>
      </c>
      <c r="N30" s="7" t="s">
        <v>572</v>
      </c>
      <c r="O30" s="7" t="s">
        <v>573</v>
      </c>
      <c r="P30" s="7">
        <f>ROUND(559/E30,3)</f>
        <v>6.8170000000000002</v>
      </c>
      <c r="Q30" s="7">
        <f>ROUND(428/E30,3)</f>
        <v>5.22</v>
      </c>
      <c r="R30" s="7">
        <f>ROUND(310/E30,3)</f>
        <v>3.78</v>
      </c>
      <c r="S30" s="7">
        <f>ROUND(115/E30,3)</f>
        <v>1.4019999999999999</v>
      </c>
      <c r="T30" s="7">
        <f>ROUND(36.02/E30,3)</f>
        <v>0.439</v>
      </c>
      <c r="U30" s="7">
        <f>ROUND(45/E30,3)</f>
        <v>0.54900000000000004</v>
      </c>
      <c r="V30" s="7">
        <f>ROUND(61/E30,3)</f>
        <v>0.74399999999999999</v>
      </c>
      <c r="W30" s="7">
        <f>ROUND(38.53/E30,3)</f>
        <v>0.47</v>
      </c>
      <c r="X30" s="7">
        <v>0.62</v>
      </c>
      <c r="Y30" s="7">
        <v>0.61</v>
      </c>
      <c r="Z30" s="7">
        <v>0.6</v>
      </c>
      <c r="AA30" s="7">
        <f>ROUND(111.99/E30,3)</f>
        <v>1.3660000000000001</v>
      </c>
      <c r="AB30" s="7">
        <f>ROUND(42/E30,3)</f>
        <v>0.51200000000000001</v>
      </c>
      <c r="AC30" s="7">
        <v>8478420</v>
      </c>
    </row>
    <row r="31" spans="1:29" ht="15" customHeight="1" x14ac:dyDescent="0.2">
      <c r="A31" s="7" t="s">
        <v>159</v>
      </c>
      <c r="B31" s="7" t="s">
        <v>92</v>
      </c>
      <c r="C31" s="7" t="s">
        <v>160</v>
      </c>
      <c r="D31" s="7">
        <v>20</v>
      </c>
      <c r="E31" s="7">
        <v>74</v>
      </c>
      <c r="F31" s="7">
        <f>ROUND(17/E31,3)</f>
        <v>0.23</v>
      </c>
      <c r="G31" s="7">
        <f>ROUND(28/E31,3)</f>
        <v>0.378</v>
      </c>
      <c r="H31" s="7">
        <f>ROUND(134/E31,3)</f>
        <v>1.8109999999999999</v>
      </c>
      <c r="I31" s="7">
        <f>ROUND(43/E31,3)</f>
        <v>0.58099999999999996</v>
      </c>
      <c r="J31" s="7">
        <f>ROUND(18/E31,3)</f>
        <v>0.24299999999999999</v>
      </c>
      <c r="K31" s="7">
        <f t="shared" si="1"/>
        <v>6.4524999999999997</v>
      </c>
      <c r="L31" s="7">
        <f>ROUND(1285.8166666667/E31,3)</f>
        <v>17.376000000000001</v>
      </c>
      <c r="M31" s="7">
        <f>ROUND(24/E31,3)</f>
        <v>0.32400000000000001</v>
      </c>
      <c r="N31" s="7" t="s">
        <v>251</v>
      </c>
      <c r="O31" s="7" t="s">
        <v>574</v>
      </c>
      <c r="P31" s="7">
        <f>ROUND(245/E31,3)</f>
        <v>3.3109999999999999</v>
      </c>
      <c r="Q31" s="7">
        <f>ROUND(174/E31,3)</f>
        <v>2.351</v>
      </c>
      <c r="R31" s="7">
        <f>ROUND(152/E31,3)</f>
        <v>2.0539999999999998</v>
      </c>
      <c r="S31" s="7">
        <f>ROUND(72/E31,3)</f>
        <v>0.97299999999999998</v>
      </c>
      <c r="T31" s="7">
        <f>ROUND(16.48/E31,3)</f>
        <v>0.223</v>
      </c>
      <c r="U31" s="7">
        <f>ROUND(27/E31,3)</f>
        <v>0.36499999999999999</v>
      </c>
      <c r="V31" s="7">
        <f>ROUND(33/E31,3)</f>
        <v>0.44600000000000001</v>
      </c>
      <c r="W31" s="7">
        <f>ROUND(16.11/E31,3)</f>
        <v>0.218</v>
      </c>
      <c r="X31" s="7">
        <v>0.55000000000000004</v>
      </c>
      <c r="Y31" s="7">
        <v>0.56000000000000005</v>
      </c>
      <c r="Z31" s="7">
        <v>0.55000000000000004</v>
      </c>
      <c r="AA31" s="7">
        <f>ROUND(33.78/E31,3)</f>
        <v>0.45600000000000002</v>
      </c>
      <c r="AB31" s="7">
        <f>ROUND(18/E31,3)</f>
        <v>0.24299999999999999</v>
      </c>
      <c r="AC31" s="7">
        <v>8482078</v>
      </c>
    </row>
    <row r="32" spans="1:29" ht="15" customHeight="1" x14ac:dyDescent="0.2">
      <c r="A32" s="7" t="s">
        <v>163</v>
      </c>
      <c r="B32" s="7" t="s">
        <v>92</v>
      </c>
      <c r="C32" s="7" t="s">
        <v>164</v>
      </c>
      <c r="D32" s="7">
        <v>28</v>
      </c>
      <c r="E32" s="7">
        <v>50</v>
      </c>
      <c r="F32" s="7">
        <f>ROUND(19/E32,3)</f>
        <v>0.38</v>
      </c>
      <c r="G32" s="7">
        <f>ROUND(23/E32,3)</f>
        <v>0.46</v>
      </c>
      <c r="H32" s="7">
        <f>ROUND(157/E32,3)</f>
        <v>3.14</v>
      </c>
      <c r="I32" s="7">
        <f>ROUND(86/E32,3)</f>
        <v>1.72</v>
      </c>
      <c r="J32" s="7">
        <f>ROUND(17/E32,3)</f>
        <v>0.34</v>
      </c>
      <c r="K32" s="7">
        <f t="shared" si="1"/>
        <v>10.14</v>
      </c>
      <c r="L32" s="7">
        <f>ROUND(873.6/E32,3)</f>
        <v>17.472000000000001</v>
      </c>
      <c r="M32" s="7">
        <f>ROUND(20/E32,3)</f>
        <v>0.4</v>
      </c>
      <c r="N32" s="7" t="s">
        <v>576</v>
      </c>
      <c r="O32" s="7" t="s">
        <v>577</v>
      </c>
      <c r="P32" s="7">
        <f>ROUND(322/E32,3)</f>
        <v>6.44</v>
      </c>
      <c r="Q32" s="7">
        <f>ROUND(242/E32,3)</f>
        <v>4.84</v>
      </c>
      <c r="R32" s="7">
        <f>ROUND(173/E32,3)</f>
        <v>3.46</v>
      </c>
      <c r="S32" s="7">
        <f>ROUND(67/E32,3)</f>
        <v>1.34</v>
      </c>
      <c r="T32" s="7">
        <f>ROUND(18.37/E32,3)</f>
        <v>0.36699999999999999</v>
      </c>
      <c r="U32" s="7">
        <f>ROUND(29/E32,3)</f>
        <v>0.57999999999999996</v>
      </c>
      <c r="V32" s="7">
        <f>ROUND(34/E32,3)</f>
        <v>0.68</v>
      </c>
      <c r="W32" s="7">
        <f>ROUND(20.14/E32,3)</f>
        <v>0.40300000000000002</v>
      </c>
      <c r="X32" s="7">
        <v>0.57999999999999996</v>
      </c>
      <c r="Y32" s="7">
        <v>0.57999999999999996</v>
      </c>
      <c r="Z32" s="7">
        <v>0.59</v>
      </c>
      <c r="AA32" s="7">
        <f>ROUND(42.81/E32,3)</f>
        <v>0.85599999999999998</v>
      </c>
      <c r="AB32" s="7">
        <f>ROUND(19/E32,3)</f>
        <v>0.38</v>
      </c>
      <c r="AC32" s="7">
        <v>8476887</v>
      </c>
    </row>
    <row r="33" spans="1:29" ht="15" customHeight="1" x14ac:dyDescent="0.2">
      <c r="A33" s="7" t="s">
        <v>167</v>
      </c>
      <c r="B33" s="7" t="s">
        <v>55</v>
      </c>
      <c r="D33" s="7">
        <v>17</v>
      </c>
      <c r="K33" s="7"/>
      <c r="AC33" s="7">
        <v>8484144</v>
      </c>
    </row>
    <row r="34" spans="1:29" ht="15" customHeight="1" x14ac:dyDescent="0.2">
      <c r="A34" s="7" t="s">
        <v>168</v>
      </c>
      <c r="B34" s="7" t="s">
        <v>92</v>
      </c>
      <c r="C34" s="7" t="s">
        <v>61</v>
      </c>
      <c r="D34" s="7">
        <v>24</v>
      </c>
      <c r="E34" s="7">
        <v>81</v>
      </c>
      <c r="F34" s="7">
        <f>ROUND(30/E34,3)</f>
        <v>0.37</v>
      </c>
      <c r="G34" s="7">
        <f>ROUND(34/E34,3)</f>
        <v>0.42</v>
      </c>
      <c r="H34" s="7">
        <f>ROUND(178/E34,3)</f>
        <v>2.198</v>
      </c>
      <c r="I34" s="7">
        <f>ROUND(68/E34,3)</f>
        <v>0.84</v>
      </c>
      <c r="J34" s="7">
        <f>ROUND(8/E34,3)</f>
        <v>9.9000000000000005E-2</v>
      </c>
      <c r="K34" s="7">
        <f t="shared" ref="K34:K47" si="2">8*F34+6*G34+1*H34+1*J34+0.5*I34</f>
        <v>8.197000000000001</v>
      </c>
      <c r="L34" s="7">
        <f>ROUND(1510.4/E34,3)</f>
        <v>18.646999999999998</v>
      </c>
      <c r="M34" s="7">
        <f>ROUND(54/E34,3)</f>
        <v>0.66700000000000004</v>
      </c>
      <c r="N34" s="7" t="s">
        <v>578</v>
      </c>
      <c r="O34" s="7" t="s">
        <v>579</v>
      </c>
      <c r="P34" s="7">
        <f>ROUND(306/E34,3)</f>
        <v>3.778</v>
      </c>
      <c r="Q34" s="7">
        <f>ROUND(245/E34,3)</f>
        <v>3.0249999999999999</v>
      </c>
      <c r="R34" s="7">
        <f>ROUND(229/E34,3)</f>
        <v>2.827</v>
      </c>
      <c r="S34" s="7">
        <f>ROUND(114/E34,3)</f>
        <v>1.407</v>
      </c>
      <c r="T34" s="7">
        <f>ROUND(27.11/E34,3)</f>
        <v>0.33500000000000002</v>
      </c>
      <c r="U34" s="7">
        <f>ROUND(48/E34,3)</f>
        <v>0.59299999999999997</v>
      </c>
      <c r="V34" s="7">
        <f>ROUND(92/E34,3)</f>
        <v>1.1359999999999999</v>
      </c>
      <c r="W34" s="7">
        <f>ROUND(30.52/E34,3)</f>
        <v>0.377</v>
      </c>
      <c r="X34" s="7">
        <v>0.56000000000000005</v>
      </c>
      <c r="Y34" s="7">
        <v>0.54</v>
      </c>
      <c r="Z34" s="7">
        <v>0.53</v>
      </c>
      <c r="AA34" s="7">
        <f>ROUND(71.1/E34,3)</f>
        <v>0.878</v>
      </c>
      <c r="AB34" s="7">
        <f>ROUND(39/E34,3)</f>
        <v>0.48099999999999998</v>
      </c>
      <c r="AC34" s="7">
        <v>8479542</v>
      </c>
    </row>
    <row r="35" spans="1:29" ht="15" customHeight="1" x14ac:dyDescent="0.2">
      <c r="A35" s="7" t="s">
        <v>173</v>
      </c>
      <c r="B35" s="7" t="s">
        <v>55</v>
      </c>
      <c r="C35" s="7" t="s">
        <v>118</v>
      </c>
      <c r="D35" s="7">
        <v>26</v>
      </c>
      <c r="E35" s="7">
        <v>63</v>
      </c>
      <c r="F35" s="7">
        <f>ROUND(22/E35,3)</f>
        <v>0.34899999999999998</v>
      </c>
      <c r="G35" s="7">
        <f>ROUND(36/E35,3)</f>
        <v>0.57099999999999995</v>
      </c>
      <c r="H35" s="7">
        <f>ROUND(133/E35,3)</f>
        <v>2.1110000000000002</v>
      </c>
      <c r="I35" s="7">
        <f>ROUND(12/E35,3)</f>
        <v>0.19</v>
      </c>
      <c r="J35" s="7">
        <f>ROUND(25/E35,3)</f>
        <v>0.39700000000000002</v>
      </c>
      <c r="K35" s="7">
        <f t="shared" si="2"/>
        <v>8.8210000000000015</v>
      </c>
      <c r="L35" s="7">
        <f>ROUND(1241.6833333333/E35,3)</f>
        <v>19.709</v>
      </c>
      <c r="M35" s="7">
        <f>ROUND(20/E35,3)</f>
        <v>0.317</v>
      </c>
      <c r="N35" s="7" t="s">
        <v>580</v>
      </c>
      <c r="O35" s="7" t="s">
        <v>581</v>
      </c>
      <c r="P35" s="7">
        <f>ROUND(252/E35,3)</f>
        <v>4</v>
      </c>
      <c r="Q35" s="7">
        <f>ROUND(195/E35,3)</f>
        <v>3.0950000000000002</v>
      </c>
      <c r="R35" s="7">
        <f>ROUND(144/E35,3)</f>
        <v>2.286</v>
      </c>
      <c r="S35" s="7">
        <f>ROUND(52/E35,3)</f>
        <v>0.82499999999999996</v>
      </c>
      <c r="T35" s="7">
        <f>ROUND(15.66/E35,3)</f>
        <v>0.249</v>
      </c>
      <c r="U35" s="7">
        <f>ROUND(55/E35,3)</f>
        <v>0.873</v>
      </c>
      <c r="V35" s="7">
        <f>ROUND(61/E35,3)</f>
        <v>0.96799999999999997</v>
      </c>
      <c r="W35" s="7">
        <f>ROUND(16.75/E35,3)</f>
        <v>0.26600000000000001</v>
      </c>
      <c r="X35" s="7">
        <v>0.53</v>
      </c>
      <c r="Y35" s="7">
        <v>0.54</v>
      </c>
      <c r="Z35" s="7">
        <v>0.53</v>
      </c>
      <c r="AA35" s="7">
        <f>ROUND(51.07/E35,3)</f>
        <v>0.81100000000000005</v>
      </c>
      <c r="AB35" s="7">
        <f>ROUND(21/E35,3)</f>
        <v>0.33300000000000002</v>
      </c>
      <c r="AC35" s="7">
        <v>8477951</v>
      </c>
    </row>
    <row r="36" spans="1:29" ht="15" customHeight="1" x14ac:dyDescent="0.2">
      <c r="A36" s="7" t="s">
        <v>176</v>
      </c>
      <c r="B36" s="7" t="s">
        <v>55</v>
      </c>
      <c r="C36" s="7" t="s">
        <v>114</v>
      </c>
      <c r="D36" s="7">
        <v>35</v>
      </c>
      <c r="E36" s="7">
        <v>82</v>
      </c>
      <c r="F36" s="7">
        <f>ROUND(33/E36,3)</f>
        <v>0.40200000000000002</v>
      </c>
      <c r="G36" s="7">
        <f>ROUND(60/E36,3)</f>
        <v>0.73199999999999998</v>
      </c>
      <c r="H36" s="7">
        <f>ROUND(255/E36,3)</f>
        <v>3.11</v>
      </c>
      <c r="I36" s="7">
        <f>ROUND(71/E36,3)</f>
        <v>0.86599999999999999</v>
      </c>
      <c r="J36" s="7">
        <f>ROUND(41/E36,3)</f>
        <v>0.5</v>
      </c>
      <c r="K36" s="7">
        <f t="shared" si="2"/>
        <v>11.651</v>
      </c>
      <c r="L36" s="7">
        <f>ROUND(1651.7666666667/E36,3)</f>
        <v>20.143000000000001</v>
      </c>
      <c r="M36" s="7">
        <f>ROUND(52/E36,3)</f>
        <v>0.63400000000000001</v>
      </c>
      <c r="N36" s="7" t="s">
        <v>582</v>
      </c>
      <c r="O36" s="7" t="s">
        <v>583</v>
      </c>
      <c r="P36" s="7">
        <f>ROUND(443/E36,3)</f>
        <v>5.4020000000000001</v>
      </c>
      <c r="Q36" s="7">
        <f>ROUND(348/E36,3)</f>
        <v>4.2439999999999998</v>
      </c>
      <c r="R36" s="7">
        <f>ROUND(269/E36,3)</f>
        <v>3.28</v>
      </c>
      <c r="S36" s="7">
        <f>ROUND(144/E36,3)</f>
        <v>1.756</v>
      </c>
      <c r="T36" s="7">
        <f>ROUND(32.9/E36,3)</f>
        <v>0.40100000000000002</v>
      </c>
      <c r="U36" s="7">
        <f>ROUND(67/E36,3)</f>
        <v>0.81699999999999995</v>
      </c>
      <c r="V36" s="7">
        <f>ROUND(59/E36,3)</f>
        <v>0.72</v>
      </c>
      <c r="W36" s="7">
        <f>ROUND(33.31/E36,3)</f>
        <v>0.40600000000000003</v>
      </c>
      <c r="X36" s="7">
        <v>0.6</v>
      </c>
      <c r="Y36" s="7">
        <v>0.61</v>
      </c>
      <c r="Z36" s="7">
        <v>0.6</v>
      </c>
      <c r="AA36" s="7">
        <f>ROUND(100.72/E36,3)</f>
        <v>1.228</v>
      </c>
      <c r="AB36" s="7">
        <f>ROUND(37/E36,3)</f>
        <v>0.45100000000000001</v>
      </c>
      <c r="AC36" s="7">
        <v>8471675</v>
      </c>
    </row>
    <row r="37" spans="1:29" ht="15" customHeight="1" x14ac:dyDescent="0.2">
      <c r="A37" s="7" t="s">
        <v>179</v>
      </c>
      <c r="B37" s="7" t="s">
        <v>55</v>
      </c>
      <c r="C37" s="7" t="s">
        <v>584</v>
      </c>
      <c r="D37" s="7">
        <v>31</v>
      </c>
      <c r="E37" s="7">
        <v>53</v>
      </c>
      <c r="F37" s="7">
        <f>ROUND(16/E37,3)</f>
        <v>0.30199999999999999</v>
      </c>
      <c r="G37" s="7">
        <f>ROUND(14/E37,3)</f>
        <v>0.26400000000000001</v>
      </c>
      <c r="H37" s="7">
        <f>ROUND(102/E37,3)</f>
        <v>1.925</v>
      </c>
      <c r="I37" s="7">
        <f>ROUND(18/E37,3)</f>
        <v>0.34</v>
      </c>
      <c r="J37" s="7">
        <f>ROUND(21/E37,3)</f>
        <v>0.39600000000000002</v>
      </c>
      <c r="K37" s="7">
        <f t="shared" si="2"/>
        <v>6.4909999999999997</v>
      </c>
      <c r="L37" s="7">
        <f>ROUND(950.76666666667/E37,3)</f>
        <v>17.939</v>
      </c>
      <c r="M37" s="7">
        <f>ROUND(16/E37,3)</f>
        <v>0.30199999999999999</v>
      </c>
      <c r="N37" s="7" t="s">
        <v>585</v>
      </c>
      <c r="O37" s="7" t="s">
        <v>586</v>
      </c>
      <c r="P37" s="7">
        <f>ROUND(163/E37,3)</f>
        <v>3.0750000000000002</v>
      </c>
      <c r="Q37" s="7">
        <f>ROUND(130/E37,3)</f>
        <v>2.4529999999999998</v>
      </c>
      <c r="R37" s="7">
        <f>ROUND(119/E37,3)</f>
        <v>2.2450000000000001</v>
      </c>
      <c r="S37" s="7">
        <f>ROUND(59/E37,3)</f>
        <v>1.113</v>
      </c>
      <c r="T37" s="7">
        <f>ROUND(12.27/E37,3)</f>
        <v>0.23200000000000001</v>
      </c>
      <c r="U37" s="7">
        <f>ROUND(10/E37,3)</f>
        <v>0.189</v>
      </c>
      <c r="V37" s="7">
        <f>ROUND(46/E37,3)</f>
        <v>0.86799999999999999</v>
      </c>
      <c r="W37" s="7">
        <f>ROUND(13.45/E37,3)</f>
        <v>0.254</v>
      </c>
      <c r="X37" s="7">
        <v>0.45</v>
      </c>
      <c r="Y37" s="7">
        <v>0.49</v>
      </c>
      <c r="Z37" s="7">
        <v>0.49</v>
      </c>
      <c r="AA37" s="7">
        <f>ROUND(29.18/E37,3)</f>
        <v>0.55100000000000005</v>
      </c>
      <c r="AB37" s="7">
        <f>ROUND(19/E37,3)</f>
        <v>0.35799999999999998</v>
      </c>
      <c r="AC37" s="7">
        <v>8475158</v>
      </c>
    </row>
    <row r="38" spans="1:29" ht="15" customHeight="1" x14ac:dyDescent="0.2">
      <c r="A38" s="7" t="s">
        <v>182</v>
      </c>
      <c r="B38" s="7" t="s">
        <v>60</v>
      </c>
      <c r="C38" s="7" t="s">
        <v>118</v>
      </c>
      <c r="D38" s="7">
        <v>19</v>
      </c>
      <c r="E38" s="7">
        <v>33</v>
      </c>
      <c r="F38" s="7">
        <f>ROUND(6/E38,3)</f>
        <v>0.182</v>
      </c>
      <c r="G38" s="7">
        <f>ROUND(9/E38,3)</f>
        <v>0.27300000000000002</v>
      </c>
      <c r="H38" s="7">
        <f>ROUND(53/E38,3)</f>
        <v>1.6060000000000001</v>
      </c>
      <c r="I38" s="7">
        <f>ROUND(18/E38,3)</f>
        <v>0.54500000000000004</v>
      </c>
      <c r="J38" s="7">
        <f>ROUND(8/E38,3)</f>
        <v>0.24199999999999999</v>
      </c>
      <c r="K38" s="7">
        <f t="shared" si="2"/>
        <v>5.2145000000000001</v>
      </c>
      <c r="L38" s="7">
        <f>ROUND(432.7/E38,3)</f>
        <v>13.112</v>
      </c>
      <c r="M38" s="7">
        <f>ROUND(10/E38,3)</f>
        <v>0.30299999999999999</v>
      </c>
      <c r="N38" s="7" t="s">
        <v>587</v>
      </c>
      <c r="O38" s="7" t="s">
        <v>588</v>
      </c>
      <c r="P38" s="7">
        <f>ROUND(108/E38,3)</f>
        <v>3.2730000000000001</v>
      </c>
      <c r="Q38" s="7">
        <f>ROUND(74/E38,3)</f>
        <v>2.242</v>
      </c>
      <c r="R38" s="7">
        <f>ROUND(60/E38,3)</f>
        <v>1.8180000000000001</v>
      </c>
      <c r="S38" s="7">
        <f>ROUND(16/E38,3)</f>
        <v>0.48499999999999999</v>
      </c>
      <c r="T38" s="7">
        <f>ROUND(4.91/E38,3)</f>
        <v>0.14899999999999999</v>
      </c>
      <c r="U38" s="7">
        <f>ROUND(15/E38,3)</f>
        <v>0.45500000000000002</v>
      </c>
      <c r="V38" s="7">
        <f>ROUND(10/E38,3)</f>
        <v>0.30299999999999999</v>
      </c>
      <c r="W38" s="7">
        <f>ROUND(5.71/E38,3)</f>
        <v>0.17299999999999999</v>
      </c>
      <c r="X38" s="7">
        <v>0.46</v>
      </c>
      <c r="Y38" s="7">
        <v>0.5</v>
      </c>
      <c r="Z38" s="7">
        <v>0.48</v>
      </c>
      <c r="AA38" s="7">
        <f>ROUND(9.38/E38,3)</f>
        <v>0.28399999999999997</v>
      </c>
      <c r="AB38" s="7">
        <f>ROUND(7/E38,3)</f>
        <v>0.21199999999999999</v>
      </c>
      <c r="AC38" s="7">
        <v>8482699</v>
      </c>
    </row>
    <row r="39" spans="1:29" ht="15" customHeight="1" x14ac:dyDescent="0.2">
      <c r="A39" s="7" t="s">
        <v>183</v>
      </c>
      <c r="B39" s="7" t="s">
        <v>60</v>
      </c>
      <c r="C39" s="7" t="s">
        <v>184</v>
      </c>
      <c r="D39" s="7">
        <v>26</v>
      </c>
      <c r="E39" s="7">
        <v>82</v>
      </c>
      <c r="F39" s="7">
        <f>ROUND(41/E39,3)</f>
        <v>0.5</v>
      </c>
      <c r="G39" s="7">
        <f>ROUND(26/E39,3)</f>
        <v>0.317</v>
      </c>
      <c r="H39" s="7">
        <f>ROUND(250/E39,3)</f>
        <v>3.0489999999999999</v>
      </c>
      <c r="I39" s="7">
        <f>ROUND(119/E39,3)</f>
        <v>1.4510000000000001</v>
      </c>
      <c r="J39" s="7">
        <f>ROUND(8/E39,3)</f>
        <v>9.8000000000000004E-2</v>
      </c>
      <c r="K39" s="7">
        <f t="shared" si="2"/>
        <v>9.7745000000000015</v>
      </c>
      <c r="L39" s="7">
        <f>ROUND(1538.15/E39,3)</f>
        <v>18.757999999999999</v>
      </c>
      <c r="M39" s="7">
        <f>ROUND(55/E39,3)</f>
        <v>0.67100000000000004</v>
      </c>
      <c r="N39" s="7" t="s">
        <v>566</v>
      </c>
      <c r="O39" s="7" t="s">
        <v>589</v>
      </c>
      <c r="P39" s="7">
        <f>ROUND(451/E39,3)</f>
        <v>5.5</v>
      </c>
      <c r="Q39" s="7">
        <f>ROUND(342/E39,3)</f>
        <v>4.1710000000000003</v>
      </c>
      <c r="R39" s="7">
        <f>ROUND(240/E39,3)</f>
        <v>2.927</v>
      </c>
      <c r="S39" s="7">
        <f>ROUND(73/E39,3)</f>
        <v>0.89</v>
      </c>
      <c r="T39" s="7">
        <f>ROUND(23.92/E39,3)</f>
        <v>0.29199999999999998</v>
      </c>
      <c r="U39" s="7">
        <f>ROUND(39/E39,3)</f>
        <v>0.47599999999999998</v>
      </c>
      <c r="V39" s="7">
        <f>ROUND(24/E39,3)</f>
        <v>0.29299999999999998</v>
      </c>
      <c r="W39" s="7">
        <f>ROUND(28.73/E39,3)</f>
        <v>0.35</v>
      </c>
      <c r="X39" s="7">
        <v>0.56999999999999995</v>
      </c>
      <c r="Y39" s="7">
        <v>0.55000000000000004</v>
      </c>
      <c r="Z39" s="7">
        <v>0.56000000000000005</v>
      </c>
      <c r="AA39" s="7">
        <f>ROUND(73.36/E39,3)</f>
        <v>0.89500000000000002</v>
      </c>
      <c r="AB39" s="7">
        <f>ROUND(30/E39,3)</f>
        <v>0.36599999999999999</v>
      </c>
      <c r="AC39" s="7">
        <v>8477960</v>
      </c>
    </row>
    <row r="40" spans="1:29" ht="15" customHeight="1" x14ac:dyDescent="0.2">
      <c r="A40" s="7" t="s">
        <v>186</v>
      </c>
      <c r="B40" s="7" t="s">
        <v>92</v>
      </c>
      <c r="C40" s="7" t="s">
        <v>76</v>
      </c>
      <c r="D40" s="7">
        <v>18</v>
      </c>
      <c r="E40" s="7">
        <v>39</v>
      </c>
      <c r="F40" s="7">
        <f>ROUND(4/E40,3)</f>
        <v>0.10299999999999999</v>
      </c>
      <c r="G40" s="7">
        <f>ROUND(6/E40,3)</f>
        <v>0.154</v>
      </c>
      <c r="H40" s="7">
        <f>ROUND(42/E40,3)</f>
        <v>1.077</v>
      </c>
      <c r="I40" s="7">
        <f>ROUND(53/E40,3)</f>
        <v>1.359</v>
      </c>
      <c r="J40" s="7">
        <f>ROUND(23/E40,3)</f>
        <v>0.59</v>
      </c>
      <c r="K40" s="7">
        <f t="shared" si="2"/>
        <v>4.0945</v>
      </c>
      <c r="L40" s="7">
        <f>ROUND(476.4/E40,3)</f>
        <v>12.215</v>
      </c>
      <c r="M40" s="7">
        <f>ROUND(33/E40,3)</f>
        <v>0.84599999999999997</v>
      </c>
      <c r="N40" s="7" t="s">
        <v>333</v>
      </c>
      <c r="O40" s="7" t="s">
        <v>590</v>
      </c>
      <c r="P40" s="7">
        <f>ROUND(92/E40,3)</f>
        <v>2.359</v>
      </c>
      <c r="Q40" s="7">
        <f>ROUND(61/E40,3)</f>
        <v>1.5640000000000001</v>
      </c>
      <c r="R40" s="7">
        <f>ROUND(45/E40,3)</f>
        <v>1.1539999999999999</v>
      </c>
      <c r="S40" s="7">
        <f>ROUND(15/E40,3)</f>
        <v>0.38500000000000001</v>
      </c>
      <c r="T40" s="7">
        <f>ROUND(3.85/E40,3)</f>
        <v>9.9000000000000005E-2</v>
      </c>
      <c r="U40" s="7">
        <f>ROUND(13/E40,3)</f>
        <v>0.33300000000000002</v>
      </c>
      <c r="V40" s="7">
        <f>ROUND(12/E40,3)</f>
        <v>0.308</v>
      </c>
      <c r="W40" s="7">
        <f>ROUND(4.43/E40,3)</f>
        <v>0.114</v>
      </c>
      <c r="X40" s="7">
        <v>0.43</v>
      </c>
      <c r="Y40" s="7">
        <v>0.49</v>
      </c>
      <c r="Z40" s="7">
        <v>0.48</v>
      </c>
      <c r="AA40" s="7">
        <f>ROUND(5.8/E40,3)</f>
        <v>0.14899999999999999</v>
      </c>
      <c r="AB40" s="7">
        <f>ROUND(4/E40,3)</f>
        <v>0.10299999999999999</v>
      </c>
      <c r="AC40" s="7">
        <v>8483515</v>
      </c>
    </row>
    <row r="41" spans="1:29" ht="15" customHeight="1" x14ac:dyDescent="0.2">
      <c r="A41" s="7" t="s">
        <v>187</v>
      </c>
      <c r="B41" s="7" t="s">
        <v>60</v>
      </c>
      <c r="C41" s="7" t="s">
        <v>102</v>
      </c>
      <c r="D41" s="7">
        <v>30</v>
      </c>
      <c r="E41" s="7">
        <v>43</v>
      </c>
      <c r="F41" s="7">
        <f>ROUND(17/E41,3)</f>
        <v>0.39500000000000002</v>
      </c>
      <c r="G41" s="7">
        <f>ROUND(21/E41,3)</f>
        <v>0.48799999999999999</v>
      </c>
      <c r="H41" s="7">
        <f>ROUND(113/E41,3)</f>
        <v>2.6280000000000001</v>
      </c>
      <c r="I41" s="7">
        <f>ROUND(31/E41,3)</f>
        <v>0.72099999999999997</v>
      </c>
      <c r="J41" s="7">
        <f>ROUND(20/E41,3)</f>
        <v>0.46500000000000002</v>
      </c>
      <c r="K41" s="7">
        <f t="shared" si="2"/>
        <v>9.541500000000001</v>
      </c>
      <c r="L41" s="7">
        <f>ROUND(833.2/E41,3)</f>
        <v>19.376999999999999</v>
      </c>
      <c r="M41" s="7">
        <f>ROUND(10/E41,3)</f>
        <v>0.23300000000000001</v>
      </c>
      <c r="N41" s="7" t="s">
        <v>591</v>
      </c>
      <c r="O41" s="7" t="s">
        <v>592</v>
      </c>
      <c r="P41" s="7">
        <f>ROUND(190/E41,3)</f>
        <v>4.4189999999999996</v>
      </c>
      <c r="Q41" s="7">
        <f>ROUND(152/E41,3)</f>
        <v>3.5350000000000001</v>
      </c>
      <c r="R41" s="7">
        <f>ROUND(154/E41,3)</f>
        <v>3.581</v>
      </c>
      <c r="S41" s="7">
        <f>ROUND(93/E41,3)</f>
        <v>2.1629999999999998</v>
      </c>
      <c r="T41" s="7">
        <f>ROUND(17.23/E41,3)</f>
        <v>0.40100000000000002</v>
      </c>
      <c r="U41" s="7">
        <f>ROUND(22/E41,3)</f>
        <v>0.51200000000000001</v>
      </c>
      <c r="V41" s="7">
        <f>ROUND(47/E41,3)</f>
        <v>1.093</v>
      </c>
      <c r="W41" s="7">
        <f>ROUND(17.71/E41,3)</f>
        <v>0.41199999999999998</v>
      </c>
      <c r="X41" s="7">
        <v>0.62</v>
      </c>
      <c r="Y41" s="7">
        <v>0.56000000000000005</v>
      </c>
      <c r="Z41" s="7">
        <v>0.57999999999999996</v>
      </c>
      <c r="AA41" s="7">
        <f>ROUND(41.8/E41,3)</f>
        <v>0.97199999999999998</v>
      </c>
      <c r="AB41" s="7">
        <f>ROUND(27/E41,3)</f>
        <v>0.628</v>
      </c>
      <c r="AC41" s="7">
        <v>8475913</v>
      </c>
    </row>
    <row r="42" spans="1:29" ht="15" customHeight="1" x14ac:dyDescent="0.2">
      <c r="A42" s="7" t="s">
        <v>190</v>
      </c>
      <c r="B42" s="7" t="s">
        <v>55</v>
      </c>
      <c r="C42" s="7" t="s">
        <v>191</v>
      </c>
      <c r="D42" s="7">
        <v>25</v>
      </c>
      <c r="E42" s="7">
        <v>58</v>
      </c>
      <c r="F42" s="7">
        <f>ROUND(14/E42,3)</f>
        <v>0.24099999999999999</v>
      </c>
      <c r="G42" s="7">
        <f>ROUND(37/E42,3)</f>
        <v>0.63800000000000001</v>
      </c>
      <c r="H42" s="7">
        <f>ROUND(139/E42,3)</f>
        <v>2.3969999999999998</v>
      </c>
      <c r="I42" s="7">
        <f>ROUND(25/E42,3)</f>
        <v>0.43099999999999999</v>
      </c>
      <c r="J42" s="7">
        <f>ROUND(33/E42,3)</f>
        <v>0.56899999999999995</v>
      </c>
      <c r="K42" s="7">
        <f t="shared" si="2"/>
        <v>8.9375000000000018</v>
      </c>
      <c r="L42" s="7">
        <f>ROUND(1085.5333333333/E42,3)</f>
        <v>18.716000000000001</v>
      </c>
      <c r="M42" s="7">
        <f>ROUND(22/E42,3)</f>
        <v>0.379</v>
      </c>
      <c r="N42" s="7" t="s">
        <v>593</v>
      </c>
      <c r="O42" s="7" t="s">
        <v>594</v>
      </c>
      <c r="P42" s="7">
        <f>ROUND(254/E42,3)</f>
        <v>4.3789999999999996</v>
      </c>
      <c r="Q42" s="7">
        <f>ROUND(195/E42,3)</f>
        <v>3.3620000000000001</v>
      </c>
      <c r="R42" s="7">
        <f>ROUND(164/E42,3)</f>
        <v>2.8279999999999998</v>
      </c>
      <c r="S42" s="7">
        <f>ROUND(54/E42,3)</f>
        <v>0.93100000000000005</v>
      </c>
      <c r="T42" s="7">
        <f>ROUND(14.3/E42,3)</f>
        <v>0.247</v>
      </c>
      <c r="U42" s="7">
        <f>ROUND(68/E42,3)</f>
        <v>1.1719999999999999</v>
      </c>
      <c r="V42" s="7">
        <f>ROUND(49/E42,3)</f>
        <v>0.84499999999999997</v>
      </c>
      <c r="W42" s="7">
        <f>ROUND(13.37/E42,3)</f>
        <v>0.23100000000000001</v>
      </c>
      <c r="X42" s="7">
        <v>0.59</v>
      </c>
      <c r="Y42" s="7">
        <v>0.62</v>
      </c>
      <c r="Z42" s="7">
        <v>0.62</v>
      </c>
      <c r="AA42" s="7">
        <f>ROUND(55.03/E42,3)</f>
        <v>0.94899999999999995</v>
      </c>
      <c r="AB42" s="7">
        <f>ROUND(11/E42,3)</f>
        <v>0.19</v>
      </c>
      <c r="AC42" s="7">
        <v>8478445</v>
      </c>
    </row>
    <row r="43" spans="1:29" ht="15" customHeight="1" x14ac:dyDescent="0.2">
      <c r="A43" s="7" t="s">
        <v>195</v>
      </c>
      <c r="B43" s="7" t="s">
        <v>60</v>
      </c>
      <c r="C43" s="7" t="s">
        <v>135</v>
      </c>
      <c r="D43" s="7">
        <v>24</v>
      </c>
      <c r="E43" s="7">
        <v>82</v>
      </c>
      <c r="F43" s="7">
        <f>ROUND(22/E43,3)</f>
        <v>0.26800000000000002</v>
      </c>
      <c r="G43" s="7">
        <f>ROUND(40/E43,3)</f>
        <v>0.48799999999999999</v>
      </c>
      <c r="H43" s="7">
        <f>ROUND(249/E43,3)</f>
        <v>3.0369999999999999</v>
      </c>
      <c r="I43" s="7">
        <f>ROUND(115/E43,3)</f>
        <v>1.4019999999999999</v>
      </c>
      <c r="J43" s="7">
        <f>ROUND(30/E43,3)</f>
        <v>0.36599999999999999</v>
      </c>
      <c r="K43" s="7">
        <f t="shared" si="2"/>
        <v>9.1760000000000002</v>
      </c>
      <c r="L43" s="7">
        <f>ROUND(1525.7/E43,3)</f>
        <v>18.606000000000002</v>
      </c>
      <c r="M43" s="7">
        <f>ROUND(33/E43,3)</f>
        <v>0.40200000000000002</v>
      </c>
      <c r="N43" s="7" t="s">
        <v>595</v>
      </c>
      <c r="O43" s="7" t="s">
        <v>596</v>
      </c>
      <c r="P43" s="7">
        <f>ROUND(443/E43,3)</f>
        <v>5.4020000000000001</v>
      </c>
      <c r="Q43" s="7">
        <f>ROUND(362/E43,3)</f>
        <v>4.415</v>
      </c>
      <c r="R43" s="7">
        <f>ROUND(292/E43,3)</f>
        <v>3.5609999999999999</v>
      </c>
      <c r="S43" s="7">
        <f>ROUND(133/E43,3)</f>
        <v>1.6220000000000001</v>
      </c>
      <c r="T43" s="7">
        <f>ROUND(33.95/E43,3)</f>
        <v>0.41399999999999998</v>
      </c>
      <c r="U43" s="7">
        <f>ROUND(38/E43,3)</f>
        <v>0.46300000000000002</v>
      </c>
      <c r="V43" s="7">
        <f>ROUND(38/E43,3)</f>
        <v>0.46300000000000002</v>
      </c>
      <c r="W43" s="7">
        <f>ROUND(33.2/E43,3)</f>
        <v>0.40500000000000003</v>
      </c>
      <c r="X43" s="7">
        <v>0.61</v>
      </c>
      <c r="Y43" s="7">
        <v>0.6</v>
      </c>
      <c r="Z43" s="7">
        <v>0.61</v>
      </c>
      <c r="AA43" s="7">
        <f>ROUND(62.91/E43,3)</f>
        <v>0.76700000000000002</v>
      </c>
      <c r="AB43" s="7">
        <f>ROUND(36/E43,3)</f>
        <v>0.439</v>
      </c>
      <c r="AC43" s="7">
        <v>8480208</v>
      </c>
    </row>
    <row r="44" spans="1:29" ht="15" customHeight="1" x14ac:dyDescent="0.2">
      <c r="A44" s="7" t="s">
        <v>198</v>
      </c>
      <c r="B44" s="7" t="s">
        <v>55</v>
      </c>
      <c r="C44" s="7" t="s">
        <v>146</v>
      </c>
      <c r="D44" s="7">
        <v>32</v>
      </c>
      <c r="E44" s="7">
        <v>80</v>
      </c>
      <c r="F44" s="7">
        <f>ROUND(36/E44,3)</f>
        <v>0.45</v>
      </c>
      <c r="G44" s="7">
        <f>ROUND(44/E44,3)</f>
        <v>0.55000000000000004</v>
      </c>
      <c r="H44" s="7">
        <f>ROUND(277/E44,3)</f>
        <v>3.4630000000000001</v>
      </c>
      <c r="I44" s="7">
        <f>ROUND(112/E44,3)</f>
        <v>1.4</v>
      </c>
      <c r="J44" s="7">
        <f>ROUND(33/E44,3)</f>
        <v>0.41299999999999998</v>
      </c>
      <c r="K44" s="7">
        <f t="shared" si="2"/>
        <v>11.475999999999999</v>
      </c>
      <c r="L44" s="7">
        <f>ROUND(1412.5166666667/E44,3)</f>
        <v>17.655999999999999</v>
      </c>
      <c r="M44" s="7">
        <f>ROUND(34/E44,3)</f>
        <v>0.42499999999999999</v>
      </c>
      <c r="N44" s="7" t="s">
        <v>597</v>
      </c>
      <c r="O44" s="7" t="s">
        <v>598</v>
      </c>
      <c r="P44" s="7">
        <f>ROUND(464/E44,3)</f>
        <v>5.8</v>
      </c>
      <c r="Q44" s="7">
        <f>ROUND(392/E44,3)</f>
        <v>4.9000000000000004</v>
      </c>
      <c r="R44" s="7">
        <f>ROUND(370/E44,3)</f>
        <v>4.625</v>
      </c>
      <c r="S44" s="7">
        <f>ROUND(224/E44,3)</f>
        <v>2.8</v>
      </c>
      <c r="T44" s="7">
        <f>ROUND(43.82/E44,3)</f>
        <v>0.54800000000000004</v>
      </c>
      <c r="U44" s="7">
        <f>ROUND(54/E44,3)</f>
        <v>0.67500000000000004</v>
      </c>
      <c r="V44" s="7">
        <f>ROUND(46/E44,3)</f>
        <v>0.57499999999999996</v>
      </c>
      <c r="W44" s="7">
        <f>ROUND(45.11/E44,3)</f>
        <v>0.56399999999999995</v>
      </c>
      <c r="X44" s="7">
        <v>0.63</v>
      </c>
      <c r="Y44" s="7">
        <v>0.6</v>
      </c>
      <c r="Z44" s="7">
        <v>0.6</v>
      </c>
      <c r="AA44" s="7">
        <f>ROUND(82.92/E44,3)</f>
        <v>1.0369999999999999</v>
      </c>
      <c r="AB44" s="7">
        <f>ROUND(64/E44,3)</f>
        <v>0.8</v>
      </c>
      <c r="AC44" s="7">
        <v>8475166</v>
      </c>
    </row>
    <row r="45" spans="1:29" ht="15" customHeight="1" x14ac:dyDescent="0.2">
      <c r="A45" s="7" t="s">
        <v>201</v>
      </c>
      <c r="B45" s="7" t="s">
        <v>92</v>
      </c>
      <c r="C45" s="7" t="s">
        <v>72</v>
      </c>
      <c r="D45" s="7">
        <v>26</v>
      </c>
      <c r="E45" s="7">
        <v>45</v>
      </c>
      <c r="F45" s="7">
        <f>ROUND(12/E45,3)</f>
        <v>0.26700000000000002</v>
      </c>
      <c r="G45" s="7">
        <f>ROUND(26/E45,3)</f>
        <v>0.57799999999999996</v>
      </c>
      <c r="H45" s="7">
        <f>ROUND(132/E45,3)</f>
        <v>2.9329999999999998</v>
      </c>
      <c r="I45" s="7">
        <f>ROUND(36/E45,3)</f>
        <v>0.8</v>
      </c>
      <c r="J45" s="7">
        <f>ROUND(7/E45,3)</f>
        <v>0.156</v>
      </c>
      <c r="K45" s="7">
        <f t="shared" si="2"/>
        <v>9.093</v>
      </c>
      <c r="L45" s="7">
        <f>ROUND(704.16666666667/E45,3)</f>
        <v>15.648</v>
      </c>
      <c r="M45" s="7">
        <f>ROUND(11/E45,3)</f>
        <v>0.24399999999999999</v>
      </c>
      <c r="N45" s="7" t="s">
        <v>599</v>
      </c>
      <c r="O45" s="7" t="s">
        <v>600</v>
      </c>
      <c r="P45" s="7">
        <f>ROUND(293/E45,3)</f>
        <v>6.5110000000000001</v>
      </c>
      <c r="Q45" s="7">
        <f>ROUND(207/E45,3)</f>
        <v>4.5999999999999996</v>
      </c>
      <c r="R45" s="7">
        <f>ROUND(134/E45,3)</f>
        <v>2.9780000000000002</v>
      </c>
      <c r="S45" s="7">
        <f>ROUND(37/E45,3)</f>
        <v>0.82199999999999995</v>
      </c>
      <c r="T45" s="7">
        <f>ROUND(11.92/E45,3)</f>
        <v>0.26500000000000001</v>
      </c>
      <c r="U45" s="7">
        <f>ROUND(23/E45,3)</f>
        <v>0.51100000000000001</v>
      </c>
      <c r="V45" s="7">
        <f>ROUND(30/E45,3)</f>
        <v>0.66700000000000004</v>
      </c>
      <c r="W45" s="7">
        <f>ROUND(11.67/E45,3)</f>
        <v>0.25900000000000001</v>
      </c>
      <c r="X45" s="7">
        <v>0.6</v>
      </c>
      <c r="Y45" s="7">
        <v>0.63</v>
      </c>
      <c r="Z45" s="7">
        <v>0.62</v>
      </c>
      <c r="AA45" s="7">
        <f>ROUND(46.2/E45,3)</f>
        <v>1.0269999999999999</v>
      </c>
      <c r="AB45" s="7">
        <f>ROUND(8/E45,3)</f>
        <v>0.17799999999999999</v>
      </c>
      <c r="AC45" s="7">
        <v>8477940</v>
      </c>
    </row>
    <row r="46" spans="1:29" ht="15" customHeight="1" x14ac:dyDescent="0.2">
      <c r="A46" s="7" t="s">
        <v>204</v>
      </c>
      <c r="B46" s="7" t="s">
        <v>92</v>
      </c>
      <c r="C46" s="7" t="s">
        <v>153</v>
      </c>
      <c r="D46" s="7">
        <v>24</v>
      </c>
      <c r="E46" s="7">
        <v>82</v>
      </c>
      <c r="F46" s="7">
        <f>ROUND(32/E46,3)</f>
        <v>0.39</v>
      </c>
      <c r="G46" s="7">
        <f>ROUND(41/E46,3)</f>
        <v>0.5</v>
      </c>
      <c r="H46" s="7">
        <f>ROUND(212/E46,3)</f>
        <v>2.585</v>
      </c>
      <c r="I46" s="7">
        <f>ROUND(24/E46,3)</f>
        <v>0.29299999999999998</v>
      </c>
      <c r="J46" s="7">
        <f>ROUND(4/E46,3)</f>
        <v>4.9000000000000002E-2</v>
      </c>
      <c r="K46" s="7">
        <f t="shared" si="2"/>
        <v>8.9004999999999992</v>
      </c>
      <c r="L46" s="7">
        <f>ROUND(1424.1333333333/E46,3)</f>
        <v>17.367000000000001</v>
      </c>
      <c r="M46" s="7">
        <f>ROUND(6/E46,3)</f>
        <v>7.2999999999999995E-2</v>
      </c>
      <c r="N46" s="7" t="s">
        <v>601</v>
      </c>
      <c r="O46" s="7" t="s">
        <v>340</v>
      </c>
      <c r="P46" s="7">
        <f>ROUND(381/E46,3)</f>
        <v>4.6459999999999999</v>
      </c>
      <c r="Q46" s="7">
        <f>ROUND(303/E46,3)</f>
        <v>3.6949999999999998</v>
      </c>
      <c r="R46" s="7">
        <f>ROUND(242/E46,3)</f>
        <v>2.9510000000000001</v>
      </c>
      <c r="S46" s="7">
        <f>ROUND(94/E46,3)</f>
        <v>1.1459999999999999</v>
      </c>
      <c r="T46" s="7">
        <f>ROUND(23.44/E46,3)</f>
        <v>0.28599999999999998</v>
      </c>
      <c r="U46" s="7">
        <f>ROUND(44/E46,3)</f>
        <v>0.53700000000000003</v>
      </c>
      <c r="V46" s="7">
        <f>ROUND(41/E46,3)</f>
        <v>0.5</v>
      </c>
      <c r="W46" s="7">
        <f>ROUND(26.58/E46,3)</f>
        <v>0.32400000000000001</v>
      </c>
      <c r="X46" s="7">
        <v>0.65</v>
      </c>
      <c r="Y46" s="7">
        <v>0.65</v>
      </c>
      <c r="Z46" s="7">
        <v>0.64</v>
      </c>
      <c r="AA46" s="7">
        <f>ROUND(89.15/E46,3)</f>
        <v>1.087</v>
      </c>
      <c r="AB46" s="7">
        <f>ROUND(23/E46,3)</f>
        <v>0.28000000000000003</v>
      </c>
      <c r="AC46" s="7">
        <v>8479407</v>
      </c>
    </row>
    <row r="47" spans="1:29" ht="15" customHeight="1" x14ac:dyDescent="0.2">
      <c r="A47" s="7" t="s">
        <v>208</v>
      </c>
      <c r="B47" s="7" t="s">
        <v>60</v>
      </c>
      <c r="C47" s="7" t="s">
        <v>80</v>
      </c>
      <c r="D47" s="7">
        <v>22</v>
      </c>
      <c r="E47" s="7">
        <v>64</v>
      </c>
      <c r="F47" s="7">
        <f>ROUND(23/E47,3)</f>
        <v>0.35899999999999999</v>
      </c>
      <c r="G47" s="7">
        <f>ROUND(32/E47,3)</f>
        <v>0.5</v>
      </c>
      <c r="H47" s="7">
        <f>ROUND(205/E47,3)</f>
        <v>3.2029999999999998</v>
      </c>
      <c r="I47" s="7">
        <f>ROUND(140/E47,3)</f>
        <v>2.1880000000000002</v>
      </c>
      <c r="J47" s="7">
        <f>ROUND(16/E47,3)</f>
        <v>0.25</v>
      </c>
      <c r="K47" s="7">
        <f t="shared" si="2"/>
        <v>10.418999999999999</v>
      </c>
      <c r="L47" s="7">
        <f>ROUND(1155.0833333333/E47,3)</f>
        <v>18.047999999999998</v>
      </c>
      <c r="M47" s="7">
        <f>ROUND(71/E47,3)</f>
        <v>1.109</v>
      </c>
      <c r="N47" s="7" t="s">
        <v>602</v>
      </c>
      <c r="O47" s="7" t="s">
        <v>603</v>
      </c>
      <c r="P47" s="7">
        <f>ROUND(411/E47,3)</f>
        <v>6.4219999999999997</v>
      </c>
      <c r="Q47" s="7">
        <f>ROUND(318/E47,3)</f>
        <v>4.9690000000000003</v>
      </c>
      <c r="R47" s="7">
        <f>ROUND(227/E47,3)</f>
        <v>3.5470000000000002</v>
      </c>
      <c r="S47" s="7">
        <f>ROUND(88/E47,3)</f>
        <v>1.375</v>
      </c>
      <c r="T47" s="7">
        <f>ROUND(24.61/E47,3)</f>
        <v>0.38500000000000001</v>
      </c>
      <c r="U47" s="7">
        <f>ROUND(49/E47,3)</f>
        <v>0.76600000000000001</v>
      </c>
      <c r="V47" s="7">
        <f>ROUND(35/E47,3)</f>
        <v>0.54700000000000004</v>
      </c>
      <c r="W47" s="7">
        <f>ROUND(24.46/E47,3)</f>
        <v>0.38200000000000001</v>
      </c>
      <c r="X47" s="7">
        <v>0.65</v>
      </c>
      <c r="Y47" s="7">
        <v>0.67</v>
      </c>
      <c r="Z47" s="7">
        <v>0.65</v>
      </c>
      <c r="AA47" s="7">
        <f>ROUND(74.97/E47,3)</f>
        <v>1.171</v>
      </c>
      <c r="AB47" s="7">
        <f>ROUND(26/E47,3)</f>
        <v>0.40600000000000003</v>
      </c>
      <c r="AC47" s="7">
        <v>8480830</v>
      </c>
    </row>
    <row r="48" spans="1:29" ht="15" customHeight="1" x14ac:dyDescent="0.2">
      <c r="A48" s="7" t="s">
        <v>211</v>
      </c>
      <c r="B48" s="7" t="s">
        <v>92</v>
      </c>
      <c r="D48" s="7">
        <v>18</v>
      </c>
      <c r="K48" s="7"/>
      <c r="AC48" s="7">
        <v>8483445</v>
      </c>
    </row>
    <row r="49" spans="1:29" ht="15" customHeight="1" x14ac:dyDescent="0.2">
      <c r="A49" s="7" t="s">
        <v>212</v>
      </c>
      <c r="B49" s="7" t="s">
        <v>55</v>
      </c>
      <c r="C49" s="7" t="s">
        <v>213</v>
      </c>
      <c r="D49" s="7">
        <v>24</v>
      </c>
      <c r="E49" s="7">
        <v>69</v>
      </c>
      <c r="F49" s="7">
        <f>ROUND(9/E49,3)</f>
        <v>0.13</v>
      </c>
      <c r="G49" s="7">
        <f>ROUND(19/E49,3)</f>
        <v>0.27500000000000002</v>
      </c>
      <c r="H49" s="7">
        <f>ROUND(81/E49,3)</f>
        <v>1.1739999999999999</v>
      </c>
      <c r="I49" s="7">
        <f>ROUND(53/E49,3)</f>
        <v>0.76800000000000002</v>
      </c>
      <c r="J49" s="7">
        <f>ROUND(27/E49,3)</f>
        <v>0.39100000000000001</v>
      </c>
      <c r="K49" s="7">
        <f>8*F49+6*G49+1*H49+1*J49+0.5*I49</f>
        <v>4.6390000000000011</v>
      </c>
      <c r="L49" s="7">
        <f>ROUND(721.4/E49,3)</f>
        <v>10.455</v>
      </c>
      <c r="M49" s="7">
        <f>ROUND(24/E49,3)</f>
        <v>0.34799999999999998</v>
      </c>
      <c r="N49" s="7" t="s">
        <v>605</v>
      </c>
      <c r="O49" s="7" t="s">
        <v>316</v>
      </c>
      <c r="P49" s="7">
        <f>ROUND(131/E49,3)</f>
        <v>1.899</v>
      </c>
      <c r="Q49" s="7">
        <f>ROUND(115/E49,3)</f>
        <v>1.667</v>
      </c>
      <c r="R49" s="7">
        <f>ROUND(74/E49,3)</f>
        <v>1.0720000000000001</v>
      </c>
      <c r="S49" s="7">
        <f>ROUND(40/E49,3)</f>
        <v>0.57999999999999996</v>
      </c>
      <c r="T49" s="7">
        <f>ROUND(8.25/E49,3)</f>
        <v>0.12</v>
      </c>
      <c r="U49" s="7">
        <f>ROUND(14/E49,3)</f>
        <v>0.20300000000000001</v>
      </c>
      <c r="V49" s="7">
        <f>ROUND(29/E49,3)</f>
        <v>0.42</v>
      </c>
      <c r="W49" s="7">
        <f>ROUND(9.39/E49,3)</f>
        <v>0.13600000000000001</v>
      </c>
      <c r="X49" s="7">
        <v>0.47</v>
      </c>
      <c r="Y49" s="7">
        <v>0.47</v>
      </c>
      <c r="Z49" s="7">
        <v>0.49</v>
      </c>
      <c r="AA49" s="7">
        <f>ROUND(28.08/E49,3)</f>
        <v>0.40699999999999997</v>
      </c>
      <c r="AB49" s="7">
        <f>ROUND(8/E49,3)</f>
        <v>0.11600000000000001</v>
      </c>
      <c r="AC49" s="7">
        <v>8479987</v>
      </c>
    </row>
    <row r="50" spans="1:29" ht="15" customHeight="1" x14ac:dyDescent="0.2">
      <c r="A50" s="7" t="s">
        <v>216</v>
      </c>
      <c r="B50" s="7" t="s">
        <v>55</v>
      </c>
      <c r="C50" s="7" t="s">
        <v>184</v>
      </c>
      <c r="D50" s="7">
        <v>23</v>
      </c>
      <c r="E50" s="7">
        <v>63</v>
      </c>
      <c r="F50" s="7">
        <f>ROUND(23/E50,3)</f>
        <v>0.36499999999999999</v>
      </c>
      <c r="G50" s="7">
        <f>ROUND(18/E50,3)</f>
        <v>0.28599999999999998</v>
      </c>
      <c r="H50" s="7">
        <f>ROUND(122/E50,3)</f>
        <v>1.9370000000000001</v>
      </c>
      <c r="I50" s="7">
        <f>ROUND(41/E50,3)</f>
        <v>0.65100000000000002</v>
      </c>
      <c r="J50" s="7">
        <f>ROUND(9/E50,3)</f>
        <v>0.14299999999999999</v>
      </c>
      <c r="K50" s="7">
        <f>8*F50+6*G50+1*H50+1*J50+0.5*I50</f>
        <v>7.0414999999999992</v>
      </c>
      <c r="L50" s="7">
        <f>ROUND(983.01666666667/E50,3)</f>
        <v>15.603</v>
      </c>
      <c r="M50" s="7">
        <f>ROUND(18/E50,3)</f>
        <v>0.28599999999999998</v>
      </c>
      <c r="N50" s="7" t="s">
        <v>606</v>
      </c>
      <c r="O50" s="7" t="s">
        <v>607</v>
      </c>
      <c r="P50" s="7">
        <f>ROUND(207/E50,3)</f>
        <v>3.286</v>
      </c>
      <c r="Q50" s="7">
        <f>ROUND(161/E50,3)</f>
        <v>2.556</v>
      </c>
      <c r="R50" s="7">
        <f>ROUND(155/E50,3)</f>
        <v>2.46</v>
      </c>
      <c r="S50" s="7">
        <f>ROUND(79/E50,3)</f>
        <v>1.254</v>
      </c>
      <c r="T50" s="7">
        <f>ROUND(17.02/E50,3)</f>
        <v>0.27</v>
      </c>
      <c r="U50" s="7">
        <f>ROUND(16/E50,3)</f>
        <v>0.254</v>
      </c>
      <c r="V50" s="7">
        <f>ROUND(23/E50,3)</f>
        <v>0.36499999999999999</v>
      </c>
      <c r="W50" s="7">
        <f>ROUND(17.5/E50,3)</f>
        <v>0.27800000000000002</v>
      </c>
      <c r="X50" s="7">
        <v>0.63</v>
      </c>
      <c r="Y50" s="7">
        <v>0.6</v>
      </c>
      <c r="Z50" s="7">
        <v>0.61</v>
      </c>
      <c r="AA50" s="7">
        <f>ROUND(49.16/E50,3)</f>
        <v>0.78</v>
      </c>
      <c r="AB50" s="7">
        <f>ROUND(24/E50,3)</f>
        <v>0.38100000000000001</v>
      </c>
      <c r="AC50" s="7">
        <v>8480014</v>
      </c>
    </row>
    <row r="51" spans="1:29" ht="15" customHeight="1" x14ac:dyDescent="0.2">
      <c r="A51" s="7" t="s">
        <v>219</v>
      </c>
      <c r="B51" s="7" t="s">
        <v>60</v>
      </c>
      <c r="C51" s="7" t="s">
        <v>220</v>
      </c>
      <c r="D51" s="7">
        <v>25</v>
      </c>
      <c r="E51" s="7">
        <v>60</v>
      </c>
      <c r="F51" s="7">
        <f>ROUND(31/E51,3)</f>
        <v>0.51700000000000002</v>
      </c>
      <c r="G51" s="7">
        <f>ROUND(30/E51,3)</f>
        <v>0.5</v>
      </c>
      <c r="H51" s="7">
        <f>ROUND(191/E51,3)</f>
        <v>3.1829999999999998</v>
      </c>
      <c r="I51" s="7">
        <f>ROUND(55/E51,3)</f>
        <v>0.91700000000000004</v>
      </c>
      <c r="J51" s="7">
        <f>ROUND(34/E51,3)</f>
        <v>0.56699999999999995</v>
      </c>
      <c r="K51" s="7">
        <f>8*F51+6*G51+1*H51+1*J51+0.5*I51</f>
        <v>11.3445</v>
      </c>
      <c r="L51" s="7">
        <f>ROUND(1206.9833333333/E51,3)</f>
        <v>20.116</v>
      </c>
      <c r="M51" s="7">
        <f>ROUND(77/E51,3)</f>
        <v>1.2829999999999999</v>
      </c>
      <c r="N51" s="7" t="s">
        <v>608</v>
      </c>
      <c r="O51" s="7" t="s">
        <v>609</v>
      </c>
      <c r="P51" s="7">
        <f>ROUND(358/E51,3)</f>
        <v>5.9669999999999996</v>
      </c>
      <c r="Q51" s="7">
        <f>ROUND(272/E51,3)</f>
        <v>4.5330000000000004</v>
      </c>
      <c r="R51" s="7">
        <f>ROUND(207/E51,3)</f>
        <v>3.45</v>
      </c>
      <c r="S51" s="7">
        <f>ROUND(88/E51,3)</f>
        <v>1.4670000000000001</v>
      </c>
      <c r="T51" s="7">
        <f>ROUND(22.23/E51,3)</f>
        <v>0.371</v>
      </c>
      <c r="U51" s="7">
        <f>ROUND(26/E51,3)</f>
        <v>0.433</v>
      </c>
      <c r="V51" s="7">
        <f>ROUND(34/E51,3)</f>
        <v>0.56699999999999995</v>
      </c>
      <c r="W51" s="7">
        <f>ROUND(23.29/E51,3)</f>
        <v>0.38800000000000001</v>
      </c>
      <c r="X51" s="7">
        <v>0.47</v>
      </c>
      <c r="Y51" s="7">
        <v>0.5</v>
      </c>
      <c r="Z51" s="7">
        <v>0.5</v>
      </c>
      <c r="AA51" s="7">
        <f>ROUND(58.13/E51,3)</f>
        <v>0.96899999999999997</v>
      </c>
      <c r="AB51" s="7">
        <f>ROUND(23/E51,3)</f>
        <v>0.38300000000000001</v>
      </c>
      <c r="AC51" s="7">
        <v>8478439</v>
      </c>
    </row>
    <row r="52" spans="1:29" ht="15" customHeight="1" x14ac:dyDescent="0.2">
      <c r="A52" s="7" t="s">
        <v>224</v>
      </c>
      <c r="B52" s="7" t="s">
        <v>55</v>
      </c>
      <c r="C52" s="7" t="s">
        <v>160</v>
      </c>
      <c r="D52" s="7">
        <v>26</v>
      </c>
      <c r="E52" s="7">
        <v>80</v>
      </c>
      <c r="F52" s="7">
        <f>ROUND(32/E52,3)</f>
        <v>0.4</v>
      </c>
      <c r="G52" s="7">
        <f>ROUND(47/E52,3)</f>
        <v>0.58799999999999997</v>
      </c>
      <c r="H52" s="7">
        <f>ROUND(244/E52,3)</f>
        <v>3.05</v>
      </c>
      <c r="I52" s="7">
        <f>ROUND(47/E52,3)</f>
        <v>0.58799999999999997</v>
      </c>
      <c r="J52" s="7">
        <f>ROUND(22/E52,3)</f>
        <v>0.27500000000000002</v>
      </c>
      <c r="K52" s="7">
        <f>8*F52+6*G52+1*H52+1*J52+0.5*I52</f>
        <v>10.347</v>
      </c>
      <c r="L52" s="7">
        <f>ROUND(1564.45/E52,3)</f>
        <v>19.556000000000001</v>
      </c>
      <c r="M52" s="7">
        <f>ROUND(45/E52,3)</f>
        <v>0.56299999999999994</v>
      </c>
      <c r="N52" s="7" t="s">
        <v>611</v>
      </c>
      <c r="O52" s="7" t="s">
        <v>612</v>
      </c>
      <c r="P52" s="7">
        <f>ROUND(465/E52,3)</f>
        <v>5.8129999999999997</v>
      </c>
      <c r="Q52" s="7">
        <f>ROUND(348/E52,3)</f>
        <v>4.3499999999999996</v>
      </c>
      <c r="R52" s="7">
        <f>ROUND(269/E52,3)</f>
        <v>3.363</v>
      </c>
      <c r="S52" s="7">
        <f>ROUND(99/E52,3)</f>
        <v>1.238</v>
      </c>
      <c r="T52" s="7">
        <f>ROUND(27.67/E52,3)</f>
        <v>0.34599999999999997</v>
      </c>
      <c r="U52" s="7">
        <f>ROUND(47/E52,3)</f>
        <v>0.58799999999999997</v>
      </c>
      <c r="V52" s="7">
        <f>ROUND(56/E52,3)</f>
        <v>0.7</v>
      </c>
      <c r="W52" s="7">
        <f>ROUND(27.39/E52,3)</f>
        <v>0.34200000000000003</v>
      </c>
      <c r="X52" s="7">
        <v>0.54</v>
      </c>
      <c r="Y52" s="7">
        <v>0.54</v>
      </c>
      <c r="Z52" s="7">
        <v>0.54</v>
      </c>
      <c r="AA52" s="7">
        <f>ROUND(71.84/E52,3)</f>
        <v>0.89800000000000002</v>
      </c>
      <c r="AB52" s="7">
        <f>ROUND(26/E52,3)</f>
        <v>0.32500000000000001</v>
      </c>
      <c r="AC52" s="7">
        <v>8477946</v>
      </c>
    </row>
    <row r="53" spans="1:29" ht="15" customHeight="1" x14ac:dyDescent="0.2">
      <c r="A53" s="7" t="s">
        <v>227</v>
      </c>
      <c r="B53" s="7" t="s">
        <v>55</v>
      </c>
      <c r="D53" s="7">
        <v>17</v>
      </c>
      <c r="K53" s="7"/>
      <c r="AC53" s="7">
        <v>8484153</v>
      </c>
    </row>
    <row r="54" spans="1:29" ht="15" customHeight="1" x14ac:dyDescent="0.2">
      <c r="A54" s="7" t="s">
        <v>228</v>
      </c>
      <c r="B54" s="7" t="s">
        <v>60</v>
      </c>
      <c r="C54" s="7" t="s">
        <v>380</v>
      </c>
      <c r="D54" s="7">
        <v>22</v>
      </c>
      <c r="E54" s="7">
        <v>59</v>
      </c>
      <c r="F54" s="7">
        <f>ROUND(21/E54,3)</f>
        <v>0.35599999999999998</v>
      </c>
      <c r="G54" s="7">
        <f>ROUND(4/E54,3)</f>
        <v>6.8000000000000005E-2</v>
      </c>
      <c r="H54" s="7">
        <f>ROUND(131/E54,3)</f>
        <v>2.2200000000000002</v>
      </c>
      <c r="I54" s="7">
        <f>ROUND(34/E54,3)</f>
        <v>0.57599999999999996</v>
      </c>
      <c r="J54" s="7">
        <f>ROUND(35/E54,3)</f>
        <v>0.59299999999999997</v>
      </c>
      <c r="K54" s="7">
        <f t="shared" ref="K54:K68" si="3">8*F54+6*G54+1*H54+1*J54+0.5*I54</f>
        <v>6.3570000000000002</v>
      </c>
      <c r="L54" s="7">
        <f>ROUND(955.16666666667/E54,3)</f>
        <v>16.189</v>
      </c>
      <c r="M54" s="7">
        <f>ROUND(16/E54,3)</f>
        <v>0.27100000000000002</v>
      </c>
      <c r="N54" s="7" t="s">
        <v>613</v>
      </c>
      <c r="O54" s="7" t="s">
        <v>63</v>
      </c>
      <c r="P54" s="7">
        <f>ROUND(253/E54,3)</f>
        <v>4.2880000000000003</v>
      </c>
      <c r="Q54" s="7">
        <f>ROUND(186/E54,3)</f>
        <v>3.153</v>
      </c>
      <c r="R54" s="7">
        <f>ROUND(174/E54,3)</f>
        <v>2.9489999999999998</v>
      </c>
      <c r="S54" s="7">
        <f>ROUND(69/E54,3)</f>
        <v>1.169</v>
      </c>
      <c r="T54" s="7">
        <f>ROUND(16.31/E54,3)</f>
        <v>0.27600000000000002</v>
      </c>
      <c r="U54" s="7">
        <f>ROUND(19/E54,3)</f>
        <v>0.32200000000000001</v>
      </c>
      <c r="V54" s="7">
        <f>ROUND(31/E54,3)</f>
        <v>0.52500000000000002</v>
      </c>
      <c r="W54" s="7">
        <f>ROUND(15.97/E54,3)</f>
        <v>0.27100000000000002</v>
      </c>
      <c r="X54" s="7">
        <v>0.52</v>
      </c>
      <c r="Y54" s="7">
        <v>0.54</v>
      </c>
      <c r="Z54" s="7">
        <v>0.54</v>
      </c>
      <c r="AA54" s="7">
        <f>ROUND(22.74/E54,3)</f>
        <v>0.38500000000000001</v>
      </c>
      <c r="AB54" s="7">
        <f>ROUND(20/E54,3)</f>
        <v>0.33900000000000002</v>
      </c>
      <c r="AC54" s="7">
        <v>8480893</v>
      </c>
    </row>
    <row r="55" spans="1:29" ht="15" customHeight="1" x14ac:dyDescent="0.2">
      <c r="A55" s="7" t="s">
        <v>229</v>
      </c>
      <c r="B55" s="7" t="s">
        <v>55</v>
      </c>
      <c r="C55" s="7" t="s">
        <v>230</v>
      </c>
      <c r="D55" s="7">
        <v>21</v>
      </c>
      <c r="E55" s="7">
        <v>81</v>
      </c>
      <c r="F55" s="7">
        <f>ROUND(23/E55,3)</f>
        <v>0.28399999999999997</v>
      </c>
      <c r="G55" s="7">
        <f>ROUND(42/E55,3)</f>
        <v>0.51900000000000002</v>
      </c>
      <c r="H55" s="7">
        <f>ROUND(184/E55,3)</f>
        <v>2.2719999999999998</v>
      </c>
      <c r="I55" s="7">
        <f>ROUND(46/E55,3)</f>
        <v>0.56799999999999995</v>
      </c>
      <c r="J55" s="7">
        <f>ROUND(27/E55,3)</f>
        <v>0.33300000000000002</v>
      </c>
      <c r="K55" s="7">
        <f t="shared" si="3"/>
        <v>8.2750000000000004</v>
      </c>
      <c r="L55" s="7">
        <f>ROUND(1525/E55,3)</f>
        <v>18.827000000000002</v>
      </c>
      <c r="M55" s="7">
        <f>ROUND(88/E55,3)</f>
        <v>1.0860000000000001</v>
      </c>
      <c r="N55" s="7" t="s">
        <v>615</v>
      </c>
      <c r="O55" s="7" t="s">
        <v>162</v>
      </c>
      <c r="P55" s="7">
        <f>ROUND(369/E55,3)</f>
        <v>4.556</v>
      </c>
      <c r="Q55" s="7">
        <f>ROUND(257/E55,3)</f>
        <v>3.173</v>
      </c>
      <c r="R55" s="7">
        <f>ROUND(196/E55,3)</f>
        <v>2.42</v>
      </c>
      <c r="S55" s="7">
        <f>ROUND(52/E55,3)</f>
        <v>0.64200000000000002</v>
      </c>
      <c r="T55" s="7">
        <f>ROUND(16.29/E55,3)</f>
        <v>0.20100000000000001</v>
      </c>
      <c r="U55" s="7">
        <f>ROUND(75/E55,3)</f>
        <v>0.92600000000000005</v>
      </c>
      <c r="V55" s="7">
        <f>ROUND(31/E55,3)</f>
        <v>0.38300000000000001</v>
      </c>
      <c r="W55" s="7">
        <f>ROUND(15.24/E55,3)</f>
        <v>0.188</v>
      </c>
      <c r="X55" s="7">
        <v>0.48</v>
      </c>
      <c r="Y55" s="7">
        <v>0.54</v>
      </c>
      <c r="Z55" s="7">
        <v>0.52</v>
      </c>
      <c r="AA55" s="7">
        <f>ROUND(47.91/E55,3)</f>
        <v>0.59099999999999997</v>
      </c>
      <c r="AB55" s="7">
        <f>ROUND(11/E55,3)</f>
        <v>0.13600000000000001</v>
      </c>
      <c r="AC55" s="7">
        <v>8481533</v>
      </c>
    </row>
    <row r="56" spans="1:29" ht="15" customHeight="1" x14ac:dyDescent="0.2">
      <c r="A56" s="7" t="s">
        <v>233</v>
      </c>
      <c r="B56" s="7" t="s">
        <v>55</v>
      </c>
      <c r="C56" s="7" t="s">
        <v>61</v>
      </c>
      <c r="D56" s="7">
        <v>32</v>
      </c>
      <c r="E56" s="7">
        <v>81</v>
      </c>
      <c r="F56" s="7">
        <f>ROUND(34/E56,3)</f>
        <v>0.42</v>
      </c>
      <c r="G56" s="7">
        <f>ROUND(50/E56,3)</f>
        <v>0.61699999999999999</v>
      </c>
      <c r="H56" s="7">
        <f>ROUND(240/E56,3)</f>
        <v>2.9630000000000001</v>
      </c>
      <c r="I56" s="7">
        <f>ROUND(92/E56,3)</f>
        <v>1.1359999999999999</v>
      </c>
      <c r="J56" s="7">
        <f>ROUND(9/E56,3)</f>
        <v>0.111</v>
      </c>
      <c r="K56" s="7">
        <f t="shared" si="3"/>
        <v>10.703999999999999</v>
      </c>
      <c r="L56" s="7">
        <f>ROUND(1540.6833333333/E56,3)</f>
        <v>19.021000000000001</v>
      </c>
      <c r="M56" s="7">
        <f>ROUND(46/E56,3)</f>
        <v>0.56799999999999995</v>
      </c>
      <c r="N56" s="7" t="s">
        <v>616</v>
      </c>
      <c r="O56" s="7" t="s">
        <v>158</v>
      </c>
      <c r="P56" s="7">
        <f>ROUND(449/E56,3)</f>
        <v>5.5430000000000001</v>
      </c>
      <c r="Q56" s="7">
        <f>ROUND(343/E56,3)</f>
        <v>4.2350000000000003</v>
      </c>
      <c r="R56" s="7">
        <f>ROUND(280/E56,3)</f>
        <v>3.4569999999999999</v>
      </c>
      <c r="S56" s="7">
        <f>ROUND(84/E56,3)</f>
        <v>1.0369999999999999</v>
      </c>
      <c r="T56" s="7">
        <f>ROUND(29.26/E56,3)</f>
        <v>0.36099999999999999</v>
      </c>
      <c r="U56" s="7">
        <f>ROUND(54/E56,3)</f>
        <v>0.66700000000000004</v>
      </c>
      <c r="V56" s="7">
        <f>ROUND(25/E56,3)</f>
        <v>0.309</v>
      </c>
      <c r="W56" s="7">
        <f>ROUND(34.44/E56,3)</f>
        <v>0.42499999999999999</v>
      </c>
      <c r="X56" s="7">
        <v>0.59</v>
      </c>
      <c r="Y56" s="7">
        <v>0.57999999999999996</v>
      </c>
      <c r="Z56" s="7">
        <v>0.56999999999999995</v>
      </c>
      <c r="AA56" s="7">
        <f>ROUND(78.21/E56,3)</f>
        <v>0.96599999999999997</v>
      </c>
      <c r="AB56" s="7">
        <f>ROUND(32/E56,3)</f>
        <v>0.39500000000000002</v>
      </c>
      <c r="AC56" s="7">
        <v>8474564</v>
      </c>
    </row>
    <row r="57" spans="1:29" ht="15" customHeight="1" x14ac:dyDescent="0.2">
      <c r="A57" s="7" t="s">
        <v>236</v>
      </c>
      <c r="B57" s="7" t="s">
        <v>60</v>
      </c>
      <c r="C57" s="7" t="s">
        <v>138</v>
      </c>
      <c r="D57" s="7">
        <v>26</v>
      </c>
      <c r="E57" s="7">
        <v>74</v>
      </c>
      <c r="F57" s="7">
        <f>ROUND(36/E57,3)</f>
        <v>0.48599999999999999</v>
      </c>
      <c r="G57" s="7">
        <f>ROUND(43/E57,3)</f>
        <v>0.58099999999999996</v>
      </c>
      <c r="H57" s="7">
        <f>ROUND(218/E57,3)</f>
        <v>2.9460000000000002</v>
      </c>
      <c r="I57" s="7">
        <f>ROUND(54/E57,3)</f>
        <v>0.73</v>
      </c>
      <c r="J57" s="7">
        <f>ROUND(40/E57,3)</f>
        <v>0.54100000000000004</v>
      </c>
      <c r="K57" s="7">
        <f t="shared" si="3"/>
        <v>11.226000000000001</v>
      </c>
      <c r="L57" s="7">
        <f>ROUND(1417.4/E57,3)</f>
        <v>19.154</v>
      </c>
      <c r="M57" s="7">
        <f>ROUND(20/E57,3)</f>
        <v>0.27</v>
      </c>
      <c r="N57" s="7" t="s">
        <v>617</v>
      </c>
      <c r="O57" s="7" t="s">
        <v>567</v>
      </c>
      <c r="P57" s="7">
        <f>ROUND(363/E57,3)</f>
        <v>4.9050000000000002</v>
      </c>
      <c r="Q57" s="7">
        <f>ROUND(307/E57,3)</f>
        <v>4.149</v>
      </c>
      <c r="R57" s="7">
        <f>ROUND(215/E57,3)</f>
        <v>2.9049999999999998</v>
      </c>
      <c r="S57" s="7">
        <f>ROUND(93/E57,3)</f>
        <v>1.2569999999999999</v>
      </c>
      <c r="T57" s="7">
        <f>ROUND(26.01/E57,3)</f>
        <v>0.35099999999999998</v>
      </c>
      <c r="U57" s="7">
        <f>ROUND(38/E57,3)</f>
        <v>0.51400000000000001</v>
      </c>
      <c r="V57" s="7">
        <f>ROUND(64/E57,3)</f>
        <v>0.86499999999999999</v>
      </c>
      <c r="W57" s="7">
        <f>ROUND(28.9/E57,3)</f>
        <v>0.39100000000000001</v>
      </c>
      <c r="X57" s="7">
        <v>0.55000000000000004</v>
      </c>
      <c r="Y57" s="7">
        <v>0.56999999999999995</v>
      </c>
      <c r="Z57" s="7">
        <v>0.56000000000000005</v>
      </c>
      <c r="AA57" s="7">
        <f>ROUND(84.19/E57,3)</f>
        <v>1.1379999999999999</v>
      </c>
      <c r="AB57" s="7">
        <f>ROUND(33/E57,3)</f>
        <v>0.44600000000000001</v>
      </c>
      <c r="AC57" s="7">
        <v>8477949</v>
      </c>
    </row>
    <row r="58" spans="1:29" ht="15" customHeight="1" x14ac:dyDescent="0.2">
      <c r="A58" s="7" t="s">
        <v>239</v>
      </c>
      <c r="B58" s="7" t="s">
        <v>55</v>
      </c>
      <c r="C58" s="7" t="s">
        <v>80</v>
      </c>
      <c r="D58" s="7">
        <v>20</v>
      </c>
      <c r="E58" s="7">
        <v>82</v>
      </c>
      <c r="F58" s="7">
        <f>ROUND(14/E58,3)</f>
        <v>0.17100000000000001</v>
      </c>
      <c r="G58" s="7">
        <f>ROUND(25/E58,3)</f>
        <v>0.30499999999999999</v>
      </c>
      <c r="H58" s="7">
        <f>ROUND(187/E58,3)</f>
        <v>2.2799999999999998</v>
      </c>
      <c r="I58" s="7">
        <f>ROUND(73/E58,3)</f>
        <v>0.89</v>
      </c>
      <c r="J58" s="7">
        <f>ROUND(41/E58,3)</f>
        <v>0.5</v>
      </c>
      <c r="K58" s="7">
        <f t="shared" si="3"/>
        <v>6.423</v>
      </c>
      <c r="L58" s="7">
        <f>ROUND(1328.6833333333/E58,3)</f>
        <v>16.202999999999999</v>
      </c>
      <c r="M58" s="7">
        <f>ROUND(12/E58,3)</f>
        <v>0.14599999999999999</v>
      </c>
      <c r="N58" s="7" t="s">
        <v>618</v>
      </c>
      <c r="O58" s="7" t="s">
        <v>619</v>
      </c>
      <c r="P58" s="7">
        <f>ROUND(325/E58,3)</f>
        <v>3.9630000000000001</v>
      </c>
      <c r="Q58" s="7">
        <f>ROUND(257/E58,3)</f>
        <v>3.1339999999999999</v>
      </c>
      <c r="R58" s="7">
        <f>ROUND(216/E58,3)</f>
        <v>2.6339999999999999</v>
      </c>
      <c r="S58" s="7">
        <f>ROUND(129/E58,3)</f>
        <v>1.573</v>
      </c>
      <c r="T58" s="7">
        <f>ROUND(24.75/E58,3)</f>
        <v>0.30199999999999999</v>
      </c>
      <c r="U58" s="7">
        <f>ROUND(30/E58,3)</f>
        <v>0.36599999999999999</v>
      </c>
      <c r="V58" s="7">
        <f>ROUND(37/E58,3)</f>
        <v>0.45100000000000001</v>
      </c>
      <c r="W58" s="7">
        <f>ROUND(25.2/E58,3)</f>
        <v>0.307</v>
      </c>
      <c r="X58" s="7">
        <v>0.64</v>
      </c>
      <c r="Y58" s="7">
        <v>0.63</v>
      </c>
      <c r="Z58" s="7">
        <v>0.62</v>
      </c>
      <c r="AA58" s="7">
        <f>ROUND(63.79/E58,3)</f>
        <v>0.77800000000000002</v>
      </c>
      <c r="AB58" s="7">
        <f>ROUND(37/E58,3)</f>
        <v>0.45100000000000001</v>
      </c>
      <c r="AC58" s="7">
        <v>8482093</v>
      </c>
    </row>
    <row r="59" spans="1:29" ht="15" customHeight="1" x14ac:dyDescent="0.2">
      <c r="A59" s="7" t="s">
        <v>243</v>
      </c>
      <c r="B59" s="7" t="s">
        <v>55</v>
      </c>
      <c r="C59" s="7" t="s">
        <v>153</v>
      </c>
      <c r="D59" s="7">
        <v>23</v>
      </c>
      <c r="E59" s="7">
        <v>81</v>
      </c>
      <c r="F59" s="7">
        <f>ROUND(31/E59,3)</f>
        <v>0.38300000000000001</v>
      </c>
      <c r="G59" s="7">
        <f>ROUND(49/E59,3)</f>
        <v>0.60499999999999998</v>
      </c>
      <c r="H59" s="7">
        <f>ROUND(257/E59,3)</f>
        <v>3.173</v>
      </c>
      <c r="I59" s="7">
        <f>ROUND(34/E59,3)</f>
        <v>0.42</v>
      </c>
      <c r="J59" s="7">
        <f>ROUND(9/E59,3)</f>
        <v>0.111</v>
      </c>
      <c r="K59" s="7">
        <f t="shared" si="3"/>
        <v>10.188000000000002</v>
      </c>
      <c r="L59" s="7">
        <f>ROUND(1562.4333333333/E59,3)</f>
        <v>19.289000000000001</v>
      </c>
      <c r="M59" s="7">
        <f>ROUND(10/E59,3)</f>
        <v>0.123</v>
      </c>
      <c r="N59" s="7" t="s">
        <v>620</v>
      </c>
      <c r="O59" s="7" t="s">
        <v>621</v>
      </c>
      <c r="P59" s="7">
        <f>ROUND(418/E59,3)</f>
        <v>5.16</v>
      </c>
      <c r="Q59" s="7">
        <f>ROUND(343/E59,3)</f>
        <v>4.2350000000000003</v>
      </c>
      <c r="R59" s="7">
        <f>ROUND(287/E59,3)</f>
        <v>3.5430000000000001</v>
      </c>
      <c r="S59" s="7">
        <f>ROUND(156/E59,3)</f>
        <v>1.9259999999999999</v>
      </c>
      <c r="T59" s="7">
        <f>ROUND(35.79/E59,3)</f>
        <v>0.442</v>
      </c>
      <c r="U59" s="7">
        <f>ROUND(41/E59,3)</f>
        <v>0.50600000000000001</v>
      </c>
      <c r="V59" s="7">
        <f>ROUND(64/E59,3)</f>
        <v>0.79</v>
      </c>
      <c r="W59" s="7">
        <f>ROUND(37.92/E59,3)</f>
        <v>0.46800000000000003</v>
      </c>
      <c r="X59" s="7">
        <v>0.61</v>
      </c>
      <c r="Y59" s="7">
        <v>0.56999999999999995</v>
      </c>
      <c r="Z59" s="7">
        <v>0.57999999999999996</v>
      </c>
      <c r="AA59" s="7">
        <f>ROUND(95.95/E59,3)</f>
        <v>1.1850000000000001</v>
      </c>
      <c r="AB59" s="7">
        <f>ROUND(50/E59,3)</f>
        <v>0.61699999999999999</v>
      </c>
      <c r="AC59" s="7">
        <v>8480002</v>
      </c>
    </row>
    <row r="60" spans="1:29" ht="15" customHeight="1" x14ac:dyDescent="0.2">
      <c r="A60" s="7" t="s">
        <v>246</v>
      </c>
      <c r="B60" s="7" t="s">
        <v>92</v>
      </c>
      <c r="C60" s="7" t="s">
        <v>146</v>
      </c>
      <c r="D60" s="7">
        <v>19</v>
      </c>
      <c r="E60" s="7">
        <v>3</v>
      </c>
      <c r="F60" s="7">
        <f>ROUND(0/E60,3)</f>
        <v>0</v>
      </c>
      <c r="G60" s="7">
        <f>ROUND(1/E60,3)</f>
        <v>0.33300000000000002</v>
      </c>
      <c r="H60" s="7">
        <f>ROUND(4/E60,3)</f>
        <v>1.333</v>
      </c>
      <c r="I60" s="7">
        <f>ROUND(2/E60,3)</f>
        <v>0.66700000000000004</v>
      </c>
      <c r="J60" s="7">
        <f>ROUND(1/E60,3)</f>
        <v>0.33300000000000002</v>
      </c>
      <c r="K60" s="7">
        <f t="shared" si="3"/>
        <v>3.9975000000000005</v>
      </c>
      <c r="L60" s="7">
        <f>ROUND(39.333333333333/E60,3)</f>
        <v>13.111000000000001</v>
      </c>
      <c r="M60" s="7">
        <f>ROUND(2/E60,3)</f>
        <v>0.66700000000000004</v>
      </c>
      <c r="N60" s="7" t="s">
        <v>112</v>
      </c>
      <c r="O60" s="7" t="s">
        <v>207</v>
      </c>
      <c r="P60" s="7">
        <f>ROUND(7/E60,3)</f>
        <v>2.3330000000000002</v>
      </c>
      <c r="Q60" s="7">
        <f>ROUND(5/E60,3)</f>
        <v>1.667</v>
      </c>
      <c r="R60" s="7">
        <f>ROUND(6/E60,3)</f>
        <v>2</v>
      </c>
      <c r="S60" s="7">
        <f>ROUND(3/E60,3)</f>
        <v>1</v>
      </c>
      <c r="T60" s="7">
        <f>ROUND(0.63/E60,3)</f>
        <v>0.21</v>
      </c>
      <c r="U60" s="7">
        <f>ROUND(1/E60,3)</f>
        <v>0.33300000000000002</v>
      </c>
      <c r="V60" s="7">
        <f>ROUND(3/E60,3)</f>
        <v>1</v>
      </c>
      <c r="W60" s="7">
        <f>ROUND(0.66/E60,3)</f>
        <v>0.22</v>
      </c>
      <c r="X60" s="7">
        <v>0.63</v>
      </c>
      <c r="Y60" s="7">
        <v>0.51</v>
      </c>
      <c r="Z60" s="7">
        <v>0.54</v>
      </c>
      <c r="AA60" s="7">
        <f>ROUND(1.35/E60,3)</f>
        <v>0.45</v>
      </c>
      <c r="AB60" s="7">
        <f>ROUND(2/E60,3)</f>
        <v>0.66700000000000004</v>
      </c>
      <c r="AC60" s="7">
        <v>8482720</v>
      </c>
    </row>
    <row r="61" spans="1:29" ht="15" customHeight="1" x14ac:dyDescent="0.2">
      <c r="A61" s="7" t="s">
        <v>247</v>
      </c>
      <c r="B61" s="7" t="s">
        <v>55</v>
      </c>
      <c r="C61" s="7" t="s">
        <v>191</v>
      </c>
      <c r="D61" s="7">
        <v>30</v>
      </c>
      <c r="E61" s="7">
        <v>82</v>
      </c>
      <c r="F61" s="7">
        <f>ROUND(36/E61,3)</f>
        <v>0.439</v>
      </c>
      <c r="G61" s="7">
        <f>ROUND(39/E61,3)</f>
        <v>0.47599999999999998</v>
      </c>
      <c r="H61" s="7">
        <f>ROUND(222/E61,3)</f>
        <v>2.7069999999999999</v>
      </c>
      <c r="I61" s="7">
        <f>ROUND(50/E61,3)</f>
        <v>0.61</v>
      </c>
      <c r="J61" s="7">
        <f>ROUND(42/E61,3)</f>
        <v>0.51200000000000001</v>
      </c>
      <c r="K61" s="7">
        <f t="shared" si="3"/>
        <v>9.8919999999999995</v>
      </c>
      <c r="L61" s="7">
        <f>ROUND(1511.7/E61,3)</f>
        <v>18.434999999999999</v>
      </c>
      <c r="M61" s="7">
        <f>ROUND(24/E61,3)</f>
        <v>0.29299999999999998</v>
      </c>
      <c r="N61" s="7" t="s">
        <v>622</v>
      </c>
      <c r="O61" s="7" t="s">
        <v>623</v>
      </c>
      <c r="P61" s="7">
        <f>ROUND(418/E61,3)</f>
        <v>5.0979999999999999</v>
      </c>
      <c r="Q61" s="7">
        <f>ROUND(298/E61,3)</f>
        <v>3.6339999999999999</v>
      </c>
      <c r="R61" s="7">
        <f>ROUND(271/E61,3)</f>
        <v>3.3050000000000002</v>
      </c>
      <c r="S61" s="7">
        <f>ROUND(111/E61,3)</f>
        <v>1.3540000000000001</v>
      </c>
      <c r="T61" s="7">
        <f>ROUND(25.78/E61,3)</f>
        <v>0.314</v>
      </c>
      <c r="U61" s="7">
        <f>ROUND(40/E61,3)</f>
        <v>0.48799999999999999</v>
      </c>
      <c r="V61" s="7">
        <f>ROUND(48/E61,3)</f>
        <v>0.58499999999999996</v>
      </c>
      <c r="W61" s="7">
        <f>ROUND(29.32/E61,3)</f>
        <v>0.35799999999999998</v>
      </c>
      <c r="X61" s="7">
        <v>0.56000000000000005</v>
      </c>
      <c r="Y61" s="7">
        <v>0.56000000000000005</v>
      </c>
      <c r="Z61" s="7">
        <v>0.55000000000000004</v>
      </c>
      <c r="AA61" s="7">
        <f>ROUND(75.38/E61,3)</f>
        <v>0.91900000000000004</v>
      </c>
      <c r="AB61" s="7">
        <f>ROUND(36/E61,3)</f>
        <v>0.439</v>
      </c>
      <c r="AC61" s="7">
        <v>8475754</v>
      </c>
    </row>
    <row r="62" spans="1:29" ht="15" customHeight="1" x14ac:dyDescent="0.2">
      <c r="A62" s="7" t="s">
        <v>250</v>
      </c>
      <c r="B62" s="7" t="s">
        <v>55</v>
      </c>
      <c r="C62" s="7" t="s">
        <v>84</v>
      </c>
      <c r="D62" s="7">
        <v>25</v>
      </c>
      <c r="E62" s="7">
        <v>82</v>
      </c>
      <c r="F62" s="7">
        <f>ROUND(21/E62,3)</f>
        <v>0.25600000000000001</v>
      </c>
      <c r="G62" s="7">
        <f>ROUND(36/E62,3)</f>
        <v>0.439</v>
      </c>
      <c r="H62" s="7">
        <f>ROUND(131/E62,3)</f>
        <v>1.5980000000000001</v>
      </c>
      <c r="I62" s="7">
        <f>ROUND(67/E62,3)</f>
        <v>0.81699999999999995</v>
      </c>
      <c r="J62" s="7">
        <f>ROUND(18/E62,3)</f>
        <v>0.22</v>
      </c>
      <c r="K62" s="7">
        <f t="shared" si="3"/>
        <v>6.9085000000000001</v>
      </c>
      <c r="L62" s="7">
        <f>ROUND(1316.5833333333/E62,3)</f>
        <v>16.056000000000001</v>
      </c>
      <c r="M62" s="7">
        <f>ROUND(16/E62,3)</f>
        <v>0.19500000000000001</v>
      </c>
      <c r="N62" s="7" t="s">
        <v>624</v>
      </c>
      <c r="O62" s="7" t="s">
        <v>63</v>
      </c>
      <c r="P62" s="7">
        <f>ROUND(220/E62,3)</f>
        <v>2.6829999999999998</v>
      </c>
      <c r="Q62" s="7">
        <f>ROUND(179/E62,3)</f>
        <v>2.1829999999999998</v>
      </c>
      <c r="R62" s="7">
        <f>ROUND(165/E62,3)</f>
        <v>2.012</v>
      </c>
      <c r="S62" s="7">
        <f>ROUND(71/E62,3)</f>
        <v>0.86599999999999999</v>
      </c>
      <c r="T62" s="7">
        <f>ROUND(16.25/E62,3)</f>
        <v>0.19800000000000001</v>
      </c>
      <c r="U62" s="7">
        <f>ROUND(35/E62,3)</f>
        <v>0.42699999999999999</v>
      </c>
      <c r="V62" s="7">
        <f>ROUND(31/E62,3)</f>
        <v>0.378</v>
      </c>
      <c r="W62" s="7">
        <f>ROUND(16.91/E62,3)</f>
        <v>0.20599999999999999</v>
      </c>
      <c r="X62" s="7">
        <v>0.54</v>
      </c>
      <c r="Y62" s="7">
        <v>0.52</v>
      </c>
      <c r="Z62" s="7">
        <v>0.52</v>
      </c>
      <c r="AA62" s="7">
        <f>ROUND(53.05/E62,3)</f>
        <v>0.64700000000000002</v>
      </c>
      <c r="AB62" s="7">
        <f>ROUND(17/E62,3)</f>
        <v>0.20699999999999999</v>
      </c>
      <c r="AC62" s="7">
        <v>8478401</v>
      </c>
    </row>
    <row r="63" spans="1:29" ht="15" customHeight="1" x14ac:dyDescent="0.2">
      <c r="A63" s="7" t="s">
        <v>253</v>
      </c>
      <c r="B63" s="7" t="s">
        <v>60</v>
      </c>
      <c r="C63" s="7" t="s">
        <v>114</v>
      </c>
      <c r="D63" s="7">
        <v>30</v>
      </c>
      <c r="E63" s="7">
        <v>81</v>
      </c>
      <c r="F63" s="7">
        <f>ROUND(20/E63,3)</f>
        <v>0.247</v>
      </c>
      <c r="G63" s="7">
        <f>ROUND(26/E63,3)</f>
        <v>0.32100000000000001</v>
      </c>
      <c r="H63" s="7">
        <f>ROUND(211/E63,3)</f>
        <v>2.605</v>
      </c>
      <c r="I63" s="7">
        <f>ROUND(98/E63,3)</f>
        <v>1.21</v>
      </c>
      <c r="J63" s="7">
        <f>ROUND(45/E63,3)</f>
        <v>0.55600000000000005</v>
      </c>
      <c r="K63" s="7">
        <f t="shared" si="3"/>
        <v>7.6679999999999993</v>
      </c>
      <c r="L63" s="7">
        <f>ROUND(1449.8666666667/E63,3)</f>
        <v>17.899999999999999</v>
      </c>
      <c r="M63" s="7">
        <f>ROUND(31/E63,3)</f>
        <v>0.38300000000000001</v>
      </c>
      <c r="N63" s="7" t="s">
        <v>625</v>
      </c>
      <c r="O63" s="7" t="s">
        <v>626</v>
      </c>
      <c r="P63" s="7">
        <f>ROUND(364/E63,3)</f>
        <v>4.4939999999999998</v>
      </c>
      <c r="Q63" s="7">
        <f>ROUND(301/E63,3)</f>
        <v>3.7160000000000002</v>
      </c>
      <c r="R63" s="7">
        <f>ROUND(248/E63,3)</f>
        <v>3.0619999999999998</v>
      </c>
      <c r="S63" s="7">
        <f>ROUND(139/E63,3)</f>
        <v>1.716</v>
      </c>
      <c r="T63" s="7">
        <f>ROUND(28.09/E63,3)</f>
        <v>0.34699999999999998</v>
      </c>
      <c r="U63" s="7">
        <f>ROUND(58/E63,3)</f>
        <v>0.71599999999999997</v>
      </c>
      <c r="V63" s="7">
        <f>ROUND(37/E63,3)</f>
        <v>0.45700000000000002</v>
      </c>
      <c r="W63" s="7">
        <f>ROUND(27.18/E63,3)</f>
        <v>0.33600000000000002</v>
      </c>
      <c r="X63" s="7">
        <v>0.51</v>
      </c>
      <c r="Y63" s="7">
        <v>0.53</v>
      </c>
      <c r="Z63" s="7">
        <v>0.53</v>
      </c>
      <c r="AA63" s="7">
        <f>ROUND(58.92/E63,3)</f>
        <v>0.72699999999999998</v>
      </c>
      <c r="AB63" s="7">
        <f>ROUND(34/E63,3)</f>
        <v>0.42</v>
      </c>
      <c r="AC63" s="7">
        <v>8475810</v>
      </c>
    </row>
    <row r="64" spans="1:29" ht="15" customHeight="1" x14ac:dyDescent="0.2">
      <c r="A64" s="7" t="s">
        <v>257</v>
      </c>
      <c r="B64" s="7" t="s">
        <v>60</v>
      </c>
      <c r="C64" s="7" t="s">
        <v>102</v>
      </c>
      <c r="D64" s="7">
        <v>21</v>
      </c>
      <c r="E64" s="7">
        <v>18</v>
      </c>
      <c r="F64" s="7">
        <f>ROUND(7/E64,3)</f>
        <v>0.38900000000000001</v>
      </c>
      <c r="G64" s="7">
        <f>ROUND(2/E64,3)</f>
        <v>0.111</v>
      </c>
      <c r="H64" s="7">
        <f>ROUND(40/E64,3)</f>
        <v>2.222</v>
      </c>
      <c r="I64" s="7">
        <f>ROUND(3/E64,3)</f>
        <v>0.16700000000000001</v>
      </c>
      <c r="J64" s="7">
        <f>ROUND(8/E64,3)</f>
        <v>0.44400000000000001</v>
      </c>
      <c r="K64" s="7">
        <f t="shared" si="3"/>
        <v>6.5274999999999999</v>
      </c>
      <c r="L64" s="7">
        <f>ROUND(256.15/E64,3)</f>
        <v>14.231</v>
      </c>
      <c r="M64" s="7">
        <f>ROUND(6/E64,3)</f>
        <v>0.33300000000000002</v>
      </c>
      <c r="N64" s="7" t="s">
        <v>251</v>
      </c>
      <c r="O64" s="7" t="s">
        <v>627</v>
      </c>
      <c r="P64" s="7">
        <f>ROUND(68/E64,3)</f>
        <v>3.778</v>
      </c>
      <c r="Q64" s="7">
        <f>ROUND(49/E64,3)</f>
        <v>2.722</v>
      </c>
      <c r="R64" s="7">
        <f>ROUND(45/E64,3)</f>
        <v>2.5</v>
      </c>
      <c r="S64" s="7">
        <f>ROUND(24/E64,3)</f>
        <v>1.333</v>
      </c>
      <c r="T64" s="7">
        <f>ROUND(5.67/E64,3)</f>
        <v>0.315</v>
      </c>
      <c r="U64" s="7">
        <f>ROUND(6/E64,3)</f>
        <v>0.33300000000000002</v>
      </c>
      <c r="V64" s="7">
        <f>ROUND(5/E64,3)</f>
        <v>0.27800000000000002</v>
      </c>
      <c r="W64" s="7">
        <f>ROUND(5.35/E64,3)</f>
        <v>0.29699999999999999</v>
      </c>
      <c r="X64" s="7">
        <v>0.6</v>
      </c>
      <c r="Y64" s="7">
        <v>0.52</v>
      </c>
      <c r="Z64" s="7">
        <v>0.54</v>
      </c>
      <c r="AA64" s="7">
        <f>ROUND(9.34/E64,3)</f>
        <v>0.51900000000000002</v>
      </c>
      <c r="AB64" s="7">
        <f>ROUND(8/E64,3)</f>
        <v>0.44400000000000001</v>
      </c>
      <c r="AC64" s="7">
        <v>8481604</v>
      </c>
    </row>
    <row r="65" spans="1:29" ht="15" customHeight="1" x14ac:dyDescent="0.2">
      <c r="A65" s="7" t="s">
        <v>258</v>
      </c>
      <c r="B65" s="7" t="s">
        <v>60</v>
      </c>
      <c r="C65" s="7" t="s">
        <v>259</v>
      </c>
      <c r="D65" s="7">
        <v>28</v>
      </c>
      <c r="E65" s="7">
        <v>67</v>
      </c>
      <c r="F65" s="7">
        <f>ROUND(11/E65,3)</f>
        <v>0.16400000000000001</v>
      </c>
      <c r="G65" s="7">
        <f>ROUND(16/E65,3)</f>
        <v>0.23899999999999999</v>
      </c>
      <c r="H65" s="7">
        <f>ROUND(119/E65,3)</f>
        <v>1.776</v>
      </c>
      <c r="I65" s="7">
        <f>ROUND(68/E65,3)</f>
        <v>1.0149999999999999</v>
      </c>
      <c r="J65" s="7">
        <f>ROUND(20/E65,3)</f>
        <v>0.29899999999999999</v>
      </c>
      <c r="K65" s="7">
        <f t="shared" si="3"/>
        <v>5.3285000000000009</v>
      </c>
      <c r="L65" s="7">
        <f>ROUND(952.63333333333/E65,3)</f>
        <v>14.218</v>
      </c>
      <c r="M65" s="7">
        <f>ROUND(31/E65,3)</f>
        <v>0.46300000000000002</v>
      </c>
      <c r="N65" s="7" t="s">
        <v>185</v>
      </c>
      <c r="O65" s="7" t="s">
        <v>628</v>
      </c>
      <c r="P65" s="7">
        <f>ROUND(203/E65,3)</f>
        <v>3.03</v>
      </c>
      <c r="Q65" s="7">
        <f>ROUND(156/E65,3)</f>
        <v>2.3279999999999998</v>
      </c>
      <c r="R65" s="7">
        <f>ROUND(131/E65,3)</f>
        <v>1.9550000000000001</v>
      </c>
      <c r="S65" s="7">
        <f>ROUND(58/E65,3)</f>
        <v>0.86599999999999999</v>
      </c>
      <c r="T65" s="7">
        <f>ROUND(12.36/E65,3)</f>
        <v>0.184</v>
      </c>
      <c r="U65" s="7">
        <f>ROUND(33/E65,3)</f>
        <v>0.49299999999999999</v>
      </c>
      <c r="V65" s="7">
        <f>ROUND(23/E65,3)</f>
        <v>0.34300000000000003</v>
      </c>
      <c r="W65" s="7">
        <f>ROUND(13.28/E65,3)</f>
        <v>0.19800000000000001</v>
      </c>
      <c r="X65" s="7">
        <v>0.53</v>
      </c>
      <c r="Y65" s="7">
        <v>0.53</v>
      </c>
      <c r="Z65" s="7">
        <v>0.53</v>
      </c>
      <c r="AA65" s="7">
        <f>ROUND(31.93/E65,3)</f>
        <v>0.47699999999999998</v>
      </c>
      <c r="AB65" s="7">
        <f>ROUND(10/E65,3)</f>
        <v>0.14899999999999999</v>
      </c>
      <c r="AC65" s="7">
        <v>8477511</v>
      </c>
    </row>
    <row r="66" spans="1:29" ht="15" customHeight="1" x14ac:dyDescent="0.2">
      <c r="A66" s="7" t="s">
        <v>263</v>
      </c>
      <c r="B66" s="7" t="s">
        <v>92</v>
      </c>
      <c r="C66" s="7" t="s">
        <v>259</v>
      </c>
      <c r="D66" s="7">
        <v>37</v>
      </c>
      <c r="E66" s="7">
        <v>73</v>
      </c>
      <c r="F66" s="7">
        <f>ROUND(42/E66,3)</f>
        <v>0.57499999999999996</v>
      </c>
      <c r="G66" s="7">
        <f>ROUND(33/E66,3)</f>
        <v>0.45200000000000001</v>
      </c>
      <c r="H66" s="7">
        <f>ROUND(294/E66,3)</f>
        <v>4.0270000000000001</v>
      </c>
      <c r="I66" s="7">
        <f>ROUND(188/E66,3)</f>
        <v>2.5750000000000002</v>
      </c>
      <c r="J66" s="7">
        <f>ROUND(19/E66,3)</f>
        <v>0.26</v>
      </c>
      <c r="K66" s="7">
        <f t="shared" si="3"/>
        <v>12.886499999999998</v>
      </c>
      <c r="L66" s="7">
        <f>ROUND(1474.9/E66,3)</f>
        <v>20.204000000000001</v>
      </c>
      <c r="M66" s="7">
        <f>ROUND(48/E66,3)</f>
        <v>0.65800000000000003</v>
      </c>
      <c r="N66" s="7" t="s">
        <v>630</v>
      </c>
      <c r="O66" s="7" t="s">
        <v>100</v>
      </c>
      <c r="P66" s="7">
        <f>ROUND(578/E66,3)</f>
        <v>7.9180000000000001</v>
      </c>
      <c r="Q66" s="7">
        <f>ROUND(412/E66,3)</f>
        <v>5.6440000000000001</v>
      </c>
      <c r="R66" s="7">
        <f>ROUND(273/E66,3)</f>
        <v>3.74</v>
      </c>
      <c r="S66" s="7">
        <f>ROUND(94/E66,3)</f>
        <v>1.288</v>
      </c>
      <c r="T66" s="7">
        <f>ROUND(34.51/E66,3)</f>
        <v>0.47299999999999998</v>
      </c>
      <c r="U66" s="7">
        <f>ROUND(52/E66,3)</f>
        <v>0.71199999999999997</v>
      </c>
      <c r="V66" s="7">
        <f>ROUND(31/E66,3)</f>
        <v>0.42499999999999999</v>
      </c>
      <c r="W66" s="7">
        <f>ROUND(37.37/E66,3)</f>
        <v>0.51200000000000001</v>
      </c>
      <c r="X66" s="7">
        <v>0.56999999999999995</v>
      </c>
      <c r="Y66" s="7">
        <v>0.59</v>
      </c>
      <c r="Z66" s="7">
        <v>0.57999999999999996</v>
      </c>
      <c r="AA66" s="7">
        <f>ROUND(72.49/E66,3)</f>
        <v>0.99299999999999999</v>
      </c>
      <c r="AB66" s="7">
        <f>ROUND(44/E66,3)</f>
        <v>0.60299999999999998</v>
      </c>
      <c r="AC66" s="7">
        <v>8471214</v>
      </c>
    </row>
    <row r="67" spans="1:29" ht="15" customHeight="1" x14ac:dyDescent="0.2">
      <c r="A67" s="7" t="s">
        <v>266</v>
      </c>
      <c r="B67" s="7" t="s">
        <v>55</v>
      </c>
      <c r="C67" s="7" t="s">
        <v>180</v>
      </c>
      <c r="D67" s="7">
        <v>23</v>
      </c>
      <c r="E67" s="7">
        <v>73</v>
      </c>
      <c r="F67" s="7">
        <f>ROUND(18/E67,3)</f>
        <v>0.247</v>
      </c>
      <c r="G67" s="7">
        <f>ROUND(47/E67,3)</f>
        <v>0.64400000000000002</v>
      </c>
      <c r="H67" s="7">
        <f>ROUND(106/E67,3)</f>
        <v>1.452</v>
      </c>
      <c r="I67" s="7">
        <f>ROUND(15/E67,3)</f>
        <v>0.20499999999999999</v>
      </c>
      <c r="J67" s="7">
        <f>ROUND(28/E67,3)</f>
        <v>0.38400000000000001</v>
      </c>
      <c r="K67" s="7">
        <f t="shared" si="3"/>
        <v>7.7785000000000002</v>
      </c>
      <c r="L67" s="7">
        <f>ROUND(1412.0666666667/E67,3)</f>
        <v>19.343</v>
      </c>
      <c r="M67" s="7">
        <f>ROUND(22/E67,3)</f>
        <v>0.30099999999999999</v>
      </c>
      <c r="N67" s="7" t="s">
        <v>631</v>
      </c>
      <c r="O67" s="7" t="s">
        <v>632</v>
      </c>
      <c r="P67" s="7">
        <f>ROUND(175/E67,3)</f>
        <v>2.3969999999999998</v>
      </c>
      <c r="Q67" s="7">
        <f>ROUND(144/E67,3)</f>
        <v>1.9730000000000001</v>
      </c>
      <c r="R67" s="7">
        <f>ROUND(119/E67,3)</f>
        <v>1.63</v>
      </c>
      <c r="S67" s="7">
        <f>ROUND(52/E67,3)</f>
        <v>0.71199999999999997</v>
      </c>
      <c r="T67" s="7">
        <f>ROUND(12.55/E67,3)</f>
        <v>0.17199999999999999</v>
      </c>
      <c r="U67" s="7">
        <f>ROUND(40/E67,3)</f>
        <v>0.54800000000000004</v>
      </c>
      <c r="V67" s="7">
        <f>ROUND(67/E67,3)</f>
        <v>0.91800000000000004</v>
      </c>
      <c r="W67" s="7">
        <f>ROUND(13.36/E67,3)</f>
        <v>0.183</v>
      </c>
      <c r="X67" s="7">
        <v>0.44</v>
      </c>
      <c r="Y67" s="7">
        <v>0.5</v>
      </c>
      <c r="Z67" s="7">
        <v>0.49</v>
      </c>
      <c r="AA67" s="7">
        <f>ROUND(49.96/E67,3)</f>
        <v>0.68400000000000005</v>
      </c>
      <c r="AB67" s="7">
        <f>ROUND(11/E67,3)</f>
        <v>0.151</v>
      </c>
      <c r="AC67" s="7">
        <v>8480023</v>
      </c>
    </row>
    <row r="68" spans="1:29" ht="15" customHeight="1" x14ac:dyDescent="0.2">
      <c r="A68" s="7" t="s">
        <v>268</v>
      </c>
      <c r="B68" s="7" t="s">
        <v>60</v>
      </c>
      <c r="C68" s="7" t="s">
        <v>259</v>
      </c>
      <c r="D68" s="7">
        <v>28</v>
      </c>
      <c r="E68" s="7">
        <v>33</v>
      </c>
      <c r="F68" s="7">
        <f>ROUND(13/E68,3)</f>
        <v>0.39400000000000002</v>
      </c>
      <c r="G68" s="7">
        <f>ROUND(9/E68,3)</f>
        <v>0.27300000000000002</v>
      </c>
      <c r="H68" s="7">
        <f>ROUND(82/E68,3)</f>
        <v>2.4849999999999999</v>
      </c>
      <c r="I68" s="7">
        <f>ROUND(97/E68,3)</f>
        <v>2.9390000000000001</v>
      </c>
      <c r="J68" s="7">
        <f>ROUND(25/E68,3)</f>
        <v>0.75800000000000001</v>
      </c>
      <c r="K68" s="7">
        <f t="shared" si="3"/>
        <v>9.5025000000000013</v>
      </c>
      <c r="L68" s="7">
        <f>ROUND(581.36666666667/E68,3)</f>
        <v>17.617000000000001</v>
      </c>
      <c r="M68" s="7">
        <f>ROUND(78/E68,3)</f>
        <v>2.3639999999999999</v>
      </c>
      <c r="N68" s="7" t="s">
        <v>214</v>
      </c>
      <c r="O68" s="7" t="s">
        <v>633</v>
      </c>
      <c r="P68" s="7">
        <f>ROUND(141/E68,3)</f>
        <v>4.2729999999999997</v>
      </c>
      <c r="Q68" s="7">
        <f>ROUND(110/E68,3)</f>
        <v>3.3330000000000002</v>
      </c>
      <c r="R68" s="7">
        <f>ROUND(85/E68,3)</f>
        <v>2.5760000000000001</v>
      </c>
      <c r="S68" s="7">
        <f>ROUND(51/E68,3)</f>
        <v>1.5449999999999999</v>
      </c>
      <c r="T68" s="7">
        <f>ROUND(10.29/E68,3)</f>
        <v>0.312</v>
      </c>
      <c r="U68" s="7">
        <f>ROUND(10/E68,3)</f>
        <v>0.30299999999999999</v>
      </c>
      <c r="V68" s="7">
        <f>ROUND(13/E68,3)</f>
        <v>0.39400000000000002</v>
      </c>
      <c r="W68" s="7">
        <f>ROUND(10.48/E68,3)</f>
        <v>0.318</v>
      </c>
      <c r="X68" s="7">
        <v>0.45</v>
      </c>
      <c r="Y68" s="7">
        <v>0.49</v>
      </c>
      <c r="Z68" s="7">
        <v>0.49</v>
      </c>
      <c r="AA68" s="7">
        <f>ROUND(19.55/E68,3)</f>
        <v>0.59199999999999997</v>
      </c>
      <c r="AB68" s="7">
        <f>ROUND(14/E68,3)</f>
        <v>0.42399999999999999</v>
      </c>
      <c r="AC68" s="7">
        <v>8476880</v>
      </c>
    </row>
    <row r="69" spans="1:29" ht="15" customHeight="1" x14ac:dyDescent="0.2">
      <c r="A69" s="7" t="s">
        <v>272</v>
      </c>
      <c r="B69" s="7" t="s">
        <v>60</v>
      </c>
      <c r="D69" s="7">
        <v>16</v>
      </c>
      <c r="K69" s="7"/>
      <c r="AC69" s="7">
        <v>8484984</v>
      </c>
    </row>
    <row r="70" spans="1:29" ht="15" customHeight="1" x14ac:dyDescent="0.2">
      <c r="A70" s="7" t="s">
        <v>273</v>
      </c>
      <c r="B70" s="7" t="s">
        <v>55</v>
      </c>
      <c r="C70" s="7" t="s">
        <v>274</v>
      </c>
      <c r="D70" s="7">
        <v>26</v>
      </c>
      <c r="E70" s="7">
        <v>82</v>
      </c>
      <c r="F70" s="7">
        <f>ROUND(31/E70,3)</f>
        <v>0.378</v>
      </c>
      <c r="G70" s="7">
        <f>ROUND(36/E70,3)</f>
        <v>0.439</v>
      </c>
      <c r="H70" s="7">
        <f>ROUND(227/E70,3)</f>
        <v>2.7679999999999998</v>
      </c>
      <c r="I70" s="7">
        <f>ROUND(58/E70,3)</f>
        <v>0.70699999999999996</v>
      </c>
      <c r="J70" s="7">
        <f>ROUND(43/E70,3)</f>
        <v>0.52400000000000002</v>
      </c>
      <c r="K70" s="7">
        <f>8*F70+6*G70+1*H70+1*J70+0.5*I70</f>
        <v>9.3034999999999997</v>
      </c>
      <c r="L70" s="7">
        <f>ROUND(1622.05/E70,3)</f>
        <v>19.780999999999999</v>
      </c>
      <c r="M70" s="7">
        <f>ROUND(12/E70,3)</f>
        <v>0.14599999999999999</v>
      </c>
      <c r="N70" s="7" t="s">
        <v>634</v>
      </c>
      <c r="O70" s="7" t="s">
        <v>635</v>
      </c>
      <c r="P70" s="7">
        <f>ROUND(407/E70,3)</f>
        <v>4.9630000000000001</v>
      </c>
      <c r="Q70" s="7">
        <f>ROUND(330/E70,3)</f>
        <v>4.024</v>
      </c>
      <c r="R70" s="7">
        <f>ROUND(290/E70,3)</f>
        <v>3.5369999999999999</v>
      </c>
      <c r="S70" s="7">
        <f>ROUND(170/E70,3)</f>
        <v>2.073</v>
      </c>
      <c r="T70" s="7">
        <f>ROUND(36.88/E70,3)</f>
        <v>0.45</v>
      </c>
      <c r="U70" s="7">
        <f>ROUND(38/E70,3)</f>
        <v>0.46300000000000002</v>
      </c>
      <c r="V70" s="7">
        <f>ROUND(35/E70,3)</f>
        <v>0.42699999999999999</v>
      </c>
      <c r="W70" s="7">
        <f>ROUND(37.24/E70,3)</f>
        <v>0.45400000000000001</v>
      </c>
      <c r="X70" s="7">
        <v>0.61</v>
      </c>
      <c r="Y70" s="7">
        <v>0.61</v>
      </c>
      <c r="Z70" s="7">
        <v>0.61</v>
      </c>
      <c r="AA70" s="7">
        <f>ROUND(77.29/E70,3)</f>
        <v>0.94299999999999995</v>
      </c>
      <c r="AB70" s="7">
        <f>ROUND(49/E70,3)</f>
        <v>0.59799999999999998</v>
      </c>
      <c r="AC70" s="7">
        <v>8477933</v>
      </c>
    </row>
    <row r="71" spans="1:29" ht="15" customHeight="1" x14ac:dyDescent="0.2">
      <c r="A71" s="7" t="s">
        <v>277</v>
      </c>
      <c r="B71" s="7" t="s">
        <v>92</v>
      </c>
      <c r="C71" s="7" t="s">
        <v>636</v>
      </c>
      <c r="D71" s="7">
        <v>26</v>
      </c>
      <c r="E71" s="7">
        <v>82</v>
      </c>
      <c r="F71" s="7">
        <f>ROUND(16/E71,3)</f>
        <v>0.19500000000000001</v>
      </c>
      <c r="G71" s="7">
        <f>ROUND(29/E71,3)</f>
        <v>0.35399999999999998</v>
      </c>
      <c r="H71" s="7">
        <f>ROUND(126/E71,3)</f>
        <v>1.5369999999999999</v>
      </c>
      <c r="I71" s="7">
        <f>ROUND(182/E71,3)</f>
        <v>2.2200000000000002</v>
      </c>
      <c r="J71" s="7">
        <f>ROUND(41/E71,3)</f>
        <v>0.5</v>
      </c>
      <c r="K71" s="7">
        <f>8*F71+6*G71+1*H71+1*J71+0.5*I71</f>
        <v>6.8310000000000004</v>
      </c>
      <c r="L71" s="7">
        <f>ROUND(1374/E71,3)</f>
        <v>16.756</v>
      </c>
      <c r="M71" s="7">
        <f>ROUND(42/E71,3)</f>
        <v>0.51200000000000001</v>
      </c>
      <c r="N71" s="7" t="s">
        <v>637</v>
      </c>
      <c r="O71" s="7" t="s">
        <v>638</v>
      </c>
      <c r="P71" s="7">
        <f>ROUND(218/E71,3)</f>
        <v>2.6589999999999998</v>
      </c>
      <c r="Q71" s="7">
        <f>ROUND(177/E71,3)</f>
        <v>2.1589999999999998</v>
      </c>
      <c r="R71" s="7">
        <f>ROUND(169/E71,3)</f>
        <v>2.0609999999999999</v>
      </c>
      <c r="S71" s="7">
        <f>ROUND(89/E71,3)</f>
        <v>1.085</v>
      </c>
      <c r="T71" s="7">
        <f>ROUND(17.4/E71,3)</f>
        <v>0.21199999999999999</v>
      </c>
      <c r="U71" s="7">
        <f>ROUND(40/E71,3)</f>
        <v>0.48799999999999999</v>
      </c>
      <c r="V71" s="7">
        <f>ROUND(49/E71,3)</f>
        <v>0.59799999999999998</v>
      </c>
      <c r="W71" s="7">
        <f>ROUND(17.04/E71,3)</f>
        <v>0.20799999999999999</v>
      </c>
      <c r="X71" s="7">
        <v>0.51</v>
      </c>
      <c r="Y71" s="7">
        <v>0.49</v>
      </c>
      <c r="Z71" s="7">
        <v>0.49</v>
      </c>
      <c r="AA71" s="7">
        <f>ROUND(33.91/E71,3)</f>
        <v>0.41399999999999998</v>
      </c>
      <c r="AB71" s="7">
        <f>ROUND(17/E71,3)</f>
        <v>0.20699999999999999</v>
      </c>
      <c r="AC71" s="7">
        <v>8477964</v>
      </c>
    </row>
    <row r="72" spans="1:29" ht="15" customHeight="1" x14ac:dyDescent="0.2">
      <c r="A72" s="7" t="s">
        <v>279</v>
      </c>
      <c r="B72" s="7" t="s">
        <v>55</v>
      </c>
      <c r="C72" s="7" t="s">
        <v>114</v>
      </c>
      <c r="D72" s="7">
        <v>36</v>
      </c>
      <c r="E72" s="7">
        <v>82</v>
      </c>
      <c r="F72" s="7">
        <f>ROUND(27/E72,3)</f>
        <v>0.32900000000000001</v>
      </c>
      <c r="G72" s="7">
        <f>ROUND(56/E72,3)</f>
        <v>0.68300000000000005</v>
      </c>
      <c r="H72" s="7">
        <f>ROUND(240/E72,3)</f>
        <v>2.927</v>
      </c>
      <c r="I72" s="7">
        <f>ROUND(53/E72,3)</f>
        <v>0.64600000000000002</v>
      </c>
      <c r="J72" s="7">
        <f>ROUND(27/E72,3)</f>
        <v>0.32900000000000001</v>
      </c>
      <c r="K72" s="7">
        <f>8*F72+6*G72+1*H72+1*J72+0.5*I72</f>
        <v>10.309000000000001</v>
      </c>
      <c r="L72" s="7">
        <f>ROUND(1523.6/E72,3)</f>
        <v>18.579999999999998</v>
      </c>
      <c r="M72" s="7">
        <f>ROUND(82/E72,3)</f>
        <v>1</v>
      </c>
      <c r="N72" s="7" t="s">
        <v>639</v>
      </c>
      <c r="O72" s="7" t="s">
        <v>640</v>
      </c>
      <c r="P72" s="7">
        <f>ROUND(417/E72,3)</f>
        <v>5.085</v>
      </c>
      <c r="Q72" s="7">
        <f>ROUND(313/E72,3)</f>
        <v>3.8170000000000002</v>
      </c>
      <c r="R72" s="7">
        <f>ROUND(261/E72,3)</f>
        <v>3.1829999999999998</v>
      </c>
      <c r="S72" s="7">
        <f>ROUND(101/E72,3)</f>
        <v>1.232</v>
      </c>
      <c r="T72" s="7">
        <f>ROUND(26.29/E72,3)</f>
        <v>0.32100000000000001</v>
      </c>
      <c r="U72" s="7">
        <f>ROUND(105/E72,3)</f>
        <v>1.28</v>
      </c>
      <c r="V72" s="7">
        <f>ROUND(82/E72,3)</f>
        <v>1</v>
      </c>
      <c r="W72" s="7">
        <f>ROUND(27.2/E72,3)</f>
        <v>0.33200000000000002</v>
      </c>
      <c r="X72" s="7">
        <v>0.61</v>
      </c>
      <c r="Y72" s="7">
        <v>0.62</v>
      </c>
      <c r="Z72" s="7">
        <v>0.62</v>
      </c>
      <c r="AA72" s="7">
        <f>ROUND(86.03/E72,3)</f>
        <v>1.0489999999999999</v>
      </c>
      <c r="AB72" s="7">
        <f>ROUND(25/E72,3)</f>
        <v>0.30499999999999999</v>
      </c>
      <c r="AC72" s="7">
        <v>8471215</v>
      </c>
    </row>
    <row r="73" spans="1:29" ht="15" customHeight="1" x14ac:dyDescent="0.2">
      <c r="A73" s="7" t="s">
        <v>282</v>
      </c>
      <c r="B73" s="7" t="s">
        <v>60</v>
      </c>
      <c r="D73" s="7">
        <v>16</v>
      </c>
      <c r="K73" s="7"/>
      <c r="AC73" s="7">
        <v>8484762</v>
      </c>
    </row>
    <row r="74" spans="1:29" ht="15" customHeight="1" x14ac:dyDescent="0.2">
      <c r="A74" s="7" t="s">
        <v>283</v>
      </c>
      <c r="B74" s="7" t="s">
        <v>55</v>
      </c>
      <c r="C74" s="7" t="s">
        <v>138</v>
      </c>
      <c r="D74" s="7">
        <v>21</v>
      </c>
      <c r="E74" s="7">
        <v>81</v>
      </c>
      <c r="F74" s="7">
        <f>ROUND(31/E74,3)</f>
        <v>0.38300000000000001</v>
      </c>
      <c r="G74" s="7">
        <f>ROUND(37/E74,3)</f>
        <v>0.45700000000000002</v>
      </c>
      <c r="H74" s="7">
        <f>ROUND(211/E74,3)</f>
        <v>2.605</v>
      </c>
      <c r="I74" s="7">
        <f>ROUND(55/E74,3)</f>
        <v>0.67900000000000005</v>
      </c>
      <c r="J74" s="7">
        <f>ROUND(27/E74,3)</f>
        <v>0.33300000000000002</v>
      </c>
      <c r="K74" s="7">
        <f>8*F74+6*G74+1*H74+1*J74+0.5*I74</f>
        <v>9.083499999999999</v>
      </c>
      <c r="L74" s="7">
        <f>ROUND(1336.25/E74,3)</f>
        <v>16.497</v>
      </c>
      <c r="M74" s="7">
        <f>ROUND(41/E74,3)</f>
        <v>0.50600000000000001</v>
      </c>
      <c r="N74" s="7" t="s">
        <v>641</v>
      </c>
      <c r="O74" s="7" t="s">
        <v>642</v>
      </c>
      <c r="P74" s="7">
        <f>ROUND(336/E74,3)</f>
        <v>4.1479999999999997</v>
      </c>
      <c r="Q74" s="7">
        <f>ROUND(274/E74,3)</f>
        <v>3.383</v>
      </c>
      <c r="R74" s="7">
        <f>ROUND(240/E74,3)</f>
        <v>2.9630000000000001</v>
      </c>
      <c r="S74" s="7">
        <f>ROUND(101/E74,3)</f>
        <v>1.2470000000000001</v>
      </c>
      <c r="T74" s="7">
        <f>ROUND(25.84/E74,3)</f>
        <v>0.31900000000000001</v>
      </c>
      <c r="U74" s="7">
        <f>ROUND(20/E74,3)</f>
        <v>0.247</v>
      </c>
      <c r="V74" s="7">
        <f>ROUND(36/E74,3)</f>
        <v>0.44400000000000001</v>
      </c>
      <c r="W74" s="7">
        <f>ROUND(25.79/E74,3)</f>
        <v>0.318</v>
      </c>
      <c r="X74" s="7">
        <v>0.52</v>
      </c>
      <c r="Y74" s="7">
        <v>0.52</v>
      </c>
      <c r="Z74" s="7">
        <v>0.51</v>
      </c>
      <c r="AA74" s="7">
        <f>ROUND(61.87/E74,3)</f>
        <v>0.76400000000000001</v>
      </c>
      <c r="AB74" s="7">
        <f>ROUND(29/E74,3)</f>
        <v>0.35799999999999998</v>
      </c>
      <c r="AC74" s="7">
        <v>8481528</v>
      </c>
    </row>
    <row r="75" spans="1:29" ht="15" customHeight="1" x14ac:dyDescent="0.2">
      <c r="A75" s="7" t="s">
        <v>286</v>
      </c>
      <c r="B75" s="7" t="s">
        <v>55</v>
      </c>
      <c r="D75" s="7">
        <v>17</v>
      </c>
      <c r="K75" s="7"/>
      <c r="AC75" s="7">
        <v>8484166</v>
      </c>
    </row>
    <row r="76" spans="1:29" ht="15" customHeight="1" x14ac:dyDescent="0.2">
      <c r="A76" s="7" t="s">
        <v>287</v>
      </c>
      <c r="B76" s="7" t="s">
        <v>55</v>
      </c>
      <c r="D76" s="7">
        <v>17</v>
      </c>
      <c r="K76" s="7"/>
      <c r="AC76" s="7">
        <v>8484227</v>
      </c>
    </row>
    <row r="77" spans="1:29" ht="15" customHeight="1" x14ac:dyDescent="0.2">
      <c r="A77" s="7" t="s">
        <v>288</v>
      </c>
      <c r="B77" s="7" t="s">
        <v>92</v>
      </c>
      <c r="C77" s="7" t="s">
        <v>135</v>
      </c>
      <c r="D77" s="7">
        <v>23</v>
      </c>
      <c r="E77" s="7">
        <v>82</v>
      </c>
      <c r="F77" s="7">
        <f>ROUND(35/E77,3)</f>
        <v>0.42699999999999999</v>
      </c>
      <c r="G77" s="7">
        <f>ROUND(48/E77,3)</f>
        <v>0.58499999999999996</v>
      </c>
      <c r="H77" s="7">
        <f>ROUND(347/E77,3)</f>
        <v>4.2320000000000002</v>
      </c>
      <c r="I77" s="7">
        <f>ROUND(242/E77,3)</f>
        <v>2.9510000000000001</v>
      </c>
      <c r="J77" s="7">
        <f>ROUND(9/E77,3)</f>
        <v>0.11</v>
      </c>
      <c r="K77" s="7">
        <f t="shared" ref="K77:K90" si="4">8*F77+6*G77+1*H77+1*J77+0.5*I77</f>
        <v>12.743500000000001</v>
      </c>
      <c r="L77" s="7">
        <f>ROUND(1527.8333333333/E77,3)</f>
        <v>18.632000000000001</v>
      </c>
      <c r="M77" s="7">
        <f>ROUND(126/E77,3)</f>
        <v>1.5369999999999999</v>
      </c>
      <c r="N77" s="7" t="s">
        <v>643</v>
      </c>
      <c r="O77" s="7" t="s">
        <v>644</v>
      </c>
      <c r="P77" s="7">
        <f>ROUND(559/E77,3)</f>
        <v>6.8170000000000002</v>
      </c>
      <c r="Q77" s="7">
        <f>ROUND(486/E77,3)</f>
        <v>5.9269999999999996</v>
      </c>
      <c r="R77" s="7">
        <f>ROUND(383/E77,3)</f>
        <v>4.6710000000000003</v>
      </c>
      <c r="S77" s="7">
        <f>ROUND(240/E77,3)</f>
        <v>2.927</v>
      </c>
      <c r="T77" s="7">
        <f>ROUND(50.19/E77,3)</f>
        <v>0.61199999999999999</v>
      </c>
      <c r="U77" s="7">
        <f>ROUND(51/E77,3)</f>
        <v>0.622</v>
      </c>
      <c r="V77" s="7">
        <f>ROUND(30/E77,3)</f>
        <v>0.36599999999999999</v>
      </c>
      <c r="W77" s="7">
        <f>ROUND(46.9/E77,3)</f>
        <v>0.57199999999999995</v>
      </c>
      <c r="X77" s="7">
        <v>0.64</v>
      </c>
      <c r="Y77" s="7">
        <v>0.63</v>
      </c>
      <c r="Z77" s="7">
        <v>0.63</v>
      </c>
      <c r="AA77" s="7">
        <f>ROUND(98.03/E77,3)</f>
        <v>1.1950000000000001</v>
      </c>
      <c r="AB77" s="7">
        <f>ROUND(54/E77,3)</f>
        <v>0.65900000000000003</v>
      </c>
      <c r="AC77" s="7">
        <v>8480801</v>
      </c>
    </row>
    <row r="78" spans="1:29" ht="15" customHeight="1" x14ac:dyDescent="0.2">
      <c r="A78" s="7" t="s">
        <v>291</v>
      </c>
      <c r="B78" s="7" t="s">
        <v>92</v>
      </c>
      <c r="C78" s="7" t="s">
        <v>645</v>
      </c>
      <c r="D78" s="7">
        <v>27</v>
      </c>
      <c r="E78" s="7">
        <v>50</v>
      </c>
      <c r="F78" s="7">
        <f>ROUND(8/E78,3)</f>
        <v>0.16</v>
      </c>
      <c r="G78" s="7">
        <f>ROUND(22/E78,3)</f>
        <v>0.44</v>
      </c>
      <c r="H78" s="7">
        <f>ROUND(107/E78,3)</f>
        <v>2.14</v>
      </c>
      <c r="I78" s="7">
        <f>ROUND(54/E78,3)</f>
        <v>1.08</v>
      </c>
      <c r="J78" s="7">
        <f>ROUND(21/E78,3)</f>
        <v>0.42</v>
      </c>
      <c r="K78" s="7">
        <f t="shared" si="4"/>
        <v>7.0200000000000005</v>
      </c>
      <c r="L78" s="7">
        <f>ROUND(824.41666666667/E78,3)</f>
        <v>16.488</v>
      </c>
      <c r="M78" s="7">
        <f>ROUND(29/E78,3)</f>
        <v>0.57999999999999996</v>
      </c>
      <c r="N78" s="7" t="s">
        <v>112</v>
      </c>
      <c r="O78" s="7" t="s">
        <v>646</v>
      </c>
      <c r="P78" s="7">
        <f>ROUND(181/E78,3)</f>
        <v>3.62</v>
      </c>
      <c r="Q78" s="7">
        <f>ROUND(145/E78,3)</f>
        <v>2.9</v>
      </c>
      <c r="R78" s="7">
        <f>ROUND(110/E78,3)</f>
        <v>2.2000000000000002</v>
      </c>
      <c r="S78" s="7">
        <f>ROUND(59/E78,3)</f>
        <v>1.18</v>
      </c>
      <c r="T78" s="7">
        <f>ROUND(12/E78,3)</f>
        <v>0.24</v>
      </c>
      <c r="U78" s="7">
        <f>ROUND(29/E78,3)</f>
        <v>0.57999999999999996</v>
      </c>
      <c r="V78" s="7">
        <f>ROUND(19/E78,3)</f>
        <v>0.38</v>
      </c>
      <c r="W78" s="7">
        <f>ROUND(11.97/E78,3)</f>
        <v>0.23899999999999999</v>
      </c>
      <c r="X78" s="7">
        <v>0.57999999999999996</v>
      </c>
      <c r="Y78" s="7">
        <v>0.57999999999999996</v>
      </c>
      <c r="Z78" s="7">
        <v>0.57999999999999996</v>
      </c>
      <c r="AA78" s="7">
        <f>ROUND(32.53/E78,3)</f>
        <v>0.65100000000000002</v>
      </c>
      <c r="AB78" s="7">
        <f>ROUND(13/E78,3)</f>
        <v>0.26</v>
      </c>
      <c r="AC78" s="7">
        <v>8477479</v>
      </c>
    </row>
    <row r="79" spans="1:29" ht="15" customHeight="1" x14ac:dyDescent="0.2">
      <c r="A79" s="7" t="s">
        <v>293</v>
      </c>
      <c r="B79" s="7" t="s">
        <v>55</v>
      </c>
      <c r="C79" s="7" t="s">
        <v>274</v>
      </c>
      <c r="D79" s="7">
        <v>26</v>
      </c>
      <c r="E79" s="7">
        <v>63</v>
      </c>
      <c r="F79" s="7">
        <f>ROUND(16/E79,3)</f>
        <v>0.254</v>
      </c>
      <c r="G79" s="7">
        <f>ROUND(24/E79,3)</f>
        <v>0.38100000000000001</v>
      </c>
      <c r="H79" s="7">
        <f>ROUND(193/E79,3)</f>
        <v>3.0630000000000002</v>
      </c>
      <c r="I79" s="7">
        <f>ROUND(150/E79,3)</f>
        <v>2.3809999999999998</v>
      </c>
      <c r="J79" s="7">
        <f>ROUND(30/E79,3)</f>
        <v>0.47599999999999998</v>
      </c>
      <c r="K79" s="7">
        <f t="shared" si="4"/>
        <v>9.0474999999999994</v>
      </c>
      <c r="L79" s="7">
        <f>ROUND(1096.6333333333/E79,3)</f>
        <v>17.407</v>
      </c>
      <c r="M79" s="7">
        <f>ROUND(54/E79,3)</f>
        <v>0.85699999999999998</v>
      </c>
      <c r="N79" s="7" t="s">
        <v>647</v>
      </c>
      <c r="O79" s="7" t="s">
        <v>648</v>
      </c>
      <c r="P79" s="7">
        <f>ROUND(321/E79,3)</f>
        <v>5.0949999999999998</v>
      </c>
      <c r="Q79" s="7">
        <f>ROUND(253/E79,3)</f>
        <v>4.016</v>
      </c>
      <c r="R79" s="7">
        <f>ROUND(209/E79,3)</f>
        <v>3.3170000000000002</v>
      </c>
      <c r="S79" s="7">
        <f>ROUND(106/E79,3)</f>
        <v>1.6830000000000001</v>
      </c>
      <c r="T79" s="7">
        <f>ROUND(22.86/E79,3)</f>
        <v>0.36299999999999999</v>
      </c>
      <c r="U79" s="7">
        <f>ROUND(40/E79,3)</f>
        <v>0.63500000000000001</v>
      </c>
      <c r="V79" s="7">
        <f>ROUND(38/E79,3)</f>
        <v>0.60299999999999998</v>
      </c>
      <c r="W79" s="7">
        <f>ROUND(22.92/E79,3)</f>
        <v>0.36399999999999999</v>
      </c>
      <c r="X79" s="7">
        <v>0.56999999999999995</v>
      </c>
      <c r="Y79" s="7">
        <v>0.57999999999999996</v>
      </c>
      <c r="Z79" s="7">
        <v>0.56999999999999995</v>
      </c>
      <c r="AA79" s="7">
        <f>ROUND(53.54/E79,3)</f>
        <v>0.85</v>
      </c>
      <c r="AB79" s="7">
        <f>ROUND(32/E79,3)</f>
        <v>0.50800000000000001</v>
      </c>
      <c r="AC79" s="7">
        <v>8477935</v>
      </c>
    </row>
    <row r="80" spans="1:29" ht="15" customHeight="1" x14ac:dyDescent="0.2">
      <c r="A80" s="7" t="s">
        <v>296</v>
      </c>
      <c r="B80" s="7" t="s">
        <v>55</v>
      </c>
      <c r="C80" s="7" t="s">
        <v>297</v>
      </c>
      <c r="D80" s="7">
        <v>28</v>
      </c>
      <c r="E80" s="7">
        <v>79</v>
      </c>
      <c r="F80" s="7">
        <f>ROUND(22/E80,3)</f>
        <v>0.27800000000000002</v>
      </c>
      <c r="G80" s="7">
        <f>ROUND(41/E80,3)</f>
        <v>0.51900000000000002</v>
      </c>
      <c r="H80" s="7">
        <f>ROUND(183/E80,3)</f>
        <v>2.3159999999999998</v>
      </c>
      <c r="I80" s="7">
        <f>ROUND(91/E80,3)</f>
        <v>1.1519999999999999</v>
      </c>
      <c r="J80" s="7">
        <f>ROUND(12/E80,3)</f>
        <v>0.152</v>
      </c>
      <c r="K80" s="7">
        <f t="shared" si="4"/>
        <v>8.3819999999999997</v>
      </c>
      <c r="L80" s="7">
        <f>ROUND(1523.2166666667/E80,3)</f>
        <v>19.280999999999999</v>
      </c>
      <c r="M80" s="7">
        <f>ROUND(42/E80,3)</f>
        <v>0.53200000000000003</v>
      </c>
      <c r="N80" s="7" t="s">
        <v>649</v>
      </c>
      <c r="O80" s="7" t="s">
        <v>650</v>
      </c>
      <c r="P80" s="7">
        <f>ROUND(342/E80,3)</f>
        <v>4.3289999999999997</v>
      </c>
      <c r="Q80" s="7">
        <f>ROUND(256/E80,3)</f>
        <v>3.2410000000000001</v>
      </c>
      <c r="R80" s="7">
        <f>ROUND(248/E80,3)</f>
        <v>3.1389999999999998</v>
      </c>
      <c r="S80" s="7">
        <f>ROUND(135/E80,3)</f>
        <v>1.7090000000000001</v>
      </c>
      <c r="T80" s="7">
        <f>ROUND(28.14/E80,3)</f>
        <v>0.35599999999999998</v>
      </c>
      <c r="U80" s="7">
        <f>ROUND(39/E80,3)</f>
        <v>0.49399999999999999</v>
      </c>
      <c r="V80" s="7">
        <f>ROUND(50/E80,3)</f>
        <v>0.63300000000000001</v>
      </c>
      <c r="W80" s="7">
        <f>ROUND(27.31/E80,3)</f>
        <v>0.34599999999999997</v>
      </c>
      <c r="X80" s="7">
        <v>0.56000000000000005</v>
      </c>
      <c r="Y80" s="7">
        <v>0.57999999999999996</v>
      </c>
      <c r="Z80" s="7">
        <v>0.56999999999999995</v>
      </c>
      <c r="AA80" s="7">
        <f>ROUND(62.51/E80,3)</f>
        <v>0.79100000000000004</v>
      </c>
      <c r="AB80" s="7">
        <f>ROUND(37/E80,3)</f>
        <v>0.46800000000000003</v>
      </c>
      <c r="AC80" s="7">
        <v>8476881</v>
      </c>
    </row>
    <row r="81" spans="1:29" ht="15" customHeight="1" x14ac:dyDescent="0.2">
      <c r="A81" s="7" t="s">
        <v>300</v>
      </c>
      <c r="B81" s="7" t="s">
        <v>55</v>
      </c>
      <c r="C81" s="7" t="s">
        <v>84</v>
      </c>
      <c r="D81" s="7">
        <v>30</v>
      </c>
      <c r="E81" s="7">
        <v>82</v>
      </c>
      <c r="F81" s="7">
        <f>ROUND(16/E81,3)</f>
        <v>0.19500000000000001</v>
      </c>
      <c r="G81" s="7">
        <f>ROUND(29/E81,3)</f>
        <v>0.35399999999999998</v>
      </c>
      <c r="H81" s="7">
        <f>ROUND(140/E81,3)</f>
        <v>1.7070000000000001</v>
      </c>
      <c r="I81" s="7">
        <f>ROUND(68/E81,3)</f>
        <v>0.82899999999999996</v>
      </c>
      <c r="J81" s="7">
        <f>ROUND(58/E81,3)</f>
        <v>0.70699999999999996</v>
      </c>
      <c r="K81" s="7">
        <f t="shared" si="4"/>
        <v>6.5125000000000002</v>
      </c>
      <c r="L81" s="7">
        <f>ROUND(1392.8833333333/E81,3)</f>
        <v>16.986000000000001</v>
      </c>
      <c r="M81" s="7">
        <f>ROUND(30/E81,3)</f>
        <v>0.36599999999999999</v>
      </c>
      <c r="N81" s="7" t="s">
        <v>329</v>
      </c>
      <c r="O81" s="7" t="s">
        <v>203</v>
      </c>
      <c r="P81" s="7">
        <f>ROUND(241/E81,3)</f>
        <v>2.9390000000000001</v>
      </c>
      <c r="Q81" s="7">
        <f>ROUND(191/E81,3)</f>
        <v>2.3290000000000002</v>
      </c>
      <c r="R81" s="7">
        <f>ROUND(164/E81,3)</f>
        <v>2</v>
      </c>
      <c r="S81" s="7">
        <f>ROUND(83/E81,3)</f>
        <v>1.012</v>
      </c>
      <c r="T81" s="7">
        <f>ROUND(14.89/E81,3)</f>
        <v>0.182</v>
      </c>
      <c r="U81" s="7">
        <f>ROUND(42/E81,3)</f>
        <v>0.51200000000000001</v>
      </c>
      <c r="V81" s="7">
        <f>ROUND(59/E81,3)</f>
        <v>0.72</v>
      </c>
      <c r="W81" s="7">
        <f>ROUND(15.52/E81,3)</f>
        <v>0.189</v>
      </c>
      <c r="X81" s="7">
        <v>0.45</v>
      </c>
      <c r="Y81" s="7">
        <v>0.44</v>
      </c>
      <c r="Z81" s="7">
        <v>0.44</v>
      </c>
      <c r="AA81" s="7">
        <f>ROUND(45.23/E81,3)</f>
        <v>0.55200000000000005</v>
      </c>
      <c r="AB81" s="7">
        <f>ROUND(12/E81,3)</f>
        <v>0.14599999999999999</v>
      </c>
      <c r="AC81" s="7">
        <v>8475745</v>
      </c>
    </row>
    <row r="82" spans="1:29" ht="15" customHeight="1" x14ac:dyDescent="0.2">
      <c r="A82" s="7" t="s">
        <v>303</v>
      </c>
      <c r="B82" s="7" t="s">
        <v>55</v>
      </c>
      <c r="C82" s="7" t="s">
        <v>259</v>
      </c>
      <c r="D82" s="7">
        <v>25</v>
      </c>
      <c r="E82" s="7">
        <v>81</v>
      </c>
      <c r="F82" s="7">
        <f>ROUND(23/E82,3)</f>
        <v>0.28399999999999997</v>
      </c>
      <c r="G82" s="7">
        <f>ROUND(42/E82,3)</f>
        <v>0.51900000000000002</v>
      </c>
      <c r="H82" s="7">
        <f>ROUND(154/E82,3)</f>
        <v>1.901</v>
      </c>
      <c r="I82" s="7">
        <f>ROUND(20/E82,3)</f>
        <v>0.247</v>
      </c>
      <c r="J82" s="7">
        <f>ROUND(38/E82,3)</f>
        <v>0.46899999999999997</v>
      </c>
      <c r="K82" s="7">
        <f t="shared" si="4"/>
        <v>7.8794999999999993</v>
      </c>
      <c r="L82" s="7">
        <f>ROUND(1351.65/E82,3)</f>
        <v>16.687000000000001</v>
      </c>
      <c r="M82" s="7">
        <f>ROUND(24/E82,3)</f>
        <v>0.29599999999999999</v>
      </c>
      <c r="N82" s="7" t="s">
        <v>651</v>
      </c>
      <c r="O82" s="7" t="s">
        <v>652</v>
      </c>
      <c r="P82" s="7">
        <f>ROUND(275/E82,3)</f>
        <v>3.395</v>
      </c>
      <c r="Q82" s="7">
        <f>ROUND(220/E82,3)</f>
        <v>2.7160000000000002</v>
      </c>
      <c r="R82" s="7">
        <f>ROUND(200/E82,3)</f>
        <v>2.4689999999999999</v>
      </c>
      <c r="S82" s="7">
        <f>ROUND(103/E82,3)</f>
        <v>1.272</v>
      </c>
      <c r="T82" s="7">
        <f>ROUND(23.57/E82,3)</f>
        <v>0.29099999999999998</v>
      </c>
      <c r="U82" s="7">
        <f>ROUND(42/E82,3)</f>
        <v>0.51900000000000002</v>
      </c>
      <c r="V82" s="7">
        <f>ROUND(45/E82,3)</f>
        <v>0.55600000000000005</v>
      </c>
      <c r="W82" s="7">
        <f>ROUND(22.11/E82,3)</f>
        <v>0.27300000000000002</v>
      </c>
      <c r="X82" s="7">
        <v>0.57999999999999996</v>
      </c>
      <c r="Y82" s="7">
        <v>0.57999999999999996</v>
      </c>
      <c r="Z82" s="7">
        <v>0.56999999999999995</v>
      </c>
      <c r="AA82" s="7">
        <f>ROUND(58.34/E82,3)</f>
        <v>0.72</v>
      </c>
      <c r="AB82" s="7">
        <f>ROUND(29/E82,3)</f>
        <v>0.35799999999999998</v>
      </c>
      <c r="AC82" s="7">
        <v>8478440</v>
      </c>
    </row>
    <row r="83" spans="1:29" ht="15" customHeight="1" x14ac:dyDescent="0.2">
      <c r="A83" s="7" t="s">
        <v>306</v>
      </c>
      <c r="B83" s="7" t="s">
        <v>55</v>
      </c>
      <c r="C83" s="7" t="s">
        <v>653</v>
      </c>
      <c r="D83" s="7">
        <v>27</v>
      </c>
      <c r="E83" s="7">
        <v>79</v>
      </c>
      <c r="F83" s="7">
        <f>ROUND(38/E83,3)</f>
        <v>0.48099999999999998</v>
      </c>
      <c r="G83" s="7">
        <f>ROUND(32/E83,3)</f>
        <v>0.40500000000000003</v>
      </c>
      <c r="H83" s="7">
        <f>ROUND(229/E83,3)</f>
        <v>2.899</v>
      </c>
      <c r="I83" s="7">
        <f>ROUND(57/E83,3)</f>
        <v>0.72199999999999998</v>
      </c>
      <c r="J83" s="7">
        <f>ROUND(49/E83,3)</f>
        <v>0.62</v>
      </c>
      <c r="K83" s="7">
        <f t="shared" si="4"/>
        <v>10.157999999999999</v>
      </c>
      <c r="L83" s="7">
        <f>ROUND(1631.6666666667/E83,3)</f>
        <v>20.654</v>
      </c>
      <c r="M83" s="7">
        <f>ROUND(18/E83,3)</f>
        <v>0.22800000000000001</v>
      </c>
      <c r="N83" s="7" t="s">
        <v>654</v>
      </c>
      <c r="O83" s="7" t="s">
        <v>655</v>
      </c>
      <c r="P83" s="7">
        <f>ROUND(355/E83,3)</f>
        <v>4.4939999999999998</v>
      </c>
      <c r="Q83" s="7">
        <f>ROUND(301/E83,3)</f>
        <v>3.81</v>
      </c>
      <c r="R83" s="7">
        <f>ROUND(254/E83,3)</f>
        <v>3.2149999999999999</v>
      </c>
      <c r="S83" s="7">
        <f>ROUND(125/E83,3)</f>
        <v>1.5820000000000001</v>
      </c>
      <c r="T83" s="7">
        <f>ROUND(29.82/E83,3)</f>
        <v>0.377</v>
      </c>
      <c r="U83" s="7">
        <f>ROUND(37/E83,3)</f>
        <v>0.46800000000000003</v>
      </c>
      <c r="V83" s="7">
        <f>ROUND(38/E83,3)</f>
        <v>0.48099999999999998</v>
      </c>
      <c r="W83" s="7">
        <f>ROUND(29.06/E83,3)</f>
        <v>0.36799999999999999</v>
      </c>
      <c r="X83" s="7">
        <v>0.54</v>
      </c>
      <c r="Y83" s="7">
        <v>0.56000000000000005</v>
      </c>
      <c r="Z83" s="7">
        <v>0.55000000000000004</v>
      </c>
      <c r="AA83" s="7">
        <f>ROUND(74.44/E83,3)</f>
        <v>0.94199999999999995</v>
      </c>
      <c r="AB83" s="7">
        <f>ROUND(35/E83,3)</f>
        <v>0.443</v>
      </c>
      <c r="AC83" s="7">
        <v>8477500</v>
      </c>
    </row>
    <row r="84" spans="1:29" ht="15" customHeight="1" x14ac:dyDescent="0.2">
      <c r="A84" s="7" t="s">
        <v>310</v>
      </c>
      <c r="B84" s="7" t="s">
        <v>92</v>
      </c>
      <c r="C84" s="7" t="s">
        <v>131</v>
      </c>
      <c r="D84" s="7">
        <v>20</v>
      </c>
      <c r="E84" s="7">
        <v>81</v>
      </c>
      <c r="F84" s="7">
        <f>ROUND(16/E84,3)</f>
        <v>0.19800000000000001</v>
      </c>
      <c r="G84" s="7">
        <f>ROUND(23/E84,3)</f>
        <v>0.28399999999999997</v>
      </c>
      <c r="H84" s="7">
        <f>ROUND(135/E84,3)</f>
        <v>1.667</v>
      </c>
      <c r="I84" s="7">
        <f>ROUND(141/E84,3)</f>
        <v>1.7410000000000001</v>
      </c>
      <c r="J84" s="7">
        <f>ROUND(26/E84,3)</f>
        <v>0.32100000000000001</v>
      </c>
      <c r="K84" s="7">
        <f t="shared" si="4"/>
        <v>6.1464999999999996</v>
      </c>
      <c r="L84" s="7">
        <f>ROUND(1232.7833333333/E84,3)</f>
        <v>15.22</v>
      </c>
      <c r="M84" s="7">
        <f>ROUND(33/E84,3)</f>
        <v>0.40699999999999997</v>
      </c>
      <c r="N84" s="7" t="s">
        <v>656</v>
      </c>
      <c r="O84" s="7" t="s">
        <v>657</v>
      </c>
      <c r="P84" s="7">
        <f>ROUND(239/E84,3)</f>
        <v>2.9510000000000001</v>
      </c>
      <c r="Q84" s="7">
        <f>ROUND(183/E84,3)</f>
        <v>2.2589999999999999</v>
      </c>
      <c r="R84" s="7">
        <f>ROUND(148/E84,3)</f>
        <v>1.827</v>
      </c>
      <c r="S84" s="7">
        <f>ROUND(75/E84,3)</f>
        <v>0.92600000000000005</v>
      </c>
      <c r="T84" s="7">
        <f>ROUND(14.91/E84,3)</f>
        <v>0.184</v>
      </c>
      <c r="U84" s="7">
        <f>ROUND(36/E84,3)</f>
        <v>0.44400000000000001</v>
      </c>
      <c r="V84" s="7">
        <f>ROUND(32/E84,3)</f>
        <v>0.39500000000000002</v>
      </c>
      <c r="W84" s="7">
        <f>ROUND(16.31/E84,3)</f>
        <v>0.20100000000000001</v>
      </c>
      <c r="X84" s="7">
        <v>0.54</v>
      </c>
      <c r="Y84" s="7">
        <v>0.55000000000000004</v>
      </c>
      <c r="Z84" s="7">
        <v>0.54</v>
      </c>
      <c r="AA84" s="7">
        <f>ROUND(41.32/E84,3)</f>
        <v>0.51</v>
      </c>
      <c r="AB84" s="7">
        <f>ROUND(17/E84,3)</f>
        <v>0.21</v>
      </c>
      <c r="AC84" s="7">
        <v>8482109</v>
      </c>
    </row>
    <row r="85" spans="1:29" ht="15" customHeight="1" x14ac:dyDescent="0.2">
      <c r="A85" s="7" t="s">
        <v>313</v>
      </c>
      <c r="B85" s="7" t="s">
        <v>60</v>
      </c>
      <c r="C85" s="7" t="s">
        <v>230</v>
      </c>
      <c r="D85" s="7">
        <v>25</v>
      </c>
      <c r="E85" s="7">
        <v>70</v>
      </c>
      <c r="F85" s="7">
        <f>ROUND(23/E85,3)</f>
        <v>0.32900000000000001</v>
      </c>
      <c r="G85" s="7">
        <f>ROUND(38/E85,3)</f>
        <v>0.54300000000000004</v>
      </c>
      <c r="H85" s="7">
        <f>ROUND(188/E85,3)</f>
        <v>2.6859999999999999</v>
      </c>
      <c r="I85" s="7">
        <f>ROUND(12/E85,3)</f>
        <v>0.17100000000000001</v>
      </c>
      <c r="J85" s="7">
        <f>ROUND(20/E85,3)</f>
        <v>0.28599999999999998</v>
      </c>
      <c r="K85" s="7">
        <f t="shared" si="4"/>
        <v>8.9474999999999998</v>
      </c>
      <c r="L85" s="7">
        <f>ROUND(1355.75/E85,3)</f>
        <v>19.367999999999999</v>
      </c>
      <c r="M85" s="7">
        <f>ROUND(22/E85,3)</f>
        <v>0.314</v>
      </c>
      <c r="N85" s="7" t="s">
        <v>658</v>
      </c>
      <c r="O85" s="7" t="s">
        <v>111</v>
      </c>
      <c r="P85" s="7">
        <f>ROUND(352/E85,3)</f>
        <v>5.0289999999999999</v>
      </c>
      <c r="Q85" s="7">
        <f>ROUND(283/E85,3)</f>
        <v>4.0430000000000001</v>
      </c>
      <c r="R85" s="7">
        <f>ROUND(247/E85,3)</f>
        <v>3.5289999999999999</v>
      </c>
      <c r="S85" s="7">
        <f>ROUND(109/E85,3)</f>
        <v>1.5569999999999999</v>
      </c>
      <c r="T85" s="7">
        <f>ROUND(24.39/E85,3)</f>
        <v>0.34799999999999998</v>
      </c>
      <c r="U85" s="7">
        <f>ROUND(27/E85,3)</f>
        <v>0.38600000000000001</v>
      </c>
      <c r="V85" s="7">
        <f>ROUND(43/E85,3)</f>
        <v>0.61399999999999999</v>
      </c>
      <c r="W85" s="7">
        <f>ROUND(25.34/E85,3)</f>
        <v>0.36199999999999999</v>
      </c>
      <c r="X85" s="7">
        <v>0.51</v>
      </c>
      <c r="Y85" s="7">
        <v>0.55000000000000004</v>
      </c>
      <c r="Z85" s="7">
        <v>0.53</v>
      </c>
      <c r="AA85" s="7">
        <f>ROUND(56.97/E85,3)</f>
        <v>0.81399999999999995</v>
      </c>
      <c r="AB85" s="7">
        <f>ROUND(22/E85,3)</f>
        <v>0.314</v>
      </c>
      <c r="AC85" s="7">
        <v>8478873</v>
      </c>
    </row>
    <row r="86" spans="1:29" ht="15" customHeight="1" x14ac:dyDescent="0.2">
      <c r="A86" s="7" t="s">
        <v>317</v>
      </c>
      <c r="B86" s="7" t="s">
        <v>60</v>
      </c>
      <c r="C86" s="7" t="s">
        <v>659</v>
      </c>
      <c r="D86" s="7">
        <v>33</v>
      </c>
      <c r="E86" s="7">
        <v>73</v>
      </c>
      <c r="F86" s="7">
        <f>ROUND(21/E86,3)</f>
        <v>0.28799999999999998</v>
      </c>
      <c r="G86" s="7">
        <f>ROUND(36/E86,3)</f>
        <v>0.49299999999999999</v>
      </c>
      <c r="H86" s="7">
        <f>ROUND(227/E86,3)</f>
        <v>3.11</v>
      </c>
      <c r="I86" s="7">
        <f>ROUND(13/E86,3)</f>
        <v>0.17799999999999999</v>
      </c>
      <c r="J86" s="7">
        <f>ROUND(16/E86,3)</f>
        <v>0.219</v>
      </c>
      <c r="K86" s="7">
        <f t="shared" si="4"/>
        <v>8.68</v>
      </c>
      <c r="L86" s="7">
        <f>ROUND(1409.5333333333/E86,3)</f>
        <v>19.309000000000001</v>
      </c>
      <c r="M86" s="7">
        <f>ROUND(16/E86,3)</f>
        <v>0.219</v>
      </c>
      <c r="N86" s="7" t="s">
        <v>660</v>
      </c>
      <c r="O86" s="7" t="s">
        <v>661</v>
      </c>
      <c r="P86" s="7">
        <f>ROUND(371/E86,3)</f>
        <v>5.0819999999999999</v>
      </c>
      <c r="Q86" s="7">
        <f>ROUND(296/E86,3)</f>
        <v>4.0549999999999997</v>
      </c>
      <c r="R86" s="7">
        <f>ROUND(175/E86,3)</f>
        <v>2.3969999999999998</v>
      </c>
      <c r="S86" s="7">
        <f>ROUND(53/E86,3)</f>
        <v>0.72599999999999998</v>
      </c>
      <c r="T86" s="7">
        <f>ROUND(18.9/E86,3)</f>
        <v>0.25900000000000001</v>
      </c>
      <c r="U86" s="7">
        <f>ROUND(61/E86,3)</f>
        <v>0.83599999999999997</v>
      </c>
      <c r="V86" s="7">
        <f>ROUND(31/E86,3)</f>
        <v>0.42499999999999999</v>
      </c>
      <c r="W86" s="7">
        <f>ROUND(18.08/E86,3)</f>
        <v>0.248</v>
      </c>
      <c r="X86" s="7">
        <v>0.49</v>
      </c>
      <c r="Y86" s="7">
        <v>0.5</v>
      </c>
      <c r="Z86" s="7">
        <v>0.51</v>
      </c>
      <c r="AA86" s="7">
        <f>ROUND(38.17/E86,3)</f>
        <v>0.52300000000000002</v>
      </c>
      <c r="AB86" s="7">
        <f>ROUND(15/E86,3)</f>
        <v>0.20499999999999999</v>
      </c>
      <c r="AC86" s="7">
        <v>8474141</v>
      </c>
    </row>
    <row r="87" spans="1:29" ht="15" customHeight="1" x14ac:dyDescent="0.2">
      <c r="A87" s="7" t="s">
        <v>320</v>
      </c>
      <c r="B87" s="7" t="s">
        <v>55</v>
      </c>
      <c r="C87" s="7" t="s">
        <v>56</v>
      </c>
      <c r="D87" s="7">
        <v>29</v>
      </c>
      <c r="E87" s="7">
        <v>82</v>
      </c>
      <c r="F87" s="7">
        <f>ROUND(37/E87,3)</f>
        <v>0.45100000000000001</v>
      </c>
      <c r="G87" s="7">
        <f>ROUND(67/E87,3)</f>
        <v>0.81699999999999995</v>
      </c>
      <c r="H87" s="7">
        <f>ROUND(201/E87,3)</f>
        <v>2.4510000000000001</v>
      </c>
      <c r="I87" s="7">
        <f>ROUND(48/E87,3)</f>
        <v>0.58499999999999996</v>
      </c>
      <c r="J87" s="7">
        <f>ROUND(23/E87,3)</f>
        <v>0.28000000000000003</v>
      </c>
      <c r="K87" s="7">
        <f t="shared" si="4"/>
        <v>11.5335</v>
      </c>
      <c r="L87" s="7">
        <f>ROUND(1623.7/E87,3)</f>
        <v>19.800999999999998</v>
      </c>
      <c r="M87" s="7">
        <f>ROUND(35/E87,3)</f>
        <v>0.42699999999999999</v>
      </c>
      <c r="N87" s="7" t="s">
        <v>662</v>
      </c>
      <c r="O87" s="7" t="s">
        <v>663</v>
      </c>
      <c r="P87" s="7">
        <f>ROUND(328/E87,3)</f>
        <v>4</v>
      </c>
      <c r="Q87" s="7">
        <f>ROUND(266/E87,3)</f>
        <v>3.2440000000000002</v>
      </c>
      <c r="R87" s="7">
        <f>ROUND(237/E87,3)</f>
        <v>2.89</v>
      </c>
      <c r="S87" s="7">
        <f>ROUND(102/E87,3)</f>
        <v>1.244</v>
      </c>
      <c r="T87" s="7">
        <f>ROUND(28.46/E87,3)</f>
        <v>0.34699999999999998</v>
      </c>
      <c r="U87" s="7">
        <f>ROUND(31/E87,3)</f>
        <v>0.378</v>
      </c>
      <c r="V87" s="7">
        <f>ROUND(56/E87,3)</f>
        <v>0.68300000000000005</v>
      </c>
      <c r="W87" s="7">
        <f>ROUND(31.19/E87,3)</f>
        <v>0.38</v>
      </c>
      <c r="X87" s="7">
        <v>0.63</v>
      </c>
      <c r="Y87" s="7">
        <v>0.56000000000000005</v>
      </c>
      <c r="Z87" s="7">
        <v>0.56000000000000005</v>
      </c>
      <c r="AA87" s="7">
        <f>ROUND(89.27/E87,3)</f>
        <v>1.089</v>
      </c>
      <c r="AB87" s="7">
        <f>ROUND(36/E87,3)</f>
        <v>0.439</v>
      </c>
      <c r="AC87" s="7">
        <v>8476454</v>
      </c>
    </row>
    <row r="88" spans="1:29" ht="15" customHeight="1" x14ac:dyDescent="0.2">
      <c r="A88" s="7" t="s">
        <v>323</v>
      </c>
      <c r="B88" s="7" t="s">
        <v>60</v>
      </c>
      <c r="C88" s="7" t="s">
        <v>164</v>
      </c>
      <c r="D88" s="7">
        <v>20</v>
      </c>
      <c r="E88" s="7">
        <v>24</v>
      </c>
      <c r="F88" s="7">
        <f>ROUND(7/E88,3)</f>
        <v>0.29199999999999998</v>
      </c>
      <c r="G88" s="7">
        <f>ROUND(8/E88,3)</f>
        <v>0.33300000000000002</v>
      </c>
      <c r="H88" s="7">
        <f>ROUND(54/E88,3)</f>
        <v>2.25</v>
      </c>
      <c r="I88" s="7">
        <f>ROUND(9/E88,3)</f>
        <v>0.375</v>
      </c>
      <c r="J88" s="7">
        <f>ROUND(5/E88,3)</f>
        <v>0.20799999999999999</v>
      </c>
      <c r="K88" s="7">
        <f t="shared" si="4"/>
        <v>6.9794999999999998</v>
      </c>
      <c r="L88" s="7">
        <f>ROUND(397.75/E88,3)</f>
        <v>16.573</v>
      </c>
      <c r="M88" s="7">
        <f>ROUND(6/E88,3)</f>
        <v>0.25</v>
      </c>
      <c r="N88" s="7" t="s">
        <v>585</v>
      </c>
      <c r="O88" s="7" t="s">
        <v>664</v>
      </c>
      <c r="P88" s="7">
        <f>ROUND(78/E88,3)</f>
        <v>3.25</v>
      </c>
      <c r="Q88" s="7">
        <f>ROUND(61/E88,3)</f>
        <v>2.5419999999999998</v>
      </c>
      <c r="R88" s="7">
        <f>ROUND(58/E88,3)</f>
        <v>2.4169999999999998</v>
      </c>
      <c r="S88" s="7">
        <f>ROUND(33/E88,3)</f>
        <v>1.375</v>
      </c>
      <c r="T88" s="7">
        <f>ROUND(5.3/E88,3)</f>
        <v>0.221</v>
      </c>
      <c r="U88" s="7">
        <f>ROUND(9/E88,3)</f>
        <v>0.375</v>
      </c>
      <c r="V88" s="7">
        <f>ROUND(15/E88,3)</f>
        <v>0.625</v>
      </c>
      <c r="W88" s="7">
        <f>ROUND(5.9/E88,3)</f>
        <v>0.246</v>
      </c>
      <c r="X88" s="7">
        <v>0.52</v>
      </c>
      <c r="Y88" s="7">
        <v>0.55000000000000004</v>
      </c>
      <c r="Z88" s="7">
        <v>0.54</v>
      </c>
      <c r="AA88" s="7">
        <f>ROUND(14.15/E88,3)</f>
        <v>0.59</v>
      </c>
      <c r="AB88" s="7">
        <f>ROUND(7/E88,3)</f>
        <v>0.29199999999999998</v>
      </c>
      <c r="AC88" s="7">
        <v>8482146</v>
      </c>
    </row>
    <row r="89" spans="1:29" ht="15" customHeight="1" x14ac:dyDescent="0.2">
      <c r="A89" s="7" t="s">
        <v>324</v>
      </c>
      <c r="B89" s="7" t="s">
        <v>60</v>
      </c>
      <c r="C89" s="7" t="s">
        <v>213</v>
      </c>
      <c r="D89" s="7">
        <v>32</v>
      </c>
      <c r="E89" s="7">
        <v>82</v>
      </c>
      <c r="F89" s="7">
        <f>ROUND(20/E89,3)</f>
        <v>0.24399999999999999</v>
      </c>
      <c r="G89" s="7">
        <f>ROUND(43/E89,3)</f>
        <v>0.52400000000000002</v>
      </c>
      <c r="H89" s="7">
        <f>ROUND(177/E89,3)</f>
        <v>2.1589999999999998</v>
      </c>
      <c r="I89" s="7">
        <f>ROUND(44/E89,3)</f>
        <v>0.53700000000000003</v>
      </c>
      <c r="J89" s="7">
        <f>ROUND(21/E89,3)</f>
        <v>0.25600000000000001</v>
      </c>
      <c r="K89" s="7">
        <f t="shared" si="4"/>
        <v>7.7795000000000005</v>
      </c>
      <c r="L89" s="7">
        <f>ROUND(1368.1166666667/E89,3)</f>
        <v>16.684000000000001</v>
      </c>
      <c r="M89" s="7">
        <f>ROUND(34/E89,3)</f>
        <v>0.41499999999999998</v>
      </c>
      <c r="N89" s="7" t="s">
        <v>665</v>
      </c>
      <c r="O89" s="7" t="s">
        <v>666</v>
      </c>
      <c r="P89" s="7">
        <f>ROUND(321/E89,3)</f>
        <v>3.915</v>
      </c>
      <c r="Q89" s="7">
        <f>ROUND(246/E89,3)</f>
        <v>3</v>
      </c>
      <c r="R89" s="7">
        <f>ROUND(202/E89,3)</f>
        <v>2.4630000000000001</v>
      </c>
      <c r="S89" s="7">
        <f>ROUND(76/E89,3)</f>
        <v>0.92700000000000005</v>
      </c>
      <c r="T89" s="7">
        <f>ROUND(18.78/E89,3)</f>
        <v>0.22900000000000001</v>
      </c>
      <c r="U89" s="7">
        <f>ROUND(33/E89,3)</f>
        <v>0.40200000000000002</v>
      </c>
      <c r="V89" s="7">
        <f>ROUND(55/E89,3)</f>
        <v>0.67100000000000004</v>
      </c>
      <c r="W89" s="7">
        <f>ROUND(18.68/E89,3)</f>
        <v>0.22800000000000001</v>
      </c>
      <c r="X89" s="7">
        <v>0.56999999999999995</v>
      </c>
      <c r="Y89" s="7">
        <v>0.56999999999999995</v>
      </c>
      <c r="Z89" s="7">
        <v>0.56999999999999995</v>
      </c>
      <c r="AA89" s="7">
        <f>ROUND(63.84/E89,3)</f>
        <v>0.77900000000000003</v>
      </c>
      <c r="AB89" s="7">
        <f>ROUND(17/E89,3)</f>
        <v>0.20699999999999999</v>
      </c>
      <c r="AC89" s="7">
        <v>8474586</v>
      </c>
    </row>
    <row r="90" spans="1:29" ht="15" customHeight="1" x14ac:dyDescent="0.2">
      <c r="A90" s="7" t="s">
        <v>328</v>
      </c>
      <c r="B90" s="7" t="s">
        <v>55</v>
      </c>
      <c r="C90" s="7" t="s">
        <v>274</v>
      </c>
      <c r="D90" s="7">
        <v>27</v>
      </c>
      <c r="E90" s="7">
        <v>81</v>
      </c>
      <c r="F90" s="7">
        <f>ROUND(42/E90,3)</f>
        <v>0.51900000000000002</v>
      </c>
      <c r="G90" s="7">
        <f>ROUND(31/E90,3)</f>
        <v>0.38300000000000001</v>
      </c>
      <c r="H90" s="7">
        <f>ROUND(275/E90,3)</f>
        <v>3.395</v>
      </c>
      <c r="I90" s="7">
        <f>ROUND(29/E90,3)</f>
        <v>0.35799999999999998</v>
      </c>
      <c r="J90" s="7">
        <f>ROUND(21/E90,3)</f>
        <v>0.25900000000000001</v>
      </c>
      <c r="K90" s="7">
        <f t="shared" si="4"/>
        <v>10.283000000000001</v>
      </c>
      <c r="L90" s="7">
        <f>ROUND(1417.6666666667/E90,3)</f>
        <v>17.501999999999999</v>
      </c>
      <c r="M90" s="7">
        <f>ROUND(46/E90,3)</f>
        <v>0.56799999999999995</v>
      </c>
      <c r="N90" s="7" t="s">
        <v>667</v>
      </c>
      <c r="O90" s="7" t="s">
        <v>668</v>
      </c>
      <c r="P90" s="7">
        <f>ROUND(470/E90,3)</f>
        <v>5.8019999999999996</v>
      </c>
      <c r="Q90" s="7">
        <f>ROUND(353/E90,3)</f>
        <v>4.3579999999999997</v>
      </c>
      <c r="R90" s="7">
        <f>ROUND(283/E90,3)</f>
        <v>3.4940000000000002</v>
      </c>
      <c r="S90" s="7">
        <f>ROUND(119/E90,3)</f>
        <v>1.4690000000000001</v>
      </c>
      <c r="T90" s="7">
        <f>ROUND(31.7/E90,3)</f>
        <v>0.39100000000000001</v>
      </c>
      <c r="U90" s="7">
        <f>ROUND(56/E90,3)</f>
        <v>0.69099999999999995</v>
      </c>
      <c r="V90" s="7">
        <f>ROUND(35/E90,3)</f>
        <v>0.432</v>
      </c>
      <c r="W90" s="7">
        <f>ROUND(33.86/E90,3)</f>
        <v>0.41799999999999998</v>
      </c>
      <c r="X90" s="7">
        <v>0.57999999999999996</v>
      </c>
      <c r="Y90" s="7">
        <v>0.61</v>
      </c>
      <c r="Z90" s="7">
        <v>0.59</v>
      </c>
      <c r="AA90" s="7">
        <f>ROUND(93.06/E90,3)</f>
        <v>1.149</v>
      </c>
      <c r="AB90" s="7">
        <f>ROUND(38/E90,3)</f>
        <v>0.46899999999999997</v>
      </c>
      <c r="AC90" s="7">
        <v>8477409</v>
      </c>
    </row>
    <row r="91" spans="1:29" ht="15" customHeight="1" x14ac:dyDescent="0.2">
      <c r="A91" s="7" t="s">
        <v>331</v>
      </c>
      <c r="B91" s="7" t="s">
        <v>55</v>
      </c>
      <c r="D91" s="7">
        <v>28</v>
      </c>
      <c r="K91" s="7"/>
      <c r="W91" s="7">
        <v>16.8</v>
      </c>
      <c r="X91" s="7">
        <v>0.49</v>
      </c>
      <c r="Y91" s="7">
        <v>0.51</v>
      </c>
      <c r="Z91" s="7">
        <v>0.51</v>
      </c>
      <c r="AA91" s="7">
        <v>40.31</v>
      </c>
      <c r="AB91" s="7">
        <v>23</v>
      </c>
      <c r="AC91" s="7">
        <v>8477505</v>
      </c>
    </row>
    <row r="92" spans="1:29" ht="15" customHeight="1" x14ac:dyDescent="0.2">
      <c r="A92" s="7" t="s">
        <v>332</v>
      </c>
      <c r="B92" s="7" t="s">
        <v>92</v>
      </c>
      <c r="C92" s="7" t="s">
        <v>84</v>
      </c>
      <c r="D92" s="7">
        <v>34</v>
      </c>
      <c r="E92" s="7">
        <v>73</v>
      </c>
      <c r="F92" s="7">
        <f>ROUND(21/E92,3)</f>
        <v>0.28799999999999998</v>
      </c>
      <c r="G92" s="7">
        <f>ROUND(46/E92,3)</f>
        <v>0.63</v>
      </c>
      <c r="H92" s="7">
        <f>ROUND(183/E92,3)</f>
        <v>2.5070000000000001</v>
      </c>
      <c r="I92" s="7">
        <f>ROUND(81/E92,3)</f>
        <v>1.1100000000000001</v>
      </c>
      <c r="J92" s="7">
        <f>ROUND(20/E92,3)</f>
        <v>0.27400000000000002</v>
      </c>
      <c r="K92" s="7">
        <f>8*F92+6*G92+1*H92+1*J92+0.5*I92</f>
        <v>9.4199999999999982</v>
      </c>
      <c r="L92" s="7">
        <f>ROUND(1352.55/E92,3)</f>
        <v>18.527999999999999</v>
      </c>
      <c r="M92" s="7">
        <f>ROUND(74/E92,3)</f>
        <v>1.014</v>
      </c>
      <c r="N92" s="7" t="s">
        <v>566</v>
      </c>
      <c r="O92" s="7" t="s">
        <v>528</v>
      </c>
      <c r="P92" s="7">
        <f>ROUND(335/E92,3)</f>
        <v>4.5890000000000004</v>
      </c>
      <c r="Q92" s="7">
        <f>ROUND(250/E92,3)</f>
        <v>3.4249999999999998</v>
      </c>
      <c r="R92" s="7">
        <f>ROUND(211/E92,3)</f>
        <v>2.89</v>
      </c>
      <c r="S92" s="7">
        <f>ROUND(76/E92,3)</f>
        <v>1.0409999999999999</v>
      </c>
      <c r="T92" s="7">
        <f>ROUND(20.13/E92,3)</f>
        <v>0.27600000000000002</v>
      </c>
      <c r="U92" s="7">
        <f>ROUND(84/E92,3)</f>
        <v>1.151</v>
      </c>
      <c r="V92" s="7">
        <f>ROUND(42/E92,3)</f>
        <v>0.57499999999999996</v>
      </c>
      <c r="W92" s="7">
        <f>ROUND(22.73/E92,3)</f>
        <v>0.311</v>
      </c>
      <c r="X92" s="7">
        <v>0.63</v>
      </c>
      <c r="Y92" s="7">
        <v>0.61</v>
      </c>
      <c r="Z92" s="7">
        <v>0.6</v>
      </c>
      <c r="AA92" s="7">
        <f>ROUND(78.05/E92,3)</f>
        <v>1.069</v>
      </c>
      <c r="AB92" s="7">
        <f>ROUND(25/E92,3)</f>
        <v>0.34200000000000003</v>
      </c>
      <c r="AC92" s="7">
        <v>8473419</v>
      </c>
    </row>
    <row r="93" spans="1:29" ht="15" customHeight="1" x14ac:dyDescent="0.2">
      <c r="A93" s="7" t="s">
        <v>335</v>
      </c>
      <c r="B93" s="7" t="s">
        <v>92</v>
      </c>
      <c r="C93" s="7" t="s">
        <v>184</v>
      </c>
      <c r="D93" s="7">
        <v>29</v>
      </c>
      <c r="E93" s="7">
        <v>77</v>
      </c>
      <c r="F93" s="7">
        <f>ROUND(26/E93,3)</f>
        <v>0.33800000000000002</v>
      </c>
      <c r="G93" s="7">
        <f>ROUND(33/E93,3)</f>
        <v>0.42899999999999999</v>
      </c>
      <c r="H93" s="7">
        <f>ROUND(228/E93,3)</f>
        <v>2.9609999999999999</v>
      </c>
      <c r="I93" s="7">
        <f>ROUND(25/E93,3)</f>
        <v>0.32500000000000001</v>
      </c>
      <c r="J93" s="7">
        <f>ROUND(6/E93,3)</f>
        <v>7.8E-2</v>
      </c>
      <c r="K93" s="7">
        <f>8*F93+6*G93+1*H93+1*J93+0.5*I93</f>
        <v>8.4794999999999998</v>
      </c>
      <c r="L93" s="7">
        <f>ROUND(1316.4/E93,3)</f>
        <v>17.096</v>
      </c>
      <c r="M93" s="7">
        <f>ROUND(24/E93,3)</f>
        <v>0.312</v>
      </c>
      <c r="N93" s="7" t="s">
        <v>669</v>
      </c>
      <c r="O93" s="7" t="s">
        <v>670</v>
      </c>
      <c r="P93" s="7">
        <f>ROUND(418/E93,3)</f>
        <v>5.4290000000000003</v>
      </c>
      <c r="Q93" s="7">
        <f>ROUND(315/E93,3)</f>
        <v>4.0910000000000002</v>
      </c>
      <c r="R93" s="7">
        <f>ROUND(227/E93,3)</f>
        <v>2.948</v>
      </c>
      <c r="S93" s="7">
        <f>ROUND(75/E93,3)</f>
        <v>0.97399999999999998</v>
      </c>
      <c r="T93" s="7">
        <f>ROUND(23.95/E93,3)</f>
        <v>0.311</v>
      </c>
      <c r="U93" s="7">
        <f>ROUND(35/E93,3)</f>
        <v>0.45500000000000002</v>
      </c>
      <c r="V93" s="7">
        <f>ROUND(19/E93,3)</f>
        <v>0.247</v>
      </c>
      <c r="W93" s="7">
        <f>ROUND(26.18/E93,3)</f>
        <v>0.34</v>
      </c>
      <c r="X93" s="7">
        <v>0.61</v>
      </c>
      <c r="Y93" s="7">
        <v>0.56999999999999995</v>
      </c>
      <c r="Z93" s="7">
        <v>0.59</v>
      </c>
      <c r="AA93" s="7">
        <f>ROUND(68.62/E93,3)</f>
        <v>0.89100000000000001</v>
      </c>
      <c r="AB93" s="7">
        <f>ROUND(32/E93,3)</f>
        <v>0.41599999999999998</v>
      </c>
      <c r="AC93" s="7">
        <v>8478042</v>
      </c>
    </row>
    <row r="94" spans="1:29" ht="15" customHeight="1" x14ac:dyDescent="0.2">
      <c r="A94" s="7" t="s">
        <v>338</v>
      </c>
      <c r="B94" s="7" t="s">
        <v>60</v>
      </c>
      <c r="C94" s="7" t="s">
        <v>106</v>
      </c>
      <c r="D94" s="7">
        <v>35</v>
      </c>
      <c r="E94" s="7">
        <v>78</v>
      </c>
      <c r="F94" s="7">
        <f>ROUND(22/E94,3)</f>
        <v>0.28199999999999997</v>
      </c>
      <c r="G94" s="7">
        <f>ROUND(45/E94,3)</f>
        <v>0.57699999999999996</v>
      </c>
      <c r="H94" s="7">
        <f>ROUND(198/E94,3)</f>
        <v>2.5379999999999998</v>
      </c>
      <c r="I94" s="7">
        <f>ROUND(51/E94,3)</f>
        <v>0.65400000000000003</v>
      </c>
      <c r="J94" s="7">
        <f>ROUND(41/E94,3)</f>
        <v>0.52600000000000002</v>
      </c>
      <c r="K94" s="7">
        <f>8*F94+6*G94+1*H94+1*J94+0.5*I94</f>
        <v>9.109</v>
      </c>
      <c r="L94" s="7">
        <f>ROUND(1575.1/E94,3)</f>
        <v>20.193999999999999</v>
      </c>
      <c r="M94" s="7">
        <f>ROUND(26/E94,3)</f>
        <v>0.33300000000000002</v>
      </c>
      <c r="N94" s="7" t="s">
        <v>566</v>
      </c>
      <c r="O94" s="7" t="s">
        <v>316</v>
      </c>
      <c r="P94" s="7">
        <f>ROUND(381/E94,3)</f>
        <v>4.8849999999999998</v>
      </c>
      <c r="Q94" s="7">
        <f>ROUND(279/E94,3)</f>
        <v>3.577</v>
      </c>
      <c r="R94" s="7">
        <f>ROUND(197/E94,3)</f>
        <v>2.5259999999999998</v>
      </c>
      <c r="S94" s="7">
        <f>ROUND(72/E94,3)</f>
        <v>0.92300000000000004</v>
      </c>
      <c r="T94" s="7">
        <f>ROUND(19.35/E94,3)</f>
        <v>0.248</v>
      </c>
      <c r="U94" s="7">
        <f>ROUND(44/E94,3)</f>
        <v>0.56399999999999995</v>
      </c>
      <c r="V94" s="7">
        <f>ROUND(45/E94,3)</f>
        <v>0.57699999999999996</v>
      </c>
      <c r="W94" s="7">
        <f>ROUND(20.43/E94,3)</f>
        <v>0.26200000000000001</v>
      </c>
      <c r="X94" s="7">
        <v>0.61</v>
      </c>
      <c r="Y94" s="7">
        <v>0.61</v>
      </c>
      <c r="Z94" s="7">
        <v>0.61</v>
      </c>
      <c r="AA94" s="7">
        <f>ROUND(69.38/E94,3)</f>
        <v>0.88900000000000001</v>
      </c>
      <c r="AB94" s="7">
        <f>ROUND(17/E94,3)</f>
        <v>0.218</v>
      </c>
      <c r="AC94" s="7">
        <v>8475692</v>
      </c>
    </row>
    <row r="95" spans="1:29" ht="15" customHeight="1" x14ac:dyDescent="0.2">
      <c r="A95" s="7" t="s">
        <v>341</v>
      </c>
      <c r="B95" s="7" t="s">
        <v>55</v>
      </c>
      <c r="C95" s="7" t="s">
        <v>56</v>
      </c>
      <c r="D95" s="7">
        <v>23</v>
      </c>
      <c r="E95" s="7">
        <v>57</v>
      </c>
      <c r="F95" s="7">
        <f>ROUND(11/E95,3)</f>
        <v>0.193</v>
      </c>
      <c r="G95" s="7">
        <f>ROUND(12/E95,3)</f>
        <v>0.21099999999999999</v>
      </c>
      <c r="H95" s="7">
        <f>ROUND(78/E95,3)</f>
        <v>1.3680000000000001</v>
      </c>
      <c r="I95" s="7">
        <f>ROUND(40/E95,3)</f>
        <v>0.70199999999999996</v>
      </c>
      <c r="J95" s="7">
        <f>ROUND(16/E95,3)</f>
        <v>0.28100000000000003</v>
      </c>
      <c r="K95" s="7">
        <f>8*F95+6*G95+1*H95+1*J95+0.5*I95</f>
        <v>4.8099999999999996</v>
      </c>
      <c r="L95" s="7">
        <f>ROUND(808.58333333333/E95,3)</f>
        <v>14.186</v>
      </c>
      <c r="M95" s="7">
        <f>ROUND(18/E95,3)</f>
        <v>0.316</v>
      </c>
      <c r="N95" s="7" t="s">
        <v>671</v>
      </c>
      <c r="O95" s="7" t="s">
        <v>672</v>
      </c>
      <c r="P95" s="7">
        <f>ROUND(144/E95,3)</f>
        <v>2.5259999999999998</v>
      </c>
      <c r="Q95" s="7">
        <f>ROUND(109/E95,3)</f>
        <v>1.9119999999999999</v>
      </c>
      <c r="R95" s="7">
        <f>ROUND(95/E95,3)</f>
        <v>1.667</v>
      </c>
      <c r="S95" s="7">
        <f>ROUND(39/E95,3)</f>
        <v>0.68400000000000005</v>
      </c>
      <c r="T95" s="7">
        <f>ROUND(9.42/E95,3)</f>
        <v>0.16500000000000001</v>
      </c>
      <c r="U95" s="7">
        <f>ROUND(41/E95,3)</f>
        <v>0.71899999999999997</v>
      </c>
      <c r="V95" s="7">
        <f>ROUND(23/E95,3)</f>
        <v>0.40400000000000003</v>
      </c>
      <c r="W95" s="7">
        <f>ROUND(9.32/E95,3)</f>
        <v>0.16400000000000001</v>
      </c>
      <c r="X95" s="7">
        <v>0.52</v>
      </c>
      <c r="Y95" s="7">
        <v>0.52</v>
      </c>
      <c r="Z95" s="7">
        <v>0.51</v>
      </c>
      <c r="AA95" s="7">
        <f>ROUND(27.08/E95,3)</f>
        <v>0.47499999999999998</v>
      </c>
      <c r="AB95" s="7">
        <f>ROUND(9/E95,3)</f>
        <v>0.158</v>
      </c>
      <c r="AC95" s="7">
        <v>8480802</v>
      </c>
    </row>
    <row r="96" spans="1:29" ht="15" customHeight="1" x14ac:dyDescent="0.2">
      <c r="A96" s="7" t="s">
        <v>343</v>
      </c>
      <c r="B96" s="7" t="s">
        <v>55</v>
      </c>
      <c r="C96" s="7" t="s">
        <v>146</v>
      </c>
      <c r="D96" s="7">
        <v>25</v>
      </c>
      <c r="E96" s="7">
        <v>74</v>
      </c>
      <c r="F96" s="7">
        <f>ROUND(40/E96,3)</f>
        <v>0.54100000000000004</v>
      </c>
      <c r="G96" s="7">
        <f>ROUND(45/E96,3)</f>
        <v>0.60799999999999998</v>
      </c>
      <c r="H96" s="7">
        <f>ROUND(327/E96,3)</f>
        <v>4.4189999999999996</v>
      </c>
      <c r="I96" s="7">
        <f>ROUND(78/E96,3)</f>
        <v>1.054</v>
      </c>
      <c r="J96" s="7">
        <f>ROUND(85/E96,3)</f>
        <v>1.149</v>
      </c>
      <c r="K96" s="7">
        <f>8*F96+6*G96+1*H96+1*J96+0.5*I96</f>
        <v>14.071</v>
      </c>
      <c r="L96" s="7">
        <f>ROUND(1500.6/E96,3)</f>
        <v>20.277999999999999</v>
      </c>
      <c r="M96" s="7">
        <f>ROUND(20/E96,3)</f>
        <v>0.27</v>
      </c>
      <c r="N96" s="7" t="s">
        <v>673</v>
      </c>
      <c r="O96" s="7" t="s">
        <v>111</v>
      </c>
      <c r="P96" s="7">
        <f>ROUND(568/E96,3)</f>
        <v>7.6760000000000002</v>
      </c>
      <c r="Q96" s="7">
        <f>ROUND(453/E96,3)</f>
        <v>6.1219999999999999</v>
      </c>
      <c r="R96" s="7">
        <f>ROUND(393/E96,3)</f>
        <v>5.3109999999999999</v>
      </c>
      <c r="S96" s="7">
        <f>ROUND(167/E96,3)</f>
        <v>2.2570000000000001</v>
      </c>
      <c r="T96" s="7">
        <f>ROUND(39.04/E96,3)</f>
        <v>0.52800000000000002</v>
      </c>
      <c r="U96" s="7">
        <f>ROUND(55/E96,3)</f>
        <v>0.74299999999999999</v>
      </c>
      <c r="V96" s="7">
        <f>ROUND(68/E96,3)</f>
        <v>0.91900000000000004</v>
      </c>
      <c r="W96" s="7">
        <f>ROUND(38.49/E96,3)</f>
        <v>0.52</v>
      </c>
      <c r="X96" s="7">
        <v>0.64</v>
      </c>
      <c r="Y96" s="7">
        <v>0.6</v>
      </c>
      <c r="Z96" s="7">
        <v>0.61</v>
      </c>
      <c r="AA96" s="7">
        <f>ROUND(104.84/E96,3)</f>
        <v>1.417</v>
      </c>
      <c r="AB96" s="7">
        <f>ROUND(38/E96,3)</f>
        <v>0.51400000000000001</v>
      </c>
      <c r="AC96" s="7">
        <v>8479318</v>
      </c>
    </row>
    <row r="97" spans="1:29" ht="15" customHeight="1" x14ac:dyDescent="0.2">
      <c r="A97" s="7" t="s">
        <v>346</v>
      </c>
      <c r="B97" s="7" t="s">
        <v>60</v>
      </c>
      <c r="D97" s="7">
        <v>19</v>
      </c>
      <c r="K97" s="7"/>
      <c r="AC97" s="7">
        <v>8482809</v>
      </c>
    </row>
    <row r="98" spans="1:29" ht="15" customHeight="1" x14ac:dyDescent="0.2">
      <c r="A98" s="7" t="s">
        <v>347</v>
      </c>
      <c r="B98" s="7" t="s">
        <v>55</v>
      </c>
      <c r="C98" s="7" t="s">
        <v>307</v>
      </c>
      <c r="D98" s="7">
        <v>29</v>
      </c>
      <c r="E98" s="7">
        <v>81</v>
      </c>
      <c r="F98" s="7">
        <f>ROUND(32/E98,3)</f>
        <v>0.39500000000000002</v>
      </c>
      <c r="G98" s="7">
        <f>ROUND(50/E98,3)</f>
        <v>0.61699999999999999</v>
      </c>
      <c r="H98" s="7">
        <f>ROUND(223/E98,3)</f>
        <v>2.7530000000000001</v>
      </c>
      <c r="I98" s="7">
        <f>ROUND(200/E98,3)</f>
        <v>2.4689999999999999</v>
      </c>
      <c r="J98" s="7">
        <f>ROUND(49/E98,3)</f>
        <v>0.60499999999999998</v>
      </c>
      <c r="K98" s="7">
        <f>8*F98+6*G98+1*H98+1*J98+0.5*I98</f>
        <v>11.454500000000001</v>
      </c>
      <c r="L98" s="7">
        <f>ROUND(1675.05/E98,3)</f>
        <v>20.68</v>
      </c>
      <c r="M98" s="7">
        <f>ROUND(60/E98,3)</f>
        <v>0.74099999999999999</v>
      </c>
      <c r="N98" s="7" t="s">
        <v>674</v>
      </c>
      <c r="O98" s="7" t="s">
        <v>675</v>
      </c>
      <c r="P98" s="7">
        <f>ROUND(404/E98,3)</f>
        <v>4.9880000000000004</v>
      </c>
      <c r="Q98" s="7">
        <f>ROUND(311/E98,3)</f>
        <v>3.84</v>
      </c>
      <c r="R98" s="7">
        <f>ROUND(233/E98,3)</f>
        <v>2.8769999999999998</v>
      </c>
      <c r="S98" s="7">
        <f>ROUND(87/E98,3)</f>
        <v>1.0740000000000001</v>
      </c>
      <c r="T98" s="7">
        <f>ROUND(23.81/E98,3)</f>
        <v>0.29399999999999998</v>
      </c>
      <c r="U98" s="7">
        <f>ROUND(46/E98,3)</f>
        <v>0.56799999999999995</v>
      </c>
      <c r="V98" s="7">
        <f>ROUND(58/E98,3)</f>
        <v>0.71599999999999997</v>
      </c>
      <c r="W98" s="7">
        <f>ROUND(24.64/E98,3)</f>
        <v>0.30399999999999999</v>
      </c>
      <c r="X98" s="7">
        <v>0.53</v>
      </c>
      <c r="Y98" s="7">
        <v>0.56999999999999995</v>
      </c>
      <c r="Z98" s="7">
        <v>0.56000000000000005</v>
      </c>
      <c r="AA98" s="7">
        <f>ROUND(77.15/E98,3)</f>
        <v>0.95199999999999996</v>
      </c>
      <c r="AB98" s="7">
        <f>ROUND(25/E98,3)</f>
        <v>0.309</v>
      </c>
      <c r="AC98" s="7">
        <v>8476468</v>
      </c>
    </row>
    <row r="99" spans="1:29" ht="15" customHeight="1" x14ac:dyDescent="0.2">
      <c r="A99" s="7" t="s">
        <v>350</v>
      </c>
      <c r="B99" s="7" t="s">
        <v>55</v>
      </c>
      <c r="C99" s="7" t="s">
        <v>131</v>
      </c>
      <c r="D99" s="7">
        <v>29</v>
      </c>
      <c r="E99" s="7">
        <v>82</v>
      </c>
      <c r="F99" s="7">
        <f>ROUND(22/E99,3)</f>
        <v>0.26800000000000002</v>
      </c>
      <c r="G99" s="7">
        <f>ROUND(42/E99,3)</f>
        <v>0.51200000000000001</v>
      </c>
      <c r="H99" s="7">
        <f>ROUND(225/E99,3)</f>
        <v>2.7440000000000002</v>
      </c>
      <c r="I99" s="7">
        <f>ROUND(182/E99,3)</f>
        <v>2.2200000000000002</v>
      </c>
      <c r="J99" s="7">
        <f>ROUND(39/E99,3)</f>
        <v>0.47599999999999998</v>
      </c>
      <c r="K99" s="7">
        <f>8*F99+6*G99+1*H99+1*J99+0.5*I99</f>
        <v>9.5459999999999994</v>
      </c>
      <c r="L99" s="7">
        <f>ROUND(1583.9/E99,3)</f>
        <v>19.315999999999999</v>
      </c>
      <c r="M99" s="7">
        <f>ROUND(58/E99,3)</f>
        <v>0.70699999999999996</v>
      </c>
      <c r="N99" s="7" t="s">
        <v>676</v>
      </c>
      <c r="O99" s="7" t="s">
        <v>677</v>
      </c>
      <c r="P99" s="7">
        <f>ROUND(410/E99,3)</f>
        <v>5</v>
      </c>
      <c r="Q99" s="7">
        <f>ROUND(333/E99,3)</f>
        <v>4.0609999999999999</v>
      </c>
      <c r="R99" s="7">
        <f>ROUND(285/E99,3)</f>
        <v>3.476</v>
      </c>
      <c r="S99" s="7">
        <f>ROUND(141/E99,3)</f>
        <v>1.72</v>
      </c>
      <c r="T99" s="7">
        <f>ROUND(30.04/E99,3)</f>
        <v>0.36599999999999999</v>
      </c>
      <c r="U99" s="7">
        <f>ROUND(64/E99,3)</f>
        <v>0.78</v>
      </c>
      <c r="V99" s="7">
        <f>ROUND(55/E99,3)</f>
        <v>0.67100000000000004</v>
      </c>
      <c r="W99" s="7">
        <f>ROUND(28.62/E99,3)</f>
        <v>0.34899999999999998</v>
      </c>
      <c r="X99" s="7">
        <v>0.59</v>
      </c>
      <c r="Y99" s="7">
        <v>0.59</v>
      </c>
      <c r="Z99" s="7">
        <v>0.6</v>
      </c>
      <c r="AA99" s="7">
        <f>ROUND(70.28/E99,3)</f>
        <v>0.85699999999999998</v>
      </c>
      <c r="AB99" s="7">
        <f>ROUND(27/E99,3)</f>
        <v>0.32900000000000001</v>
      </c>
      <c r="AC99" s="7">
        <v>8476389</v>
      </c>
    </row>
    <row r="100" spans="1:29" ht="15" customHeight="1" x14ac:dyDescent="0.2">
      <c r="A100" s="7" t="s">
        <v>352</v>
      </c>
      <c r="B100" s="7" t="s">
        <v>92</v>
      </c>
      <c r="C100" s="7" t="s">
        <v>297</v>
      </c>
      <c r="D100" s="7">
        <v>19</v>
      </c>
      <c r="E100" s="7">
        <v>8</v>
      </c>
      <c r="F100" s="7">
        <f>ROUND(2/E100,3)</f>
        <v>0.25</v>
      </c>
      <c r="G100" s="7">
        <f>ROUND(1/E100,3)</f>
        <v>0.125</v>
      </c>
      <c r="H100" s="7">
        <f>ROUND(18/E100,3)</f>
        <v>2.25</v>
      </c>
      <c r="I100" s="7">
        <f>ROUND(7/E100,3)</f>
        <v>0.875</v>
      </c>
      <c r="J100" s="7">
        <f>ROUND(1/E100,3)</f>
        <v>0.125</v>
      </c>
      <c r="K100" s="7">
        <f>8*F100+6*G100+1*H100+1*J100+0.5*I100</f>
        <v>5.5625</v>
      </c>
      <c r="L100" s="7">
        <f>ROUND(158.7/E100,3)</f>
        <v>19.838000000000001</v>
      </c>
      <c r="M100" s="7">
        <f>ROUND(6/E100,3)</f>
        <v>0.75</v>
      </c>
      <c r="N100" s="7" t="s">
        <v>125</v>
      </c>
      <c r="O100" s="7" t="s">
        <v>316</v>
      </c>
      <c r="P100" s="7">
        <f>ROUND(34/E100,3)</f>
        <v>4.25</v>
      </c>
      <c r="Q100" s="7">
        <f>ROUND(23/E100,3)</f>
        <v>2.875</v>
      </c>
      <c r="R100" s="7">
        <f>ROUND(19/E100,3)</f>
        <v>2.375</v>
      </c>
      <c r="S100" s="7">
        <f>ROUND(9/E100,3)</f>
        <v>1.125</v>
      </c>
      <c r="T100" s="7">
        <f>ROUND(1.91/E100,3)</f>
        <v>0.23899999999999999</v>
      </c>
      <c r="U100" s="7">
        <f>ROUND(5/E100,3)</f>
        <v>0.625</v>
      </c>
      <c r="V100" s="7">
        <f>ROUND(1/E100,3)</f>
        <v>0.125</v>
      </c>
      <c r="W100" s="7">
        <f>ROUND(1.95/E100,3)</f>
        <v>0.24399999999999999</v>
      </c>
      <c r="X100" s="7">
        <v>0.56999999999999995</v>
      </c>
      <c r="Y100" s="7">
        <v>0.57999999999999996</v>
      </c>
      <c r="Z100" s="7">
        <v>0.55000000000000004</v>
      </c>
      <c r="AA100" s="7">
        <f>ROUND(3.23/E100,3)</f>
        <v>0.40400000000000003</v>
      </c>
      <c r="AB100" s="7">
        <f>ROUND(1/E100,3)</f>
        <v>0.125</v>
      </c>
      <c r="AC100" s="7">
        <v>8482667</v>
      </c>
    </row>
    <row r="101" spans="1:29" ht="15" customHeight="1" x14ac:dyDescent="0.2">
      <c r="A101" s="7" t="s">
        <v>353</v>
      </c>
      <c r="B101" s="7" t="s">
        <v>92</v>
      </c>
      <c r="C101" s="7" t="s">
        <v>56</v>
      </c>
      <c r="D101" s="7">
        <v>30</v>
      </c>
      <c r="E101" s="7">
        <v>79</v>
      </c>
      <c r="F101" s="7">
        <f>ROUND(36/E101,3)</f>
        <v>0.45600000000000002</v>
      </c>
      <c r="G101" s="7">
        <f>ROUND(47/E101,3)</f>
        <v>0.59499999999999997</v>
      </c>
      <c r="H101" s="7">
        <f>ROUND(277/E101,3)</f>
        <v>3.5059999999999998</v>
      </c>
      <c r="I101" s="7">
        <f>ROUND(77/E101,3)</f>
        <v>0.97499999999999998</v>
      </c>
      <c r="J101" s="7">
        <f>ROUND(15/E101,3)</f>
        <v>0.19</v>
      </c>
      <c r="K101" s="7">
        <f>8*F101+6*G101+1*H101+1*J101+0.5*I101</f>
        <v>11.4015</v>
      </c>
      <c r="L101" s="7">
        <f>ROUND(1591.9/E101,3)</f>
        <v>20.151</v>
      </c>
      <c r="M101" s="7">
        <f>ROUND(39/E101,3)</f>
        <v>0.49399999999999999</v>
      </c>
      <c r="N101" s="7" t="s">
        <v>678</v>
      </c>
      <c r="O101" s="7" t="s">
        <v>598</v>
      </c>
      <c r="P101" s="7">
        <f>ROUND(431/E101,3)</f>
        <v>5.4560000000000004</v>
      </c>
      <c r="Q101" s="7">
        <f>ROUND(368/E101,3)</f>
        <v>4.6580000000000004</v>
      </c>
      <c r="R101" s="7">
        <f>ROUND(363/E101,3)</f>
        <v>4.5949999999999998</v>
      </c>
      <c r="S101" s="7">
        <f>ROUND(226/E101,3)</f>
        <v>2.8610000000000002</v>
      </c>
      <c r="T101" s="7">
        <f>ROUND(44.19/E101,3)</f>
        <v>0.55900000000000005</v>
      </c>
      <c r="U101" s="7">
        <f>ROUND(30/E101,3)</f>
        <v>0.38</v>
      </c>
      <c r="V101" s="7">
        <f>ROUND(33/E101,3)</f>
        <v>0.41799999999999998</v>
      </c>
      <c r="W101" s="7">
        <f>ROUND(51.19/E101,3)</f>
        <v>0.64800000000000002</v>
      </c>
      <c r="X101" s="7">
        <v>0.66</v>
      </c>
      <c r="Y101" s="7">
        <v>0.59</v>
      </c>
      <c r="Z101" s="7">
        <v>0.57999999999999996</v>
      </c>
      <c r="AA101" s="7">
        <f>ROUND(89.52/E101,3)</f>
        <v>1.133</v>
      </c>
      <c r="AB101" s="7">
        <f>ROUND(66/E101,3)</f>
        <v>0.83499999999999996</v>
      </c>
      <c r="AC101" s="7">
        <v>8475786</v>
      </c>
    </row>
    <row r="102" spans="1:29" ht="15" customHeight="1" x14ac:dyDescent="0.2">
      <c r="A102" s="7" t="s">
        <v>355</v>
      </c>
      <c r="B102" s="7" t="s">
        <v>60</v>
      </c>
      <c r="D102" s="7">
        <v>20</v>
      </c>
      <c r="K102" s="7"/>
      <c r="AC102" s="7">
        <v>8482659</v>
      </c>
    </row>
    <row r="103" spans="1:29" ht="15" customHeight="1" x14ac:dyDescent="0.2">
      <c r="A103" s="7" t="s">
        <v>356</v>
      </c>
      <c r="B103" s="7" t="s">
        <v>357</v>
      </c>
      <c r="C103" s="7" t="s">
        <v>259</v>
      </c>
      <c r="D103" s="7">
        <v>21</v>
      </c>
      <c r="E103" s="7">
        <v>58</v>
      </c>
      <c r="F103" s="7">
        <f>ROUND(4/E103,3)</f>
        <v>6.9000000000000006E-2</v>
      </c>
      <c r="G103" s="7">
        <f>ROUND(11/E103,3)</f>
        <v>0.19</v>
      </c>
      <c r="H103" s="7">
        <f>ROUND(83/E103,3)</f>
        <v>1.431</v>
      </c>
      <c r="I103" s="7">
        <f>ROUND(39/E103,3)</f>
        <v>0.67200000000000004</v>
      </c>
      <c r="J103" s="7">
        <f>ROUND(12/E103,3)</f>
        <v>0.20699999999999999</v>
      </c>
      <c r="K103" s="7">
        <f>8*F103+6*G103+1*H103+1*J103+0.5*I103</f>
        <v>3.6659999999999999</v>
      </c>
      <c r="L103" s="7">
        <f>ROUND(668.01666666667/E103,3)</f>
        <v>11.518000000000001</v>
      </c>
      <c r="M103" s="7">
        <f>ROUND(12/E103,3)</f>
        <v>0.20699999999999999</v>
      </c>
      <c r="N103" s="7" t="s">
        <v>679</v>
      </c>
      <c r="O103" s="7" t="s">
        <v>680</v>
      </c>
      <c r="P103" s="7">
        <f>ROUND(139/E103,3)</f>
        <v>2.3969999999999998</v>
      </c>
      <c r="Q103" s="7">
        <f>ROUND(105/E103,3)</f>
        <v>1.81</v>
      </c>
      <c r="R103" s="7">
        <f>ROUND(82/E103,3)</f>
        <v>1.4139999999999999</v>
      </c>
      <c r="S103" s="7">
        <f>ROUND(43/E103,3)</f>
        <v>0.74099999999999999</v>
      </c>
      <c r="T103" s="7">
        <f>ROUND(8.42/E103,3)</f>
        <v>0.14499999999999999</v>
      </c>
      <c r="U103" s="7">
        <f>ROUND(21/E103,3)</f>
        <v>0.36199999999999999</v>
      </c>
      <c r="V103" s="7">
        <f>ROUND(17/E103,3)</f>
        <v>0.29299999999999998</v>
      </c>
      <c r="W103" s="7">
        <f>ROUND(8.87/E103,3)</f>
        <v>0.153</v>
      </c>
      <c r="X103" s="7">
        <v>0.54</v>
      </c>
      <c r="Y103" s="7">
        <v>0.53</v>
      </c>
      <c r="Z103" s="7">
        <v>0.53</v>
      </c>
      <c r="AA103" s="7">
        <f>ROUND(19.01/E103,3)</f>
        <v>0.32800000000000001</v>
      </c>
      <c r="AB103" s="7">
        <f>ROUND(13/E103,3)</f>
        <v>0.224</v>
      </c>
      <c r="AC103" s="7">
        <v>8481656</v>
      </c>
    </row>
    <row r="104" spans="1:29" ht="15" customHeight="1" x14ac:dyDescent="0.2">
      <c r="A104" s="7" t="s">
        <v>360</v>
      </c>
      <c r="B104" s="7" t="s">
        <v>55</v>
      </c>
      <c r="C104" s="7" t="s">
        <v>61</v>
      </c>
      <c r="D104" s="7">
        <v>25</v>
      </c>
      <c r="E104" s="7">
        <v>58</v>
      </c>
      <c r="F104" s="7">
        <f>ROUND(11/E104,3)</f>
        <v>0.19</v>
      </c>
      <c r="G104" s="7">
        <f>ROUND(18/E104,3)</f>
        <v>0.31</v>
      </c>
      <c r="H104" s="7">
        <f>ROUND(111/E104,3)</f>
        <v>1.9139999999999999</v>
      </c>
      <c r="I104" s="7">
        <f>ROUND(34/E104,3)</f>
        <v>0.58599999999999997</v>
      </c>
      <c r="J104" s="7">
        <f>ROUND(6/E104,3)</f>
        <v>0.10299999999999999</v>
      </c>
      <c r="K104" s="7">
        <f>8*F104+6*G104+1*H104+1*J104+0.5*I104</f>
        <v>5.6899999999999995</v>
      </c>
      <c r="L104" s="7">
        <f>ROUND(960.53333333333/E104,3)</f>
        <v>16.561</v>
      </c>
      <c r="M104" s="7">
        <f>ROUND(33/E104,3)</f>
        <v>0.56899999999999995</v>
      </c>
      <c r="N104" s="7" t="s">
        <v>681</v>
      </c>
      <c r="O104" s="7" t="s">
        <v>682</v>
      </c>
      <c r="P104" s="7">
        <f>ROUND(189/E104,3)</f>
        <v>3.2589999999999999</v>
      </c>
      <c r="Q104" s="7">
        <f>ROUND(155/E104,3)</f>
        <v>2.6720000000000002</v>
      </c>
      <c r="R104" s="7">
        <f>ROUND(135/E104,3)</f>
        <v>2.3279999999999998</v>
      </c>
      <c r="S104" s="7">
        <f>ROUND(81/E104,3)</f>
        <v>1.397</v>
      </c>
      <c r="T104" s="7">
        <f>ROUND(14.77/E104,3)</f>
        <v>0.255</v>
      </c>
      <c r="U104" s="7">
        <f>ROUND(15/E104,3)</f>
        <v>0.25900000000000001</v>
      </c>
      <c r="V104" s="7">
        <f>ROUND(40/E104,3)</f>
        <v>0.69</v>
      </c>
      <c r="W104" s="7">
        <f>ROUND(18.05/E104,3)</f>
        <v>0.311</v>
      </c>
      <c r="X104" s="7">
        <v>0.5</v>
      </c>
      <c r="Y104" s="7">
        <v>0.48</v>
      </c>
      <c r="Z104" s="7">
        <v>0.48</v>
      </c>
      <c r="AA104" s="7">
        <f>ROUND(35.33/E104,3)</f>
        <v>0.60899999999999999</v>
      </c>
      <c r="AB104" s="7">
        <f>ROUND(22/E104,3)</f>
        <v>0.379</v>
      </c>
      <c r="AC104" s="7">
        <v>8478519</v>
      </c>
    </row>
    <row r="105" spans="1:29" ht="15" customHeight="1" x14ac:dyDescent="0.2">
      <c r="A105" s="7" t="s">
        <v>363</v>
      </c>
      <c r="B105" s="7" t="s">
        <v>60</v>
      </c>
      <c r="C105" s="7" t="s">
        <v>220</v>
      </c>
      <c r="D105" s="7">
        <v>23</v>
      </c>
      <c r="E105" s="7">
        <v>77</v>
      </c>
      <c r="F105" s="7">
        <f>ROUND(27/E105,3)</f>
        <v>0.35099999999999998</v>
      </c>
      <c r="G105" s="7">
        <f>ROUND(22/E105,3)</f>
        <v>0.28599999999999998</v>
      </c>
      <c r="H105" s="7">
        <f>ROUND(231/E105,3)</f>
        <v>3</v>
      </c>
      <c r="I105" s="7">
        <f>ROUND(125/E105,3)</f>
        <v>1.623</v>
      </c>
      <c r="J105" s="7">
        <f>ROUND(66/E105,3)</f>
        <v>0.85699999999999998</v>
      </c>
      <c r="K105" s="7">
        <f>8*F105+6*G105+1*H105+1*J105+0.5*I105</f>
        <v>9.192499999999999</v>
      </c>
      <c r="L105" s="7">
        <f>ROUND(1341.9/E105,3)</f>
        <v>17.427</v>
      </c>
      <c r="M105" s="7">
        <f>ROUND(16/E105,3)</f>
        <v>0.20799999999999999</v>
      </c>
      <c r="N105" s="7" t="s">
        <v>683</v>
      </c>
      <c r="O105" s="7" t="s">
        <v>684</v>
      </c>
      <c r="P105" s="7">
        <f>ROUND(414/E105,3)</f>
        <v>5.3769999999999998</v>
      </c>
      <c r="Q105" s="7">
        <f>ROUND(315/E105,3)</f>
        <v>4.0910000000000002</v>
      </c>
      <c r="R105" s="7">
        <f>ROUND(216/E105,3)</f>
        <v>2.8050000000000002</v>
      </c>
      <c r="S105" s="7">
        <f>ROUND(89/E105,3)</f>
        <v>1.1559999999999999</v>
      </c>
      <c r="T105" s="7">
        <f>ROUND(22.67/E105,3)</f>
        <v>0.29399999999999998</v>
      </c>
      <c r="U105" s="7">
        <f>ROUND(25/E105,3)</f>
        <v>0.32500000000000001</v>
      </c>
      <c r="V105" s="7">
        <f>ROUND(44/E105,3)</f>
        <v>0.57099999999999995</v>
      </c>
      <c r="W105" s="7">
        <f>ROUND(24.25/E105,3)</f>
        <v>0.315</v>
      </c>
      <c r="X105" s="7">
        <v>0.54</v>
      </c>
      <c r="Y105" s="7">
        <v>0.53</v>
      </c>
      <c r="Z105" s="7">
        <v>0.54</v>
      </c>
      <c r="AA105" s="7">
        <f>ROUND(51.95/E105,3)</f>
        <v>0.67500000000000004</v>
      </c>
      <c r="AB105" s="7">
        <f>ROUND(24/E105,3)</f>
        <v>0.312</v>
      </c>
      <c r="AC105" s="7">
        <v>8480015</v>
      </c>
    </row>
    <row r="106" spans="1:29" ht="15" customHeight="1" x14ac:dyDescent="0.2">
      <c r="A106" s="7" t="s">
        <v>367</v>
      </c>
      <c r="B106" s="7" t="s">
        <v>92</v>
      </c>
      <c r="C106" s="7" t="s">
        <v>56</v>
      </c>
      <c r="D106" s="7">
        <v>21</v>
      </c>
      <c r="E106" s="7">
        <v>51</v>
      </c>
      <c r="F106" s="7">
        <f>ROUND(3/E106,3)</f>
        <v>5.8999999999999997E-2</v>
      </c>
      <c r="G106" s="7">
        <f>ROUND(6/E106,3)</f>
        <v>0.11799999999999999</v>
      </c>
      <c r="H106" s="7">
        <f>ROUND(44/E106,3)</f>
        <v>0.86299999999999999</v>
      </c>
      <c r="I106" s="7">
        <f>ROUND(83/E106,3)</f>
        <v>1.627</v>
      </c>
      <c r="J106" s="7">
        <f>ROUND(16/E106,3)</f>
        <v>0.314</v>
      </c>
      <c r="K106" s="7">
        <f>8*F106+6*G106+1*H106+1*J106+0.5*I106</f>
        <v>3.1705000000000001</v>
      </c>
      <c r="L106" s="7">
        <f>ROUND(488.85/E106,3)</f>
        <v>9.5850000000000009</v>
      </c>
      <c r="M106" s="7">
        <f>ROUND(27/E106,3)</f>
        <v>0.52900000000000003</v>
      </c>
      <c r="N106" s="7" t="s">
        <v>629</v>
      </c>
      <c r="O106" s="7" t="s">
        <v>686</v>
      </c>
      <c r="P106" s="7">
        <f>ROUND(83/E106,3)</f>
        <v>1.627</v>
      </c>
      <c r="Q106" s="7">
        <f>ROUND(68/E106,3)</f>
        <v>1.333</v>
      </c>
      <c r="R106" s="7">
        <f>ROUND(57/E106,3)</f>
        <v>1.1180000000000001</v>
      </c>
      <c r="S106" s="7">
        <f>ROUND(30/E106,3)</f>
        <v>0.58799999999999997</v>
      </c>
      <c r="T106" s="7">
        <f>ROUND(5.61/E106,3)</f>
        <v>0.11</v>
      </c>
      <c r="U106" s="7">
        <f>ROUND(18/E106,3)</f>
        <v>0.35299999999999998</v>
      </c>
      <c r="V106" s="7">
        <f>ROUND(11/E106,3)</f>
        <v>0.216</v>
      </c>
      <c r="W106" s="7">
        <f>ROUND(6.14/E106,3)</f>
        <v>0.12</v>
      </c>
      <c r="X106" s="7">
        <v>0.56999999999999995</v>
      </c>
      <c r="Y106" s="7">
        <v>0.54</v>
      </c>
      <c r="Z106" s="7">
        <v>0.53</v>
      </c>
      <c r="AA106" s="7">
        <f>ROUND(11.47/E106,3)</f>
        <v>0.22500000000000001</v>
      </c>
      <c r="AB106" s="7">
        <f>ROUND(7/E106,3)</f>
        <v>0.13700000000000001</v>
      </c>
      <c r="AC106" s="7">
        <v>8482077</v>
      </c>
    </row>
    <row r="107" spans="1:29" ht="15" customHeight="1" x14ac:dyDescent="0.2">
      <c r="A107" s="7" t="s">
        <v>368</v>
      </c>
      <c r="B107" s="7" t="s">
        <v>60</v>
      </c>
      <c r="D107" s="7">
        <v>18</v>
      </c>
      <c r="K107" s="7"/>
      <c r="AC107" s="7">
        <v>8483516</v>
      </c>
    </row>
    <row r="108" spans="1:29" ht="15" customHeight="1" x14ac:dyDescent="0.2">
      <c r="A108" s="7" t="s">
        <v>369</v>
      </c>
      <c r="B108" s="7" t="s">
        <v>60</v>
      </c>
      <c r="C108" s="7" t="s">
        <v>138</v>
      </c>
      <c r="D108" s="7">
        <v>21</v>
      </c>
      <c r="E108" s="7">
        <v>75</v>
      </c>
      <c r="F108" s="7">
        <f>ROUND(14/E108,3)</f>
        <v>0.187</v>
      </c>
      <c r="G108" s="7">
        <f>ROUND(23/E108,3)</f>
        <v>0.307</v>
      </c>
      <c r="H108" s="7">
        <f>ROUND(126/E108,3)</f>
        <v>1.68</v>
      </c>
      <c r="I108" s="7">
        <f>ROUND(43/E108,3)</f>
        <v>0.57299999999999995</v>
      </c>
      <c r="J108" s="7">
        <f>ROUND(18/E108,3)</f>
        <v>0.24</v>
      </c>
      <c r="K108" s="7">
        <f>8*F108+6*G108+1*H108+1*J108+0.5*I108</f>
        <v>5.5445000000000002</v>
      </c>
      <c r="L108" s="7">
        <f>ROUND(1038.5333333333/E108,3)</f>
        <v>13.847</v>
      </c>
      <c r="M108" s="7">
        <f>ROUND(15/E108,3)</f>
        <v>0.2</v>
      </c>
      <c r="N108" s="7" t="s">
        <v>687</v>
      </c>
      <c r="O108" s="7" t="s">
        <v>316</v>
      </c>
      <c r="P108" s="7">
        <f>ROUND(257/E108,3)</f>
        <v>3.427</v>
      </c>
      <c r="Q108" s="7">
        <f>ROUND(186/E108,3)</f>
        <v>2.48</v>
      </c>
      <c r="R108" s="7">
        <f>ROUND(175/E108,3)</f>
        <v>2.3330000000000002</v>
      </c>
      <c r="S108" s="7">
        <f>ROUND(67/E108,3)</f>
        <v>0.89300000000000002</v>
      </c>
      <c r="T108" s="7">
        <f>ROUND(15.25/E108,3)</f>
        <v>0.20300000000000001</v>
      </c>
      <c r="U108" s="7">
        <f>ROUND(30/E108,3)</f>
        <v>0.4</v>
      </c>
      <c r="V108" s="7">
        <f>ROUND(28/E108,3)</f>
        <v>0.373</v>
      </c>
      <c r="W108" s="7">
        <f>ROUND(14.93/E108,3)</f>
        <v>0.19900000000000001</v>
      </c>
      <c r="X108" s="7">
        <v>0.53</v>
      </c>
      <c r="Y108" s="7">
        <v>0.52</v>
      </c>
      <c r="Z108" s="7">
        <v>0.5</v>
      </c>
      <c r="AA108" s="7">
        <f>ROUND(37.29/E108,3)</f>
        <v>0.497</v>
      </c>
      <c r="AB108" s="7">
        <f>ROUND(13/E108,3)</f>
        <v>0.17299999999999999</v>
      </c>
      <c r="AC108" s="7">
        <v>8482097</v>
      </c>
    </row>
    <row r="109" spans="1:29" ht="15" customHeight="1" x14ac:dyDescent="0.2">
      <c r="A109" s="7" t="s">
        <v>370</v>
      </c>
      <c r="B109" s="7" t="s">
        <v>60</v>
      </c>
      <c r="D109" s="7">
        <v>17</v>
      </c>
      <c r="K109" s="7"/>
      <c r="AC109" s="7">
        <v>8484387</v>
      </c>
    </row>
    <row r="110" spans="1:29" ht="15" customHeight="1" x14ac:dyDescent="0.2">
      <c r="A110" s="7" t="s">
        <v>371</v>
      </c>
      <c r="B110" s="7" t="s">
        <v>55</v>
      </c>
      <c r="C110" s="7" t="s">
        <v>274</v>
      </c>
      <c r="D110" s="7">
        <v>27</v>
      </c>
      <c r="E110" s="7">
        <v>68</v>
      </c>
      <c r="F110" s="7">
        <f>ROUND(23/E110,3)</f>
        <v>0.33800000000000002</v>
      </c>
      <c r="G110" s="7">
        <f>ROUND(55/E110,3)</f>
        <v>0.80900000000000005</v>
      </c>
      <c r="H110" s="7">
        <f>ROUND(208/E110,3)</f>
        <v>3.0590000000000002</v>
      </c>
      <c r="I110" s="7">
        <f>ROUND(52/E110,3)</f>
        <v>0.76500000000000001</v>
      </c>
      <c r="J110" s="7">
        <f>ROUND(42/E110,3)</f>
        <v>0.61799999999999999</v>
      </c>
      <c r="K110" s="7">
        <f>8*F110+6*G110+1*H110+1*J110+0.5*I110</f>
        <v>11.617500000000001</v>
      </c>
      <c r="L110" s="7">
        <f>ROUND(1443.25/E110,3)</f>
        <v>21.224</v>
      </c>
      <c r="M110" s="7">
        <f>ROUND(8/E110,3)</f>
        <v>0.11799999999999999</v>
      </c>
      <c r="N110" s="7" t="s">
        <v>688</v>
      </c>
      <c r="O110" s="7" t="s">
        <v>689</v>
      </c>
      <c r="P110" s="7">
        <f>ROUND(345/E110,3)</f>
        <v>5.0739999999999998</v>
      </c>
      <c r="Q110" s="7">
        <f>ROUND(277/E110,3)</f>
        <v>4.0739999999999998</v>
      </c>
      <c r="R110" s="7">
        <f>ROUND(215/E110,3)</f>
        <v>3.1619999999999999</v>
      </c>
      <c r="S110" s="7">
        <f>ROUND(88/E110,3)</f>
        <v>1.294</v>
      </c>
      <c r="T110" s="7">
        <f>ROUND(21.71/E110,3)</f>
        <v>0.31900000000000001</v>
      </c>
      <c r="U110" s="7">
        <f>ROUND(38/E110,3)</f>
        <v>0.55900000000000005</v>
      </c>
      <c r="V110" s="7">
        <f>ROUND(56/E110,3)</f>
        <v>0.82399999999999995</v>
      </c>
      <c r="W110" s="7">
        <f>ROUND(21.91/E110,3)</f>
        <v>0.32200000000000001</v>
      </c>
      <c r="X110" s="7">
        <v>0.57999999999999996</v>
      </c>
      <c r="Y110" s="7">
        <v>0.61</v>
      </c>
      <c r="Z110" s="7">
        <v>0.6</v>
      </c>
      <c r="AA110" s="7">
        <f>ROUND(87/E110,3)</f>
        <v>1.2789999999999999</v>
      </c>
      <c r="AB110" s="7">
        <f>ROUND(28/E110,3)</f>
        <v>0.41199999999999998</v>
      </c>
      <c r="AC110" s="7">
        <v>8477493</v>
      </c>
    </row>
    <row r="112" spans="1:29" ht="15" customHeight="1" x14ac:dyDescent="0.2">
      <c r="A112" s="4" t="s">
        <v>374</v>
      </c>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spans="1:29" ht="15" customHeight="1" x14ac:dyDescent="0.2">
      <c r="A113" s="6" t="s">
        <v>25</v>
      </c>
      <c r="B113" s="6" t="s">
        <v>26</v>
      </c>
      <c r="C113" s="6" t="s">
        <v>27</v>
      </c>
      <c r="D113" s="6" t="s">
        <v>28</v>
      </c>
      <c r="E113" s="6" t="s">
        <v>29</v>
      </c>
      <c r="F113" s="6" t="s">
        <v>30</v>
      </c>
      <c r="G113" s="6" t="s">
        <v>31</v>
      </c>
      <c r="H113" s="6" t="s">
        <v>32</v>
      </c>
      <c r="I113" s="6" t="s">
        <v>33</v>
      </c>
      <c r="J113" s="6" t="s">
        <v>34</v>
      </c>
      <c r="K113" s="6" t="s">
        <v>35</v>
      </c>
      <c r="L113" s="6" t="s">
        <v>36</v>
      </c>
      <c r="M113" s="6" t="s">
        <v>37</v>
      </c>
      <c r="N113" s="6" t="s">
        <v>38</v>
      </c>
      <c r="O113" s="6" t="s">
        <v>39</v>
      </c>
      <c r="P113" s="6" t="s">
        <v>40</v>
      </c>
      <c r="Q113" s="6" t="s">
        <v>41</v>
      </c>
      <c r="R113" s="6" t="s">
        <v>42</v>
      </c>
      <c r="S113" s="6" t="s">
        <v>43</v>
      </c>
      <c r="T113" s="6" t="s">
        <v>44</v>
      </c>
      <c r="U113" s="6" t="s">
        <v>45</v>
      </c>
      <c r="V113" s="6" t="s">
        <v>46</v>
      </c>
      <c r="W113" s="6" t="s">
        <v>47</v>
      </c>
      <c r="X113" s="6" t="s">
        <v>48</v>
      </c>
      <c r="Y113" s="6" t="s">
        <v>49</v>
      </c>
      <c r="Z113" s="6" t="s">
        <v>50</v>
      </c>
      <c r="AA113" s="6" t="s">
        <v>51</v>
      </c>
      <c r="AB113" s="6" t="s">
        <v>52</v>
      </c>
      <c r="AC113" s="6" t="s">
        <v>53</v>
      </c>
    </row>
    <row r="114" spans="1:29" ht="15" customHeight="1" x14ac:dyDescent="0.2">
      <c r="A114" s="7" t="s">
        <v>375</v>
      </c>
      <c r="B114" s="7" t="s">
        <v>376</v>
      </c>
      <c r="C114" s="7" t="s">
        <v>56</v>
      </c>
      <c r="D114" s="7">
        <v>22</v>
      </c>
      <c r="E114" s="7">
        <v>82</v>
      </c>
      <c r="F114" s="7">
        <f>ROUND(8/E114,3)</f>
        <v>9.8000000000000004E-2</v>
      </c>
      <c r="G114" s="7">
        <f>ROUND(32/E114,3)</f>
        <v>0.39</v>
      </c>
      <c r="H114" s="7">
        <f>ROUND(156/E114,3)</f>
        <v>1.9019999999999999</v>
      </c>
      <c r="I114" s="7">
        <f>ROUND(95/E114,3)</f>
        <v>1.159</v>
      </c>
      <c r="J114" s="7">
        <f>ROUND(63/E114,3)</f>
        <v>0.76800000000000002</v>
      </c>
      <c r="K114" s="7">
        <f>8*F114+6*G114+1*H114+1*J114+0.5*I114</f>
        <v>6.3734999999999999</v>
      </c>
      <c r="L114" s="7">
        <f>ROUND(1518.35/E114,3)</f>
        <v>18.515999999999998</v>
      </c>
      <c r="M114" s="7">
        <f>ROUND(28/E114,3)</f>
        <v>0.34100000000000003</v>
      </c>
      <c r="N114" s="7" t="s">
        <v>690</v>
      </c>
      <c r="O114" s="7" t="s">
        <v>691</v>
      </c>
      <c r="P114" s="7">
        <f>ROUND(380/E114,3)</f>
        <v>4.6340000000000003</v>
      </c>
      <c r="Q114" s="7">
        <f>ROUND(219/E114,3)</f>
        <v>2.6709999999999998</v>
      </c>
      <c r="R114" s="7">
        <f>ROUND(99/E114,3)</f>
        <v>1.2070000000000001</v>
      </c>
      <c r="S114" s="7">
        <f>ROUND(12/E114,3)</f>
        <v>0.14599999999999999</v>
      </c>
      <c r="T114" s="7">
        <f>ROUND(8.65/E114,3)</f>
        <v>0.105</v>
      </c>
      <c r="U114" s="7">
        <f>ROUND(73/E114,3)</f>
        <v>0.89</v>
      </c>
      <c r="V114" s="7">
        <f>ROUND(66/E114,3)</f>
        <v>0.80500000000000005</v>
      </c>
      <c r="W114" s="7">
        <f>ROUND(7.86/E114,3)</f>
        <v>9.6000000000000002E-2</v>
      </c>
      <c r="X114" s="7">
        <v>0.64</v>
      </c>
      <c r="Y114" s="7">
        <v>0.61</v>
      </c>
      <c r="Z114" s="7">
        <v>0.6</v>
      </c>
      <c r="AA114" s="7">
        <f>ROUND(57.3/E114,3)</f>
        <v>0.69899999999999995</v>
      </c>
      <c r="AB114" s="7">
        <f>ROUND(5/E114,3)</f>
        <v>6.0999999999999999E-2</v>
      </c>
      <c r="AC114" s="7">
        <v>8480803</v>
      </c>
    </row>
    <row r="115" spans="1:29" ht="15" customHeight="1" x14ac:dyDescent="0.2">
      <c r="A115" s="7" t="s">
        <v>379</v>
      </c>
      <c r="B115" s="7" t="s">
        <v>376</v>
      </c>
      <c r="C115" s="7" t="s">
        <v>380</v>
      </c>
      <c r="D115" s="7">
        <v>25</v>
      </c>
      <c r="E115" s="7">
        <v>13</v>
      </c>
      <c r="F115" s="7">
        <f>ROUND(3/E115,3)</f>
        <v>0.23100000000000001</v>
      </c>
      <c r="G115" s="7">
        <f>ROUND(5/E115,3)</f>
        <v>0.38500000000000001</v>
      </c>
      <c r="H115" s="7">
        <f>ROUND(41/E115,3)</f>
        <v>3.1539999999999999</v>
      </c>
      <c r="I115" s="7">
        <f>ROUND(5/E115,3)</f>
        <v>0.38500000000000001</v>
      </c>
      <c r="J115" s="7">
        <f>ROUND(24/E115,3)</f>
        <v>1.8460000000000001</v>
      </c>
      <c r="K115" s="7">
        <f>8*F115+6*G115+1*H115+1*J115+0.5*I115</f>
        <v>9.350500000000002</v>
      </c>
      <c r="L115" s="7">
        <f>ROUND(306.75/E115,3)</f>
        <v>23.596</v>
      </c>
      <c r="M115" s="7">
        <f>ROUND(0/E115,3)</f>
        <v>0</v>
      </c>
      <c r="N115" s="7" t="s">
        <v>692</v>
      </c>
      <c r="O115" s="7" t="s">
        <v>693</v>
      </c>
      <c r="P115" s="7">
        <f>ROUND(77/E115,3)</f>
        <v>5.923</v>
      </c>
      <c r="Q115" s="7">
        <f>ROUND(54/E115,3)</f>
        <v>4.1539999999999999</v>
      </c>
      <c r="R115" s="7">
        <f>ROUND(27/E115,3)</f>
        <v>2.077</v>
      </c>
      <c r="S115" s="7">
        <f>ROUND(3/E115,3)</f>
        <v>0.23100000000000001</v>
      </c>
      <c r="T115" s="7">
        <f>ROUND(1.97/E115,3)</f>
        <v>0.152</v>
      </c>
      <c r="U115" s="7">
        <f>ROUND(9/E115,3)</f>
        <v>0.69199999999999995</v>
      </c>
      <c r="V115" s="7">
        <f>ROUND(14/E115,3)</f>
        <v>1.077</v>
      </c>
      <c r="W115" s="7">
        <f>ROUND(1.79/E115,3)</f>
        <v>0.13800000000000001</v>
      </c>
      <c r="X115" s="7">
        <v>0.59</v>
      </c>
      <c r="Y115" s="7">
        <v>0.56000000000000005</v>
      </c>
      <c r="Z115" s="7">
        <v>0.56000000000000005</v>
      </c>
      <c r="AA115" s="7">
        <f>ROUND(9.72/E115,3)</f>
        <v>0.748</v>
      </c>
      <c r="AB115" s="7">
        <f>ROUND(0/E115,3)</f>
        <v>0</v>
      </c>
      <c r="AC115" s="7">
        <v>8478460</v>
      </c>
    </row>
    <row r="116" spans="1:29" ht="15" customHeight="1" x14ac:dyDescent="0.2">
      <c r="A116" s="7" t="s">
        <v>383</v>
      </c>
      <c r="B116" s="7" t="s">
        <v>376</v>
      </c>
      <c r="C116" s="7" t="s">
        <v>66</v>
      </c>
      <c r="D116" s="7">
        <v>23</v>
      </c>
      <c r="E116" s="7">
        <v>60</v>
      </c>
      <c r="F116" s="7">
        <f>ROUND(17/E116,3)</f>
        <v>0.28299999999999997</v>
      </c>
      <c r="G116" s="7">
        <f>ROUND(49/E116,3)</f>
        <v>0.81699999999999995</v>
      </c>
      <c r="H116" s="7">
        <f>ROUND(176/E116,3)</f>
        <v>2.9329999999999998</v>
      </c>
      <c r="I116" s="7">
        <f>ROUND(65/E116,3)</f>
        <v>1.083</v>
      </c>
      <c r="J116" s="7">
        <f>ROUND(74/E116,3)</f>
        <v>1.2330000000000001</v>
      </c>
      <c r="K116" s="7">
        <f>8*F116+6*G116+1*H116+1*J116+0.5*I116</f>
        <v>11.873499999999998</v>
      </c>
      <c r="L116" s="7">
        <f>ROUND(1582.8166666667/E116,3)</f>
        <v>26.38</v>
      </c>
      <c r="M116" s="7">
        <f>ROUND(30/E116,3)</f>
        <v>0.5</v>
      </c>
      <c r="N116" s="7" t="s">
        <v>694</v>
      </c>
      <c r="O116" s="7" t="s">
        <v>695</v>
      </c>
      <c r="P116" s="7">
        <f>ROUND(403/E116,3)</f>
        <v>6.7169999999999996</v>
      </c>
      <c r="Q116" s="7">
        <f>ROUND(258/E116,3)</f>
        <v>4.3</v>
      </c>
      <c r="R116" s="7">
        <f>ROUND(137/E116,3)</f>
        <v>2.2829999999999999</v>
      </c>
      <c r="S116" s="7">
        <f>ROUND(29/E116,3)</f>
        <v>0.48299999999999998</v>
      </c>
      <c r="T116" s="7">
        <f>ROUND(12.3/E116,3)</f>
        <v>0.20499999999999999</v>
      </c>
      <c r="U116" s="7">
        <f>ROUND(48/E116,3)</f>
        <v>0.8</v>
      </c>
      <c r="V116" s="7">
        <f>ROUND(50/E116,3)</f>
        <v>0.83299999999999996</v>
      </c>
      <c r="W116" s="7">
        <f>ROUND(12.26/E116,3)</f>
        <v>0.20399999999999999</v>
      </c>
      <c r="X116" s="7">
        <v>0.56000000000000005</v>
      </c>
      <c r="Y116" s="7">
        <v>0.56999999999999995</v>
      </c>
      <c r="Z116" s="7">
        <v>0.56000000000000005</v>
      </c>
      <c r="AA116" s="7">
        <f>ROUND(79.1/E116,3)</f>
        <v>1.3180000000000001</v>
      </c>
      <c r="AB116" s="7">
        <f>ROUND(10/E116,3)</f>
        <v>0.16700000000000001</v>
      </c>
      <c r="AC116" s="7">
        <v>8480069</v>
      </c>
    </row>
    <row r="117" spans="1:29" ht="15" customHeight="1" x14ac:dyDescent="0.2">
      <c r="A117" s="7" t="s">
        <v>386</v>
      </c>
      <c r="B117" s="7" t="s">
        <v>376</v>
      </c>
      <c r="D117" s="7">
        <v>18</v>
      </c>
      <c r="K117" s="7"/>
      <c r="AC117" s="7">
        <v>8483457</v>
      </c>
    </row>
    <row r="118" spans="1:29" ht="15" customHeight="1" x14ac:dyDescent="0.2">
      <c r="A118" s="7" t="s">
        <v>387</v>
      </c>
      <c r="B118" s="7" t="s">
        <v>376</v>
      </c>
      <c r="C118" s="7" t="s">
        <v>307</v>
      </c>
      <c r="D118" s="7">
        <v>22</v>
      </c>
      <c r="E118" s="7">
        <v>78</v>
      </c>
      <c r="F118" s="7">
        <f>ROUND(7/E118,3)</f>
        <v>0.09</v>
      </c>
      <c r="G118" s="7">
        <f>ROUND(69/E118,3)</f>
        <v>0.88500000000000001</v>
      </c>
      <c r="H118" s="7">
        <f>ROUND(154/E118,3)</f>
        <v>1.974</v>
      </c>
      <c r="I118" s="7">
        <f>ROUND(29/E118,3)</f>
        <v>0.372</v>
      </c>
      <c r="J118" s="7">
        <f>ROUND(63/E118,3)</f>
        <v>0.80800000000000005</v>
      </c>
      <c r="K118" s="7">
        <f t="shared" ref="K118:K126" si="5">8*F118+6*G118+1*H118+1*J118+0.5*I118</f>
        <v>8.9979999999999993</v>
      </c>
      <c r="L118" s="7">
        <f>ROUND(2001.5666666667/E118,3)</f>
        <v>25.661000000000001</v>
      </c>
      <c r="M118" s="7">
        <f>ROUND(34/E118,3)</f>
        <v>0.436</v>
      </c>
      <c r="N118" s="7" t="s">
        <v>696</v>
      </c>
      <c r="O118" s="7" t="s">
        <v>697</v>
      </c>
      <c r="P118" s="7">
        <f>ROUND(368/E118,3)</f>
        <v>4.718</v>
      </c>
      <c r="Q118" s="7">
        <f>ROUND(220/E118,3)</f>
        <v>2.8210000000000002</v>
      </c>
      <c r="R118" s="7">
        <f>ROUND(106/E118,3)</f>
        <v>1.359</v>
      </c>
      <c r="S118" s="7">
        <f>ROUND(14/E118,3)</f>
        <v>0.17899999999999999</v>
      </c>
      <c r="T118" s="7">
        <f>ROUND(7.9/E118,3)</f>
        <v>0.10100000000000001</v>
      </c>
      <c r="U118" s="7">
        <f>ROUND(45/E118,3)</f>
        <v>0.57699999999999996</v>
      </c>
      <c r="V118" s="7">
        <f>ROUND(56/E118,3)</f>
        <v>0.71799999999999997</v>
      </c>
      <c r="W118" s="7">
        <f>ROUND(6.25/E118,3)</f>
        <v>0.08</v>
      </c>
      <c r="X118" s="7">
        <v>0.55000000000000004</v>
      </c>
      <c r="Y118" s="7">
        <v>0.57999999999999996</v>
      </c>
      <c r="Z118" s="7">
        <v>0.56999999999999995</v>
      </c>
      <c r="AA118" s="7">
        <f>ROUND(71.6/E118,3)</f>
        <v>0.91800000000000004</v>
      </c>
      <c r="AB118" s="7">
        <f>ROUND(1/E118,3)</f>
        <v>1.2999999999999999E-2</v>
      </c>
      <c r="AC118" s="7">
        <v>8480800</v>
      </c>
    </row>
    <row r="119" spans="1:29" ht="15" customHeight="1" x14ac:dyDescent="0.2">
      <c r="A119" s="7" t="s">
        <v>390</v>
      </c>
      <c r="B119" s="7" t="s">
        <v>376</v>
      </c>
      <c r="C119" s="7" t="s">
        <v>138</v>
      </c>
      <c r="D119" s="7">
        <v>22</v>
      </c>
      <c r="E119" s="7">
        <v>78</v>
      </c>
      <c r="F119" s="7">
        <f>ROUND(15/E119,3)</f>
        <v>0.192</v>
      </c>
      <c r="G119" s="7">
        <f>ROUND(58/E119,3)</f>
        <v>0.74399999999999999</v>
      </c>
      <c r="H119" s="7">
        <f>ROUND(204/E119,3)</f>
        <v>2.6150000000000002</v>
      </c>
      <c r="I119" s="7">
        <f>ROUND(105/E119,3)</f>
        <v>1.3460000000000001</v>
      </c>
      <c r="J119" s="7">
        <f>ROUND(119/E119,3)</f>
        <v>1.526</v>
      </c>
      <c r="K119" s="7">
        <f t="shared" si="5"/>
        <v>10.814</v>
      </c>
      <c r="L119" s="7">
        <f>ROUND(2012.0666666667/E119,3)</f>
        <v>25.795999999999999</v>
      </c>
      <c r="M119" s="7">
        <f>ROUND(92/E119,3)</f>
        <v>1.179</v>
      </c>
      <c r="N119" s="7" t="s">
        <v>698</v>
      </c>
      <c r="O119" s="7" t="s">
        <v>699</v>
      </c>
      <c r="P119" s="7">
        <f>ROUND(378/E119,3)</f>
        <v>4.8460000000000001</v>
      </c>
      <c r="Q119" s="7">
        <f>ROUND(267/E119,3)</f>
        <v>3.423</v>
      </c>
      <c r="R119" s="7">
        <f>ROUND(143/E119,3)</f>
        <v>1.833</v>
      </c>
      <c r="S119" s="7">
        <f>ROUND(35/E119,3)</f>
        <v>0.44900000000000001</v>
      </c>
      <c r="T119" s="7">
        <f>ROUND(15.93/E119,3)</f>
        <v>0.20399999999999999</v>
      </c>
      <c r="U119" s="7">
        <f>ROUND(61/E119,3)</f>
        <v>0.78200000000000003</v>
      </c>
      <c r="V119" s="7">
        <f>ROUND(45/E119,3)</f>
        <v>0.57699999999999996</v>
      </c>
      <c r="W119" s="7">
        <f>ROUND(15.03/E119,3)</f>
        <v>0.193</v>
      </c>
      <c r="X119" s="7">
        <v>0.56000000000000005</v>
      </c>
      <c r="Y119" s="7">
        <v>0.56000000000000005</v>
      </c>
      <c r="Z119" s="7">
        <v>0.56000000000000005</v>
      </c>
      <c r="AA119" s="7">
        <f>ROUND(78.8/E119,3)</f>
        <v>1.01</v>
      </c>
      <c r="AB119" s="7">
        <f>ROUND(15/E119,3)</f>
        <v>0.192</v>
      </c>
      <c r="AC119" s="7">
        <v>8480839</v>
      </c>
    </row>
    <row r="120" spans="1:29" ht="15" customHeight="1" x14ac:dyDescent="0.2">
      <c r="A120" s="7" t="s">
        <v>393</v>
      </c>
      <c r="B120" s="7" t="s">
        <v>376</v>
      </c>
      <c r="C120" s="7" t="s">
        <v>61</v>
      </c>
      <c r="D120" s="7">
        <v>26</v>
      </c>
      <c r="E120" s="7">
        <v>17</v>
      </c>
      <c r="F120" s="7">
        <f>ROUND(1/E120,3)</f>
        <v>5.8999999999999997E-2</v>
      </c>
      <c r="G120" s="7">
        <f>ROUND(2/E120,3)</f>
        <v>0.11799999999999999</v>
      </c>
      <c r="H120" s="7">
        <f>ROUND(25/E120,3)</f>
        <v>1.4710000000000001</v>
      </c>
      <c r="I120" s="7">
        <f>ROUND(25/E120,3)</f>
        <v>1.4710000000000001</v>
      </c>
      <c r="J120" s="7">
        <f>ROUND(1/E120,3)</f>
        <v>5.8999999999999997E-2</v>
      </c>
      <c r="K120" s="7">
        <f t="shared" si="5"/>
        <v>3.4455</v>
      </c>
      <c r="L120" s="7">
        <f>ROUND(280.18333333333/E120,3)</f>
        <v>16.481000000000002</v>
      </c>
      <c r="M120" s="7">
        <f>ROUND(4/E120,3)</f>
        <v>0.23499999999999999</v>
      </c>
      <c r="N120" s="7" t="s">
        <v>700</v>
      </c>
      <c r="O120" s="7" t="s">
        <v>701</v>
      </c>
      <c r="P120" s="7">
        <f>ROUND(47/E120,3)</f>
        <v>2.7650000000000001</v>
      </c>
      <c r="Q120" s="7">
        <f>ROUND(31/E120,3)</f>
        <v>1.8240000000000001</v>
      </c>
      <c r="R120" s="7">
        <f>ROUND(15/E120,3)</f>
        <v>0.88200000000000001</v>
      </c>
      <c r="S120" s="7">
        <f>ROUND(1/E120,3)</f>
        <v>5.8999999999999997E-2</v>
      </c>
      <c r="T120" s="7">
        <f>ROUND(1.04/E120,3)</f>
        <v>6.0999999999999999E-2</v>
      </c>
      <c r="U120" s="7">
        <f>ROUND(9/E120,3)</f>
        <v>0.52900000000000003</v>
      </c>
      <c r="V120" s="7">
        <f>ROUND(3/E120,3)</f>
        <v>0.17599999999999999</v>
      </c>
      <c r="W120" s="7">
        <f>ROUND(0.99/E120,3)</f>
        <v>5.8000000000000003E-2</v>
      </c>
      <c r="X120" s="7">
        <v>0.48</v>
      </c>
      <c r="Y120" s="7">
        <v>0.53</v>
      </c>
      <c r="Z120" s="7">
        <v>0.51</v>
      </c>
      <c r="AA120" s="7">
        <f>ROUND(6.02/E120,3)</f>
        <v>0.35399999999999998</v>
      </c>
      <c r="AB120" s="7">
        <f>ROUND(0/E120,3)</f>
        <v>0</v>
      </c>
      <c r="AC120" s="7">
        <v>8478178</v>
      </c>
    </row>
    <row r="121" spans="1:29" ht="15" customHeight="1" x14ac:dyDescent="0.2">
      <c r="A121" s="7" t="s">
        <v>394</v>
      </c>
      <c r="B121" s="7" t="s">
        <v>376</v>
      </c>
      <c r="C121" s="7" t="s">
        <v>297</v>
      </c>
      <c r="D121" s="7">
        <v>32</v>
      </c>
      <c r="E121" s="7">
        <v>82</v>
      </c>
      <c r="F121" s="7">
        <f>ROUND(25/E121,3)</f>
        <v>0.30499999999999999</v>
      </c>
      <c r="G121" s="7">
        <f>ROUND(76/E121,3)</f>
        <v>0.92700000000000005</v>
      </c>
      <c r="H121" s="7">
        <f>ROUND(209/E121,3)</f>
        <v>2.5489999999999999</v>
      </c>
      <c r="I121" s="7">
        <f>ROUND(33/E121,3)</f>
        <v>0.40200000000000002</v>
      </c>
      <c r="J121" s="7">
        <f>ROUND(19/E121,3)</f>
        <v>0.23200000000000001</v>
      </c>
      <c r="K121" s="7">
        <f t="shared" si="5"/>
        <v>10.984</v>
      </c>
      <c r="L121" s="7">
        <f>ROUND(2100.4333333333/E121,3)</f>
        <v>25.614999999999998</v>
      </c>
      <c r="M121" s="7">
        <f>ROUND(36/E121,3)</f>
        <v>0.439</v>
      </c>
      <c r="N121" s="7" t="s">
        <v>702</v>
      </c>
      <c r="O121" s="7" t="s">
        <v>703</v>
      </c>
      <c r="P121" s="7">
        <f>ROUND(505/E121,3)</f>
        <v>6.1589999999999998</v>
      </c>
      <c r="Q121" s="7">
        <f>ROUND(287/E121,3)</f>
        <v>3.5</v>
      </c>
      <c r="R121" s="7">
        <f>ROUND(166/E121,3)</f>
        <v>2.024</v>
      </c>
      <c r="S121" s="7">
        <f>ROUND(28/E121,3)</f>
        <v>0.34100000000000003</v>
      </c>
      <c r="T121" s="7">
        <f>ROUND(12.46/E121,3)</f>
        <v>0.152</v>
      </c>
      <c r="U121" s="7">
        <f>ROUND(101/E121,3)</f>
        <v>1.232</v>
      </c>
      <c r="V121" s="7">
        <f>ROUND(81/E121,3)</f>
        <v>0.98799999999999999</v>
      </c>
      <c r="W121" s="7">
        <f>ROUND(12.42/E121,3)</f>
        <v>0.151</v>
      </c>
      <c r="X121" s="7">
        <v>0.55000000000000004</v>
      </c>
      <c r="Y121" s="7">
        <v>0.56999999999999995</v>
      </c>
      <c r="Z121" s="7">
        <v>0.56000000000000005</v>
      </c>
      <c r="AA121" s="7">
        <f>ROUND(99.02/E121,3)</f>
        <v>1.208</v>
      </c>
      <c r="AB121" s="7">
        <f>ROUND(11/E121,3)</f>
        <v>0.13400000000000001</v>
      </c>
      <c r="AC121" s="7">
        <v>8474578</v>
      </c>
    </row>
    <row r="122" spans="1:29" ht="15" customHeight="1" x14ac:dyDescent="0.2">
      <c r="A122" s="7" t="s">
        <v>397</v>
      </c>
      <c r="B122" s="7" t="s">
        <v>376</v>
      </c>
      <c r="C122" s="7" t="s">
        <v>93</v>
      </c>
      <c r="D122" s="7">
        <v>23</v>
      </c>
      <c r="E122" s="7">
        <v>79</v>
      </c>
      <c r="F122" s="7">
        <f>ROUND(11/E122,3)</f>
        <v>0.13900000000000001</v>
      </c>
      <c r="G122" s="7">
        <f>ROUND(62/E122,3)</f>
        <v>0.78500000000000003</v>
      </c>
      <c r="H122" s="7">
        <f>ROUND(206/E122,3)</f>
        <v>2.6080000000000001</v>
      </c>
      <c r="I122" s="7">
        <f>ROUND(49/E122,3)</f>
        <v>0.62</v>
      </c>
      <c r="J122" s="7">
        <f>ROUND(87/E122,3)</f>
        <v>1.101</v>
      </c>
      <c r="K122" s="7">
        <f t="shared" si="5"/>
        <v>9.8409999999999993</v>
      </c>
      <c r="L122" s="7">
        <f>ROUND(2013.8/E122,3)</f>
        <v>25.491</v>
      </c>
      <c r="M122" s="7">
        <f>ROUND(32/E122,3)</f>
        <v>0.40500000000000003</v>
      </c>
      <c r="N122" s="7" t="s">
        <v>704</v>
      </c>
      <c r="O122" s="7" t="s">
        <v>705</v>
      </c>
      <c r="P122" s="7">
        <f>ROUND(441/E122,3)</f>
        <v>5.5819999999999999</v>
      </c>
      <c r="Q122" s="7">
        <f>ROUND(281/E122,3)</f>
        <v>3.5569999999999999</v>
      </c>
      <c r="R122" s="7">
        <f>ROUND(156/E122,3)</f>
        <v>1.9750000000000001</v>
      </c>
      <c r="S122" s="7">
        <f>ROUND(23/E122,3)</f>
        <v>0.29099999999999998</v>
      </c>
      <c r="T122" s="7">
        <f>ROUND(12.72/E122,3)</f>
        <v>0.161</v>
      </c>
      <c r="U122" s="7">
        <f>ROUND(65/E122,3)</f>
        <v>0.82299999999999995</v>
      </c>
      <c r="V122" s="7">
        <f>ROUND(53/E122,3)</f>
        <v>0.67100000000000004</v>
      </c>
      <c r="W122" s="7">
        <f>ROUND(12.06/E122,3)</f>
        <v>0.153</v>
      </c>
      <c r="X122" s="7">
        <v>0.59</v>
      </c>
      <c r="Y122" s="7">
        <v>0.57999999999999996</v>
      </c>
      <c r="Z122" s="7">
        <v>0.56000000000000005</v>
      </c>
      <c r="AA122" s="7">
        <f>ROUND(82.75/E122,3)</f>
        <v>1.0469999999999999</v>
      </c>
      <c r="AB122" s="7">
        <f>ROUND(8/E122,3)</f>
        <v>0.10100000000000001</v>
      </c>
      <c r="AC122" s="7">
        <v>8480036</v>
      </c>
    </row>
    <row r="123" spans="1:29" ht="15" customHeight="1" x14ac:dyDescent="0.2">
      <c r="A123" s="7" t="s">
        <v>400</v>
      </c>
      <c r="B123" s="7" t="s">
        <v>376</v>
      </c>
      <c r="C123" s="7" t="s">
        <v>84</v>
      </c>
      <c r="D123" s="7">
        <v>24</v>
      </c>
      <c r="E123" s="7">
        <v>67</v>
      </c>
      <c r="F123" s="7">
        <f>ROUND(7/E123,3)</f>
        <v>0.104</v>
      </c>
      <c r="G123" s="7">
        <f>ROUND(45/E123,3)</f>
        <v>0.67200000000000004</v>
      </c>
      <c r="H123" s="7">
        <f>ROUND(105/E123,3)</f>
        <v>1.5669999999999999</v>
      </c>
      <c r="I123" s="7">
        <f>ROUND(84/E123,3)</f>
        <v>1.254</v>
      </c>
      <c r="J123" s="7">
        <f>ROUND(112/E123,3)</f>
        <v>1.6719999999999999</v>
      </c>
      <c r="K123" s="7">
        <f t="shared" si="5"/>
        <v>8.73</v>
      </c>
      <c r="L123" s="7">
        <f>ROUND(1494.3/E123,3)</f>
        <v>22.303000000000001</v>
      </c>
      <c r="M123" s="7">
        <f>ROUND(54/E123,3)</f>
        <v>0.80600000000000005</v>
      </c>
      <c r="N123" s="7" t="s">
        <v>308</v>
      </c>
      <c r="O123" s="7" t="s">
        <v>706</v>
      </c>
      <c r="P123" s="7">
        <f>ROUND(225/E123,3)</f>
        <v>3.3580000000000001</v>
      </c>
      <c r="Q123" s="7">
        <f>ROUND(143/E123,3)</f>
        <v>2.1339999999999999</v>
      </c>
      <c r="R123" s="7">
        <f>ROUND(88/E123,3)</f>
        <v>1.3129999999999999</v>
      </c>
      <c r="S123" s="7">
        <f>ROUND(20/E123,3)</f>
        <v>0.29899999999999999</v>
      </c>
      <c r="T123" s="7">
        <f>ROUND(6.94/E123,3)</f>
        <v>0.104</v>
      </c>
      <c r="U123" s="7">
        <f>ROUND(45/E123,3)</f>
        <v>0.67200000000000004</v>
      </c>
      <c r="V123" s="7">
        <f>ROUND(26/E123,3)</f>
        <v>0.38800000000000001</v>
      </c>
      <c r="W123" s="7">
        <f>ROUND(7.05/E123,3)</f>
        <v>0.105</v>
      </c>
      <c r="X123" s="7">
        <v>0.56000000000000005</v>
      </c>
      <c r="Y123" s="7">
        <v>0.55000000000000004</v>
      </c>
      <c r="Z123" s="7">
        <v>0.55000000000000004</v>
      </c>
      <c r="AA123" s="7">
        <f>ROUND(57.73/E123,3)</f>
        <v>0.86199999999999999</v>
      </c>
      <c r="AB123" s="7">
        <f>ROUND(6/E123,3)</f>
        <v>0.09</v>
      </c>
      <c r="AC123" s="7">
        <v>8479325</v>
      </c>
    </row>
    <row r="124" spans="1:29" ht="15" customHeight="1" x14ac:dyDescent="0.2">
      <c r="A124" s="7" t="s">
        <v>403</v>
      </c>
      <c r="B124" s="7" t="s">
        <v>376</v>
      </c>
      <c r="C124" s="7" t="s">
        <v>707</v>
      </c>
      <c r="D124" s="7">
        <v>24</v>
      </c>
      <c r="E124" s="7">
        <v>48</v>
      </c>
      <c r="F124" s="7">
        <f>ROUND(9/E124,3)</f>
        <v>0.188</v>
      </c>
      <c r="G124" s="7">
        <f>ROUND(24/E124,3)</f>
        <v>0.5</v>
      </c>
      <c r="H124" s="7">
        <f>ROUND(144/E124,3)</f>
        <v>3</v>
      </c>
      <c r="I124" s="7">
        <f>ROUND(55/E124,3)</f>
        <v>1.1459999999999999</v>
      </c>
      <c r="J124" s="7">
        <f>ROUND(70/E124,3)</f>
        <v>1.458</v>
      </c>
      <c r="K124" s="7">
        <f t="shared" si="5"/>
        <v>9.5350000000000001</v>
      </c>
      <c r="L124" s="7">
        <f>ROUND(1089.7833333333/E124,3)</f>
        <v>22.704000000000001</v>
      </c>
      <c r="M124" s="7">
        <f>ROUND(30/E124,3)</f>
        <v>0.625</v>
      </c>
      <c r="N124" s="7" t="s">
        <v>708</v>
      </c>
      <c r="O124" s="7" t="s">
        <v>709</v>
      </c>
      <c r="P124" s="7">
        <f>ROUND(281/E124,3)</f>
        <v>5.8540000000000001</v>
      </c>
      <c r="Q124" s="7">
        <f>ROUND(205/E124,3)</f>
        <v>4.2709999999999999</v>
      </c>
      <c r="R124" s="7">
        <f>ROUND(95/E124,3)</f>
        <v>1.9790000000000001</v>
      </c>
      <c r="S124" s="7">
        <f>ROUND(20/E124,3)</f>
        <v>0.41699999999999998</v>
      </c>
      <c r="T124" s="7">
        <f>ROUND(9.64/E124,3)</f>
        <v>0.20100000000000001</v>
      </c>
      <c r="U124" s="7">
        <f>ROUND(46/E124,3)</f>
        <v>0.95799999999999996</v>
      </c>
      <c r="V124" s="7">
        <f>ROUND(18/E124,3)</f>
        <v>0.375</v>
      </c>
      <c r="W124" s="7">
        <f>ROUND(11.51/E124,3)</f>
        <v>0.24</v>
      </c>
      <c r="X124" s="7">
        <v>0.52</v>
      </c>
      <c r="Y124" s="7">
        <v>0.54</v>
      </c>
      <c r="Z124" s="7">
        <v>0.54</v>
      </c>
      <c r="AA124" s="7">
        <f>ROUND(36.75/E124,3)</f>
        <v>0.76600000000000001</v>
      </c>
      <c r="AB124" s="7">
        <f>ROUND(9/E124,3)</f>
        <v>0.188</v>
      </c>
      <c r="AC124" s="7">
        <v>8479345</v>
      </c>
    </row>
    <row r="125" spans="1:29" ht="15" customHeight="1" x14ac:dyDescent="0.2">
      <c r="A125" s="7" t="s">
        <v>405</v>
      </c>
      <c r="B125" s="7" t="s">
        <v>376</v>
      </c>
      <c r="C125" s="7" t="s">
        <v>259</v>
      </c>
      <c r="D125" s="7">
        <v>32</v>
      </c>
      <c r="E125" s="7">
        <v>40</v>
      </c>
      <c r="F125" s="7">
        <f>ROUND(9/E125,3)</f>
        <v>0.22500000000000001</v>
      </c>
      <c r="G125" s="7">
        <f>ROUND(20/E125,3)</f>
        <v>0.5</v>
      </c>
      <c r="H125" s="7">
        <f>ROUND(124/E125,3)</f>
        <v>3.1</v>
      </c>
      <c r="I125" s="7">
        <f>ROUND(42/E125,3)</f>
        <v>1.05</v>
      </c>
      <c r="J125" s="7">
        <f>ROUND(74/E125,3)</f>
        <v>1.85</v>
      </c>
      <c r="K125" s="7">
        <f t="shared" si="5"/>
        <v>10.275</v>
      </c>
      <c r="L125" s="7">
        <f>ROUND(935.58333333333/E125,3)</f>
        <v>23.39</v>
      </c>
      <c r="M125" s="7">
        <f>ROUND(12/E125,3)</f>
        <v>0.3</v>
      </c>
      <c r="N125" s="7" t="s">
        <v>710</v>
      </c>
      <c r="O125" s="7" t="s">
        <v>711</v>
      </c>
      <c r="P125" s="7">
        <f>ROUND(261/E125,3)</f>
        <v>6.5250000000000004</v>
      </c>
      <c r="Q125" s="7">
        <f>ROUND(193/E125,3)</f>
        <v>4.8250000000000002</v>
      </c>
      <c r="R125" s="7">
        <f>ROUND(91/E125,3)</f>
        <v>2.2749999999999999</v>
      </c>
      <c r="S125" s="7">
        <f>ROUND(10/E125,3)</f>
        <v>0.25</v>
      </c>
      <c r="T125" s="7">
        <f>ROUND(8.65/E125,3)</f>
        <v>0.216</v>
      </c>
      <c r="U125" s="7">
        <f>ROUND(33/E125,3)</f>
        <v>0.82499999999999996</v>
      </c>
      <c r="V125" s="7">
        <f>ROUND(21/E125,3)</f>
        <v>0.52500000000000002</v>
      </c>
      <c r="W125" s="7">
        <f>ROUND(8.43/E125,3)</f>
        <v>0.21099999999999999</v>
      </c>
      <c r="X125" s="7">
        <v>0.54</v>
      </c>
      <c r="Y125" s="7">
        <v>0.55000000000000004</v>
      </c>
      <c r="Z125" s="7">
        <v>0.56000000000000005</v>
      </c>
      <c r="AA125" s="7">
        <f>ROUND(33.6/E125,3)</f>
        <v>0.84</v>
      </c>
      <c r="AB125" s="7">
        <f>ROUND(8/E125,3)</f>
        <v>0.2</v>
      </c>
      <c r="AC125" s="7">
        <v>8474590</v>
      </c>
    </row>
    <row r="126" spans="1:29" ht="15" customHeight="1" x14ac:dyDescent="0.2">
      <c r="A126" s="7" t="s">
        <v>408</v>
      </c>
      <c r="B126" s="7" t="s">
        <v>376</v>
      </c>
      <c r="C126" s="7" t="s">
        <v>160</v>
      </c>
      <c r="D126" s="7">
        <v>21</v>
      </c>
      <c r="E126" s="7">
        <v>82</v>
      </c>
      <c r="F126" s="7">
        <f>ROUND(5/E126,3)</f>
        <v>6.0999999999999999E-2</v>
      </c>
      <c r="G126" s="7">
        <f>ROUND(37/E126,3)</f>
        <v>0.45100000000000001</v>
      </c>
      <c r="H126" s="7">
        <f>ROUND(140/E126,3)</f>
        <v>1.7070000000000001</v>
      </c>
      <c r="I126" s="7">
        <f>ROUND(207/E126,3)</f>
        <v>2.524</v>
      </c>
      <c r="J126" s="7">
        <f>ROUND(167/E126,3)</f>
        <v>2.0369999999999999</v>
      </c>
      <c r="K126" s="7">
        <f t="shared" si="5"/>
        <v>8.1999999999999993</v>
      </c>
      <c r="L126" s="7">
        <f>ROUND(1898.2/E126,3)</f>
        <v>23.149000000000001</v>
      </c>
      <c r="M126" s="7">
        <f>ROUND(40/E126,3)</f>
        <v>0.48799999999999999</v>
      </c>
      <c r="N126" s="7" t="s">
        <v>521</v>
      </c>
      <c r="O126" s="7" t="s">
        <v>712</v>
      </c>
      <c r="P126" s="7">
        <f>ROUND(297/E126,3)</f>
        <v>3.6219999999999999</v>
      </c>
      <c r="Q126" s="7">
        <f>ROUND(201/E126,3)</f>
        <v>2.4510000000000001</v>
      </c>
      <c r="R126" s="7">
        <f>ROUND(67/E126,3)</f>
        <v>0.81699999999999995</v>
      </c>
      <c r="S126" s="7">
        <f>ROUND(6/E126,3)</f>
        <v>7.2999999999999995E-2</v>
      </c>
      <c r="T126" s="7">
        <f>ROUND(6.84/E126,3)</f>
        <v>8.3000000000000004E-2</v>
      </c>
      <c r="U126" s="7">
        <f>ROUND(46/E126,3)</f>
        <v>0.56100000000000005</v>
      </c>
      <c r="V126" s="7">
        <f>ROUND(29/E126,3)</f>
        <v>0.35399999999999998</v>
      </c>
      <c r="W126" s="7">
        <f>ROUND(5.1/E126,3)</f>
        <v>6.2E-2</v>
      </c>
      <c r="X126" s="7">
        <v>0.47</v>
      </c>
      <c r="Y126" s="7">
        <v>0.48</v>
      </c>
      <c r="Z126" s="7">
        <v>0.49</v>
      </c>
      <c r="AA126" s="7">
        <f>ROUND(36.65/E126,3)</f>
        <v>0.44700000000000001</v>
      </c>
      <c r="AB126" s="7">
        <f>ROUND(2/E126,3)</f>
        <v>2.4E-2</v>
      </c>
      <c r="AC126" s="7">
        <v>8481542</v>
      </c>
    </row>
    <row r="127" spans="1:29" ht="15" customHeight="1" x14ac:dyDescent="0.2">
      <c r="A127" s="7" t="s">
        <v>411</v>
      </c>
      <c r="B127" s="7" t="s">
        <v>376</v>
      </c>
      <c r="D127" s="7">
        <v>15</v>
      </c>
      <c r="K127" s="7"/>
      <c r="AC127" s="7">
        <v>8485366</v>
      </c>
    </row>
    <row r="128" spans="1:29" ht="15" customHeight="1" x14ac:dyDescent="0.2">
      <c r="A128" s="7" t="s">
        <v>412</v>
      </c>
      <c r="B128" s="7" t="s">
        <v>376</v>
      </c>
      <c r="C128" s="7" t="s">
        <v>61</v>
      </c>
      <c r="D128" s="7">
        <v>24</v>
      </c>
      <c r="E128" s="7">
        <v>79</v>
      </c>
      <c r="F128" s="7">
        <f>ROUND(10/E128,3)</f>
        <v>0.127</v>
      </c>
      <c r="G128" s="7">
        <f>ROUND(54/E128,3)</f>
        <v>0.68400000000000005</v>
      </c>
      <c r="H128" s="7">
        <f>ROUND(156/E128,3)</f>
        <v>1.9750000000000001</v>
      </c>
      <c r="I128" s="7">
        <f>ROUND(128/E128,3)</f>
        <v>1.62</v>
      </c>
      <c r="J128" s="7">
        <f>ROUND(27/E128,3)</f>
        <v>0.34200000000000003</v>
      </c>
      <c r="K128" s="7">
        <f t="shared" ref="K128:K143" si="6">8*F128+6*G128+1*H128+1*J128+0.5*I128</f>
        <v>8.2469999999999999</v>
      </c>
      <c r="L128" s="7">
        <f>ROUND(1881.0666666667/E128,3)</f>
        <v>23.811</v>
      </c>
      <c r="M128" s="7">
        <f>ROUND(53/E128,3)</f>
        <v>0.67100000000000004</v>
      </c>
      <c r="N128" s="7" t="s">
        <v>713</v>
      </c>
      <c r="O128" s="7" t="s">
        <v>714</v>
      </c>
      <c r="P128" s="7">
        <f>ROUND(352/E128,3)</f>
        <v>4.4560000000000004</v>
      </c>
      <c r="Q128" s="7">
        <f>ROUND(225/E128,3)</f>
        <v>2.8479999999999999</v>
      </c>
      <c r="R128" s="7">
        <f>ROUND(100/E128,3)</f>
        <v>1.266</v>
      </c>
      <c r="S128" s="7">
        <f>ROUND(14/E128,3)</f>
        <v>0.17699999999999999</v>
      </c>
      <c r="T128" s="7">
        <f>ROUND(7.87/E128,3)</f>
        <v>0.1</v>
      </c>
      <c r="U128" s="7">
        <f>ROUND(45/E128,3)</f>
        <v>0.56999999999999995</v>
      </c>
      <c r="V128" s="7">
        <f>ROUND(55/E128,3)</f>
        <v>0.69599999999999995</v>
      </c>
      <c r="W128" s="7">
        <f>ROUND(7.27/E128,3)</f>
        <v>9.1999999999999998E-2</v>
      </c>
      <c r="X128" s="7">
        <v>0.54</v>
      </c>
      <c r="Y128" s="7">
        <v>0.52</v>
      </c>
      <c r="Z128" s="7">
        <v>0.52</v>
      </c>
      <c r="AA128" s="7">
        <f>ROUND(66.7/E128,3)</f>
        <v>0.84399999999999997</v>
      </c>
      <c r="AB128" s="7">
        <f>ROUND(4/E128,3)</f>
        <v>5.0999999999999997E-2</v>
      </c>
      <c r="AC128" s="7">
        <v>8479410</v>
      </c>
    </row>
    <row r="129" spans="1:29" ht="15" customHeight="1" x14ac:dyDescent="0.2">
      <c r="A129" s="7" t="s">
        <v>414</v>
      </c>
      <c r="B129" s="7" t="s">
        <v>376</v>
      </c>
      <c r="C129" s="7" t="s">
        <v>230</v>
      </c>
      <c r="D129" s="7">
        <v>21</v>
      </c>
      <c r="E129" s="7">
        <v>2</v>
      </c>
      <c r="F129" s="7">
        <f>ROUND(0/E129,3)</f>
        <v>0</v>
      </c>
      <c r="G129" s="7">
        <f>ROUND(0/E129,3)</f>
        <v>0</v>
      </c>
      <c r="H129" s="7">
        <f>ROUND(1/E129,3)</f>
        <v>0.5</v>
      </c>
      <c r="I129" s="7">
        <f>ROUND(1/E129,3)</f>
        <v>0.5</v>
      </c>
      <c r="J129" s="7">
        <f>ROUND(3/E129,3)</f>
        <v>1.5</v>
      </c>
      <c r="K129" s="7">
        <f t="shared" si="6"/>
        <v>2.25</v>
      </c>
      <c r="L129" s="7">
        <f>ROUND(36.95/E129,3)</f>
        <v>18.475000000000001</v>
      </c>
      <c r="M129" s="7">
        <f>ROUND(0/E129,3)</f>
        <v>0</v>
      </c>
      <c r="N129" s="7" t="s">
        <v>207</v>
      </c>
      <c r="O129" s="7" t="s">
        <v>207</v>
      </c>
      <c r="P129" s="7">
        <f>ROUND(1/E129,3)</f>
        <v>0.5</v>
      </c>
      <c r="Q129" s="7">
        <f>ROUND(1/E129,3)</f>
        <v>0.5</v>
      </c>
      <c r="R129" s="7">
        <f>ROUND(0/E129,3)</f>
        <v>0</v>
      </c>
      <c r="S129" s="7">
        <f>ROUND(0/E129,3)</f>
        <v>0</v>
      </c>
      <c r="T129" s="7">
        <f>ROUND(0.02/E129,3)</f>
        <v>0.01</v>
      </c>
      <c r="U129" s="7">
        <f>ROUND(0/E129,3)</f>
        <v>0</v>
      </c>
      <c r="V129" s="7">
        <f>ROUND(0/E129,3)</f>
        <v>0</v>
      </c>
      <c r="W129" s="7">
        <f>ROUND(0.03/E129,3)</f>
        <v>1.4999999999999999E-2</v>
      </c>
      <c r="X129" s="7">
        <v>0.53</v>
      </c>
      <c r="Y129" s="7">
        <v>0.43</v>
      </c>
      <c r="Z129" s="7">
        <v>0.49</v>
      </c>
      <c r="AA129" s="7">
        <f>ROUND(-0.17/E129,3)</f>
        <v>-8.5000000000000006E-2</v>
      </c>
      <c r="AB129" s="7">
        <f>ROUND(0/E129,3)</f>
        <v>0</v>
      </c>
      <c r="AC129" s="7">
        <v>8481605</v>
      </c>
    </row>
    <row r="130" spans="1:29" ht="15" customHeight="1" x14ac:dyDescent="0.2">
      <c r="A130" s="7" t="s">
        <v>415</v>
      </c>
      <c r="B130" s="7" t="s">
        <v>376</v>
      </c>
      <c r="C130" s="7" t="s">
        <v>72</v>
      </c>
      <c r="D130" s="7">
        <v>27</v>
      </c>
      <c r="E130" s="7">
        <v>78</v>
      </c>
      <c r="F130" s="7">
        <f>ROUND(16/E130,3)</f>
        <v>0.20499999999999999</v>
      </c>
      <c r="G130" s="7">
        <f>ROUND(60/E130,3)</f>
        <v>0.76900000000000002</v>
      </c>
      <c r="H130" s="7">
        <f>ROUND(172/E130,3)</f>
        <v>2.2050000000000001</v>
      </c>
      <c r="I130" s="7">
        <f>ROUND(89/E130,3)</f>
        <v>1.141</v>
      </c>
      <c r="J130" s="7">
        <f>ROUND(100/E130,3)</f>
        <v>1.282</v>
      </c>
      <c r="K130" s="7">
        <f t="shared" si="6"/>
        <v>10.311499999999999</v>
      </c>
      <c r="L130" s="7">
        <f>ROUND(1890.0333333333/E130,3)</f>
        <v>24.231000000000002</v>
      </c>
      <c r="M130" s="7">
        <f>ROUND(41/E130,3)</f>
        <v>0.52600000000000002</v>
      </c>
      <c r="N130" s="7" t="s">
        <v>715</v>
      </c>
      <c r="O130" s="7" t="s">
        <v>716</v>
      </c>
      <c r="P130" s="7">
        <f>ROUND(395/E130,3)</f>
        <v>5.0640000000000001</v>
      </c>
      <c r="Q130" s="7">
        <f>ROUND(265/E130,3)</f>
        <v>3.3969999999999998</v>
      </c>
      <c r="R130" s="7">
        <f>ROUND(138/E130,3)</f>
        <v>1.7689999999999999</v>
      </c>
      <c r="S130" s="7">
        <f>ROUND(30/E130,3)</f>
        <v>0.38500000000000001</v>
      </c>
      <c r="T130" s="7">
        <f>ROUND(12.23/E130,3)</f>
        <v>0.157</v>
      </c>
      <c r="U130" s="7">
        <f>ROUND(59/E130,3)</f>
        <v>0.75600000000000001</v>
      </c>
      <c r="V130" s="7">
        <f>ROUND(36/E130,3)</f>
        <v>0.46200000000000002</v>
      </c>
      <c r="W130" s="7">
        <f>ROUND(11.25/E130,3)</f>
        <v>0.14399999999999999</v>
      </c>
      <c r="X130" s="7">
        <v>0.56000000000000005</v>
      </c>
      <c r="Y130" s="7">
        <v>0.56999999999999995</v>
      </c>
      <c r="Z130" s="7">
        <v>0.56999999999999995</v>
      </c>
      <c r="AA130" s="7">
        <f>ROUND(74.15/E130,3)</f>
        <v>0.95099999999999996</v>
      </c>
      <c r="AB130" s="7">
        <f>ROUND(5/E130,3)</f>
        <v>6.4000000000000001E-2</v>
      </c>
      <c r="AC130" s="7">
        <v>8477504</v>
      </c>
    </row>
    <row r="131" spans="1:29" ht="15" customHeight="1" x14ac:dyDescent="0.2">
      <c r="A131" s="7" t="s">
        <v>418</v>
      </c>
      <c r="B131" s="7" t="s">
        <v>376</v>
      </c>
      <c r="C131" s="7" t="s">
        <v>164</v>
      </c>
      <c r="D131" s="7">
        <v>32</v>
      </c>
      <c r="E131" s="7">
        <v>67</v>
      </c>
      <c r="F131" s="7">
        <f>ROUND(18/E131,3)</f>
        <v>0.26900000000000002</v>
      </c>
      <c r="G131" s="7">
        <f>ROUND(41/E131,3)</f>
        <v>0.61199999999999999</v>
      </c>
      <c r="H131" s="7">
        <f>ROUND(269/E131,3)</f>
        <v>4.0149999999999997</v>
      </c>
      <c r="I131" s="7">
        <f>ROUND(51/E131,3)</f>
        <v>0.76100000000000001</v>
      </c>
      <c r="J131" s="7">
        <f>ROUND(126/E131,3)</f>
        <v>1.881</v>
      </c>
      <c r="K131" s="7">
        <f t="shared" si="6"/>
        <v>12.100499999999998</v>
      </c>
      <c r="L131" s="7">
        <f>ROUND(1686.2/E131,3)</f>
        <v>25.167000000000002</v>
      </c>
      <c r="M131" s="7">
        <f>ROUND(36/E131,3)</f>
        <v>0.53700000000000003</v>
      </c>
      <c r="N131" s="7" t="s">
        <v>717</v>
      </c>
      <c r="O131" s="7" t="s">
        <v>718</v>
      </c>
      <c r="P131" s="7">
        <f>ROUND(542/E131,3)</f>
        <v>8.09</v>
      </c>
      <c r="Q131" s="7">
        <f>ROUND(357/E131,3)</f>
        <v>5.3280000000000003</v>
      </c>
      <c r="R131" s="7">
        <f>ROUND(196/E131,3)</f>
        <v>2.9249999999999998</v>
      </c>
      <c r="S131" s="7">
        <f>ROUND(41/E131,3)</f>
        <v>0.61199999999999999</v>
      </c>
      <c r="T131" s="7">
        <f>ROUND(16.82/E131,3)</f>
        <v>0.251</v>
      </c>
      <c r="U131" s="7">
        <f>ROUND(29/E131,3)</f>
        <v>0.433</v>
      </c>
      <c r="V131" s="7">
        <f>ROUND(24/E131,3)</f>
        <v>0.35799999999999998</v>
      </c>
      <c r="W131" s="7">
        <f>ROUND(17.7/E131,3)</f>
        <v>0.26400000000000001</v>
      </c>
      <c r="X131" s="7">
        <v>0.54</v>
      </c>
      <c r="Y131" s="7">
        <v>0.56000000000000005</v>
      </c>
      <c r="Z131" s="7">
        <v>0.55000000000000004</v>
      </c>
      <c r="AA131" s="7">
        <f>ROUND(71.67/E131,3)</f>
        <v>1.07</v>
      </c>
      <c r="AB131" s="7">
        <f>ROUND(12/E131,3)</f>
        <v>0.17899999999999999</v>
      </c>
      <c r="AC131" s="7">
        <v>8474600</v>
      </c>
    </row>
    <row r="132" spans="1:29" ht="15" customHeight="1" x14ac:dyDescent="0.2">
      <c r="A132" s="7" t="s">
        <v>421</v>
      </c>
      <c r="B132" s="7" t="s">
        <v>376</v>
      </c>
      <c r="C132" s="7" t="s">
        <v>135</v>
      </c>
      <c r="D132" s="7">
        <v>20</v>
      </c>
      <c r="E132" s="7">
        <v>77</v>
      </c>
      <c r="F132" s="7">
        <f>ROUND(4/E132,3)</f>
        <v>5.1999999999999998E-2</v>
      </c>
      <c r="G132" s="7">
        <f>ROUND(28/E132,3)</f>
        <v>0.36399999999999999</v>
      </c>
      <c r="H132" s="7">
        <f>ROUND(132/E132,3)</f>
        <v>1.714</v>
      </c>
      <c r="I132" s="7">
        <f>ROUND(43/E132,3)</f>
        <v>0.55800000000000005</v>
      </c>
      <c r="J132" s="7">
        <f>ROUND(140/E132,3)</f>
        <v>1.8180000000000001</v>
      </c>
      <c r="K132" s="7">
        <f t="shared" si="6"/>
        <v>6.4109999999999996</v>
      </c>
      <c r="L132" s="7">
        <f>ROUND(1687.8666666667/E132,3)</f>
        <v>21.92</v>
      </c>
      <c r="M132" s="7">
        <f>ROUND(12/E132,3)</f>
        <v>0.156</v>
      </c>
      <c r="N132" s="7" t="s">
        <v>719</v>
      </c>
      <c r="O132" s="7" t="s">
        <v>720</v>
      </c>
      <c r="P132" s="7">
        <f>ROUND(279/E132,3)</f>
        <v>3.6230000000000002</v>
      </c>
      <c r="Q132" s="7">
        <f>ROUND(192/E132,3)</f>
        <v>2.4940000000000002</v>
      </c>
      <c r="R132" s="7">
        <f>ROUND(76/E132,3)</f>
        <v>0.98699999999999999</v>
      </c>
      <c r="S132" s="7">
        <f>ROUND(12/E132,3)</f>
        <v>0.156</v>
      </c>
      <c r="T132" s="7">
        <f>ROUND(7.88/E132,3)</f>
        <v>0.10199999999999999</v>
      </c>
      <c r="U132" s="7">
        <f>ROUND(52/E132,3)</f>
        <v>0.67500000000000004</v>
      </c>
      <c r="V132" s="7">
        <f>ROUND(33/E132,3)</f>
        <v>0.42899999999999999</v>
      </c>
      <c r="W132" s="7">
        <f>ROUND(7.65/E132,3)</f>
        <v>9.9000000000000005E-2</v>
      </c>
      <c r="X132" s="7">
        <v>0.49</v>
      </c>
      <c r="Y132" s="7">
        <v>0.5</v>
      </c>
      <c r="Z132" s="7">
        <v>0.5</v>
      </c>
      <c r="AA132" s="7">
        <f>ROUND(41.15/E132,3)</f>
        <v>0.53400000000000003</v>
      </c>
      <c r="AB132" s="7">
        <f>ROUND(5/E132,3)</f>
        <v>6.5000000000000002E-2</v>
      </c>
      <c r="AC132" s="7">
        <v>8482105</v>
      </c>
    </row>
    <row r="133" spans="1:29" ht="15" customHeight="1" x14ac:dyDescent="0.2">
      <c r="A133" s="7" t="s">
        <v>422</v>
      </c>
      <c r="B133" s="7" t="s">
        <v>376</v>
      </c>
      <c r="C133" s="7" t="s">
        <v>131</v>
      </c>
      <c r="D133" s="7">
        <v>24</v>
      </c>
      <c r="E133" s="7">
        <v>82</v>
      </c>
      <c r="F133" s="7">
        <f>ROUND(12/E133,3)</f>
        <v>0.14599999999999999</v>
      </c>
      <c r="G133" s="7">
        <f>ROUND(60/E133,3)</f>
        <v>0.73199999999999998</v>
      </c>
      <c r="H133" s="7">
        <f>ROUND(159/E133,3)</f>
        <v>1.9390000000000001</v>
      </c>
      <c r="I133" s="7">
        <f>ROUND(25/E133,3)</f>
        <v>0.30499999999999999</v>
      </c>
      <c r="J133" s="7">
        <f>ROUND(104/E133,3)</f>
        <v>1.268</v>
      </c>
      <c r="K133" s="7">
        <f t="shared" si="6"/>
        <v>8.9194999999999993</v>
      </c>
      <c r="L133" s="7">
        <f>ROUND(1998.9666666667/E133,3)</f>
        <v>24.378</v>
      </c>
      <c r="M133" s="7">
        <f>ROUND(34/E133,3)</f>
        <v>0.41499999999999998</v>
      </c>
      <c r="N133" s="7" t="s">
        <v>721</v>
      </c>
      <c r="O133" s="7" t="s">
        <v>722</v>
      </c>
      <c r="P133" s="7">
        <f>ROUND(331/E133,3)</f>
        <v>4.0369999999999999</v>
      </c>
      <c r="Q133" s="7">
        <f>ROUND(220/E133,3)</f>
        <v>2.6829999999999998</v>
      </c>
      <c r="R133" s="7">
        <f>ROUND(154/E133,3)</f>
        <v>1.8779999999999999</v>
      </c>
      <c r="S133" s="7">
        <f>ROUND(35/E133,3)</f>
        <v>0.42699999999999999</v>
      </c>
      <c r="T133" s="7">
        <f>ROUND(12.04/E133,3)</f>
        <v>0.14699999999999999</v>
      </c>
      <c r="U133" s="7">
        <f>ROUND(74/E133,3)</f>
        <v>0.90200000000000002</v>
      </c>
      <c r="V133" s="7">
        <f>ROUND(88/E133,3)</f>
        <v>1.073</v>
      </c>
      <c r="W133" s="7">
        <f>ROUND(9.73/E133,3)</f>
        <v>0.11899999999999999</v>
      </c>
      <c r="X133" s="7">
        <v>0.57999999999999996</v>
      </c>
      <c r="Y133" s="7">
        <v>0.59</v>
      </c>
      <c r="Z133" s="7">
        <v>0.59</v>
      </c>
      <c r="AA133" s="7">
        <f>ROUND(78.53/E133,3)</f>
        <v>0.95799999999999996</v>
      </c>
      <c r="AB133" s="7">
        <f>ROUND(8/E133,3)</f>
        <v>9.8000000000000004E-2</v>
      </c>
      <c r="AC133" s="7">
        <v>8479323</v>
      </c>
    </row>
    <row r="134" spans="1:29" ht="15" customHeight="1" x14ac:dyDescent="0.2">
      <c r="A134" s="7" t="s">
        <v>425</v>
      </c>
      <c r="B134" s="7" t="s">
        <v>376</v>
      </c>
      <c r="C134" s="7" t="s">
        <v>106</v>
      </c>
      <c r="D134" s="7">
        <v>20</v>
      </c>
      <c r="E134" s="7">
        <v>2</v>
      </c>
      <c r="F134" s="7">
        <f>ROUND(0/E134,3)</f>
        <v>0</v>
      </c>
      <c r="G134" s="7">
        <f>ROUND(0/E134,3)</f>
        <v>0</v>
      </c>
      <c r="H134" s="7">
        <f>ROUND(1/E134,3)</f>
        <v>0.5</v>
      </c>
      <c r="I134" s="7">
        <f>ROUND(0/E134,3)</f>
        <v>0</v>
      </c>
      <c r="J134" s="7">
        <f>ROUND(9/E134,3)</f>
        <v>4.5</v>
      </c>
      <c r="K134" s="7">
        <f t="shared" si="6"/>
        <v>5</v>
      </c>
      <c r="L134" s="7">
        <f>ROUND(40.133333333333/E134,3)</f>
        <v>20.067</v>
      </c>
      <c r="M134" s="7">
        <f>ROUND(0/E134,3)</f>
        <v>0</v>
      </c>
      <c r="N134" s="7" t="s">
        <v>207</v>
      </c>
      <c r="O134" s="7" t="s">
        <v>207</v>
      </c>
      <c r="P134" s="7">
        <f>ROUND(4/E134,3)</f>
        <v>2</v>
      </c>
      <c r="Q134" s="7">
        <f>ROUND(3/E134,3)</f>
        <v>1.5</v>
      </c>
      <c r="R134" s="7">
        <f>ROUND(0/E134,3)</f>
        <v>0</v>
      </c>
      <c r="S134" s="7">
        <f>ROUND(0/E134,3)</f>
        <v>0</v>
      </c>
      <c r="T134" s="7">
        <f>ROUND(0.05/E134,3)</f>
        <v>2.5000000000000001E-2</v>
      </c>
      <c r="U134" s="7">
        <f>ROUND(1/E134,3)</f>
        <v>0.5</v>
      </c>
      <c r="V134" s="7">
        <f>ROUND(1/E134,3)</f>
        <v>0.5</v>
      </c>
      <c r="W134" s="7">
        <f>ROUND(0.04/E134,3)</f>
        <v>0.02</v>
      </c>
      <c r="X134" s="7">
        <v>0.6</v>
      </c>
      <c r="Y134" s="7">
        <v>0.4</v>
      </c>
      <c r="Z134" s="7">
        <v>0.46</v>
      </c>
      <c r="AA134" s="7">
        <f>ROUND(0.13/E134,3)</f>
        <v>6.5000000000000002E-2</v>
      </c>
      <c r="AB134" s="7">
        <f>ROUND(0/E134,3)</f>
        <v>0</v>
      </c>
      <c r="AC134" s="7">
        <v>8482122</v>
      </c>
    </row>
    <row r="135" spans="1:29" ht="15" customHeight="1" x14ac:dyDescent="0.2">
      <c r="A135" s="7" t="s">
        <v>426</v>
      </c>
      <c r="B135" s="7" t="s">
        <v>376</v>
      </c>
      <c r="C135" s="7" t="s">
        <v>723</v>
      </c>
      <c r="D135" s="7">
        <v>29</v>
      </c>
      <c r="E135" s="7">
        <v>75</v>
      </c>
      <c r="F135" s="7">
        <f>ROUND(13/E135,3)</f>
        <v>0.17299999999999999</v>
      </c>
      <c r="G135" s="7">
        <f>ROUND(28/E135,3)</f>
        <v>0.373</v>
      </c>
      <c r="H135" s="7">
        <f>ROUND(155/E135,3)</f>
        <v>2.0670000000000002</v>
      </c>
      <c r="I135" s="7">
        <f>ROUND(46/E135,3)</f>
        <v>0.61299999999999999</v>
      </c>
      <c r="J135" s="7">
        <f>ROUND(80/E135,3)</f>
        <v>1.0669999999999999</v>
      </c>
      <c r="K135" s="7">
        <f t="shared" si="6"/>
        <v>7.0625</v>
      </c>
      <c r="L135" s="7">
        <f>ROUND(1561.25/E135,3)</f>
        <v>20.817</v>
      </c>
      <c r="M135" s="7">
        <f>ROUND(32/E135,3)</f>
        <v>0.42699999999999999</v>
      </c>
      <c r="N135" s="7" t="s">
        <v>724</v>
      </c>
      <c r="O135" s="7" t="s">
        <v>725</v>
      </c>
      <c r="P135" s="7">
        <f>ROUND(334/E135,3)</f>
        <v>4.4530000000000003</v>
      </c>
      <c r="Q135" s="7">
        <f>ROUND(230/E135,3)</f>
        <v>3.0670000000000002</v>
      </c>
      <c r="R135" s="7">
        <f>ROUND(98/E135,3)</f>
        <v>1.3069999999999999</v>
      </c>
      <c r="S135" s="7">
        <f>ROUND(18/E135,3)</f>
        <v>0.24</v>
      </c>
      <c r="T135" s="7">
        <f>ROUND(9.52/E135,3)</f>
        <v>0.127</v>
      </c>
      <c r="U135" s="7">
        <f>ROUND(55/E135,3)</f>
        <v>0.73299999999999998</v>
      </c>
      <c r="V135" s="7">
        <f>ROUND(32/E135,3)</f>
        <v>0.42699999999999999</v>
      </c>
      <c r="W135" s="7">
        <f>ROUND(12.94/E135,3)</f>
        <v>0.17299999999999999</v>
      </c>
      <c r="X135" s="7">
        <v>0.55000000000000004</v>
      </c>
      <c r="Y135" s="7">
        <v>0.55000000000000004</v>
      </c>
      <c r="Z135" s="7">
        <v>0.55000000000000004</v>
      </c>
      <c r="AA135" s="7">
        <f>ROUND(47.77/E135,3)</f>
        <v>0.63700000000000001</v>
      </c>
      <c r="AB135" s="7">
        <f>ROUND(14/E135,3)</f>
        <v>0.187</v>
      </c>
      <c r="AC135" s="7">
        <v>8476906</v>
      </c>
    </row>
    <row r="136" spans="1:29" ht="15" customHeight="1" x14ac:dyDescent="0.2">
      <c r="A136" s="7" t="s">
        <v>429</v>
      </c>
      <c r="B136" s="7" t="s">
        <v>376</v>
      </c>
      <c r="C136" s="7" t="s">
        <v>726</v>
      </c>
      <c r="D136" s="7">
        <v>24</v>
      </c>
      <c r="E136" s="7">
        <v>64</v>
      </c>
      <c r="F136" s="7">
        <f>ROUND(9/E136,3)</f>
        <v>0.14099999999999999</v>
      </c>
      <c r="G136" s="7">
        <f>ROUND(30/E136,3)</f>
        <v>0.46899999999999997</v>
      </c>
      <c r="H136" s="7">
        <f>ROUND(124/E136,3)</f>
        <v>1.9379999999999999</v>
      </c>
      <c r="I136" s="7">
        <f>ROUND(102/E136,3)</f>
        <v>1.5940000000000001</v>
      </c>
      <c r="J136" s="7">
        <f>ROUND(51/E136,3)</f>
        <v>0.79700000000000004</v>
      </c>
      <c r="K136" s="7">
        <f t="shared" si="6"/>
        <v>7.4739999999999993</v>
      </c>
      <c r="L136" s="7">
        <f>ROUND(1388.7833333333/E136,3)</f>
        <v>21.7</v>
      </c>
      <c r="M136" s="7">
        <f>ROUND(34/E136,3)</f>
        <v>0.53100000000000003</v>
      </c>
      <c r="N136" s="7" t="s">
        <v>727</v>
      </c>
      <c r="O136" s="7" t="s">
        <v>711</v>
      </c>
      <c r="P136" s="7">
        <f>ROUND(259/E136,3)</f>
        <v>4.0469999999999997</v>
      </c>
      <c r="Q136" s="7">
        <f>ROUND(168/E136,3)</f>
        <v>2.625</v>
      </c>
      <c r="R136" s="7">
        <f>ROUND(61/E136,3)</f>
        <v>0.95299999999999996</v>
      </c>
      <c r="S136" s="7">
        <f>ROUND(9/E136,3)</f>
        <v>0.14099999999999999</v>
      </c>
      <c r="T136" s="7">
        <f>ROUND(6.39/E136,3)</f>
        <v>0.1</v>
      </c>
      <c r="U136" s="7">
        <f>ROUND(32/E136,3)</f>
        <v>0.5</v>
      </c>
      <c r="V136" s="7">
        <f>ROUND(12/E136,3)</f>
        <v>0.188</v>
      </c>
      <c r="W136" s="7">
        <f>ROUND(5.55/E136,3)</f>
        <v>8.6999999999999994E-2</v>
      </c>
      <c r="X136" s="7">
        <v>0.54</v>
      </c>
      <c r="Y136" s="7">
        <v>0.5</v>
      </c>
      <c r="Z136" s="7">
        <v>0.5</v>
      </c>
      <c r="AA136" s="7">
        <f>ROUND(30.3/E136,3)</f>
        <v>0.47299999999999998</v>
      </c>
      <c r="AB136" s="7">
        <f>ROUND(3/E136,3)</f>
        <v>4.7E-2</v>
      </c>
      <c r="AC136" s="7">
        <v>8479425</v>
      </c>
    </row>
    <row r="137" spans="1:29" ht="15" customHeight="1" x14ac:dyDescent="0.2">
      <c r="A137" s="7" t="s">
        <v>432</v>
      </c>
      <c r="B137" s="7" t="s">
        <v>376</v>
      </c>
      <c r="C137" s="7" t="s">
        <v>433</v>
      </c>
      <c r="D137" s="7">
        <v>25</v>
      </c>
      <c r="E137" s="7">
        <v>79</v>
      </c>
      <c r="F137" s="7">
        <f>ROUND(11/E137,3)</f>
        <v>0.13900000000000001</v>
      </c>
      <c r="G137" s="7">
        <f>ROUND(38/E137,3)</f>
        <v>0.48099999999999998</v>
      </c>
      <c r="H137" s="7">
        <f>ROUND(159/E137,3)</f>
        <v>2.0129999999999999</v>
      </c>
      <c r="I137" s="7">
        <f>ROUND(50/E137,3)</f>
        <v>0.63300000000000001</v>
      </c>
      <c r="J137" s="7">
        <f>ROUND(126/E137,3)</f>
        <v>1.595</v>
      </c>
      <c r="K137" s="7">
        <f t="shared" si="6"/>
        <v>7.9224999999999994</v>
      </c>
      <c r="L137" s="7">
        <f>ROUND(1902.8666666667/E137,3)</f>
        <v>24.087</v>
      </c>
      <c r="M137" s="7">
        <f>ROUND(26/E137,3)</f>
        <v>0.32900000000000001</v>
      </c>
      <c r="N137" s="7" t="s">
        <v>728</v>
      </c>
      <c r="O137" s="7" t="s">
        <v>729</v>
      </c>
      <c r="P137" s="7">
        <f>ROUND(304/E137,3)</f>
        <v>3.8479999999999999</v>
      </c>
      <c r="Q137" s="7">
        <f>ROUND(223/E137,3)</f>
        <v>2.823</v>
      </c>
      <c r="R137" s="7">
        <f>ROUND(94/E137,3)</f>
        <v>1.19</v>
      </c>
      <c r="S137" s="7">
        <f>ROUND(21/E137,3)</f>
        <v>0.26600000000000001</v>
      </c>
      <c r="T137" s="7">
        <f>ROUND(9.02/E137,3)</f>
        <v>0.114</v>
      </c>
      <c r="U137" s="7">
        <f>ROUND(51/E137,3)</f>
        <v>0.64600000000000002</v>
      </c>
      <c r="V137" s="7">
        <f>ROUND(29/E137,3)</f>
        <v>0.36699999999999999</v>
      </c>
      <c r="W137" s="7">
        <f>ROUND(8.49/E137,3)</f>
        <v>0.107</v>
      </c>
      <c r="X137" s="7">
        <v>0.54</v>
      </c>
      <c r="Y137" s="7">
        <v>0.55000000000000004</v>
      </c>
      <c r="Z137" s="7">
        <v>0.55000000000000004</v>
      </c>
      <c r="AA137" s="7">
        <f>ROUND(61.88/E137,3)</f>
        <v>0.78300000000000003</v>
      </c>
      <c r="AB137" s="7">
        <f>ROUND(3/E137,3)</f>
        <v>3.7999999999999999E-2</v>
      </c>
      <c r="AC137" s="7">
        <v>8478397</v>
      </c>
    </row>
    <row r="138" spans="1:29" ht="15" customHeight="1" x14ac:dyDescent="0.2">
      <c r="A138" s="7" t="s">
        <v>436</v>
      </c>
      <c r="B138" s="7" t="s">
        <v>376</v>
      </c>
      <c r="C138" s="7" t="s">
        <v>191</v>
      </c>
      <c r="D138" s="7">
        <v>22</v>
      </c>
      <c r="E138" s="7">
        <v>78</v>
      </c>
      <c r="F138" s="7">
        <f>ROUND(13/E138,3)</f>
        <v>0.16700000000000001</v>
      </c>
      <c r="G138" s="7">
        <f>ROUND(36/E138,3)</f>
        <v>0.46200000000000002</v>
      </c>
      <c r="H138" s="7">
        <f>ROUND(206/E138,3)</f>
        <v>2.641</v>
      </c>
      <c r="I138" s="7">
        <f>ROUND(60/E138,3)</f>
        <v>0.76900000000000002</v>
      </c>
      <c r="J138" s="7">
        <f>ROUND(96/E138,3)</f>
        <v>1.2310000000000001</v>
      </c>
      <c r="K138" s="7">
        <f t="shared" si="6"/>
        <v>8.3644999999999996</v>
      </c>
      <c r="L138" s="7">
        <f>ROUND(1589.7166666667/E138,3)</f>
        <v>20.381</v>
      </c>
      <c r="M138" s="7">
        <f>ROUND(20/E138,3)</f>
        <v>0.25600000000000001</v>
      </c>
      <c r="N138" s="7" t="s">
        <v>112</v>
      </c>
      <c r="O138" s="7" t="s">
        <v>730</v>
      </c>
      <c r="P138" s="7">
        <f>ROUND(481/E138,3)</f>
        <v>6.1669999999999998</v>
      </c>
      <c r="Q138" s="7">
        <f>ROUND(309/E138,3)</f>
        <v>3.9620000000000002</v>
      </c>
      <c r="R138" s="7">
        <f>ROUND(116/E138,3)</f>
        <v>1.4870000000000001</v>
      </c>
      <c r="S138" s="7">
        <f>ROUND(16/E138,3)</f>
        <v>0.20499999999999999</v>
      </c>
      <c r="T138" s="7">
        <f>ROUND(11.3/E138,3)</f>
        <v>0.14499999999999999</v>
      </c>
      <c r="U138" s="7">
        <f>ROUND(49/E138,3)</f>
        <v>0.628</v>
      </c>
      <c r="V138" s="7">
        <f>ROUND(39/E138,3)</f>
        <v>0.5</v>
      </c>
      <c r="W138" s="7">
        <f>ROUND(9.65/E138,3)</f>
        <v>0.124</v>
      </c>
      <c r="X138" s="7">
        <v>0.55000000000000004</v>
      </c>
      <c r="Y138" s="7">
        <v>0.56999999999999995</v>
      </c>
      <c r="Z138" s="7">
        <v>0.56999999999999995</v>
      </c>
      <c r="AA138" s="7">
        <f>ROUND(58.6/E138,3)</f>
        <v>0.751</v>
      </c>
      <c r="AB138" s="7">
        <f>ROUND(6/E138,3)</f>
        <v>7.6999999999999999E-2</v>
      </c>
      <c r="AC138" s="7">
        <v>8480865</v>
      </c>
    </row>
    <row r="139" spans="1:29" ht="15" customHeight="1" x14ac:dyDescent="0.2">
      <c r="A139" s="7" t="s">
        <v>439</v>
      </c>
      <c r="B139" s="7" t="s">
        <v>376</v>
      </c>
      <c r="C139" s="7" t="s">
        <v>213</v>
      </c>
      <c r="D139" s="7">
        <v>25</v>
      </c>
      <c r="E139" s="7">
        <v>81</v>
      </c>
      <c r="F139" s="7">
        <f>ROUND(14/E139,3)</f>
        <v>0.17299999999999999</v>
      </c>
      <c r="G139" s="7">
        <f>ROUND(50/E139,3)</f>
        <v>0.61699999999999999</v>
      </c>
      <c r="H139" s="7">
        <f>ROUND(150/E139,3)</f>
        <v>1.8520000000000001</v>
      </c>
      <c r="I139" s="7">
        <f>ROUND(115/E139,3)</f>
        <v>1.42</v>
      </c>
      <c r="J139" s="7">
        <f>ROUND(70/E139,3)</f>
        <v>0.86399999999999999</v>
      </c>
      <c r="K139" s="7">
        <f t="shared" si="6"/>
        <v>8.5120000000000005</v>
      </c>
      <c r="L139" s="7">
        <f>ROUND(1917.2166666667/E139,3)</f>
        <v>23.669</v>
      </c>
      <c r="M139" s="7">
        <f>ROUND(55/E139,3)</f>
        <v>0.67900000000000005</v>
      </c>
      <c r="N139" s="7" t="s">
        <v>731</v>
      </c>
      <c r="O139" s="7" t="s">
        <v>732</v>
      </c>
      <c r="P139" s="7">
        <f>ROUND(335/E139,3)</f>
        <v>4.1360000000000001</v>
      </c>
      <c r="Q139" s="7">
        <f>ROUND(226/E139,3)</f>
        <v>2.79</v>
      </c>
      <c r="R139" s="7">
        <f>ROUND(103/E139,3)</f>
        <v>1.272</v>
      </c>
      <c r="S139" s="7">
        <f>ROUND(11/E139,3)</f>
        <v>0.13600000000000001</v>
      </c>
      <c r="T139" s="7">
        <f>ROUND(10.01/E139,3)</f>
        <v>0.124</v>
      </c>
      <c r="U139" s="7">
        <f>ROUND(54/E139,3)</f>
        <v>0.66700000000000004</v>
      </c>
      <c r="V139" s="7">
        <f>ROUND(50/E139,3)</f>
        <v>0.61699999999999999</v>
      </c>
      <c r="W139" s="7">
        <f>ROUND(9.75/E139,3)</f>
        <v>0.12</v>
      </c>
      <c r="X139" s="7">
        <v>0.56999999999999995</v>
      </c>
      <c r="Y139" s="7">
        <v>0.56999999999999995</v>
      </c>
      <c r="Z139" s="7">
        <v>0.56999999999999995</v>
      </c>
      <c r="AA139" s="7">
        <f>ROUND(76.1/E139,3)</f>
        <v>0.94</v>
      </c>
      <c r="AB139" s="7">
        <f>ROUND(7/E139,3)</f>
        <v>8.5999999999999993E-2</v>
      </c>
      <c r="AC139" s="7">
        <v>8478407</v>
      </c>
    </row>
    <row r="140" spans="1:29" ht="15" customHeight="1" x14ac:dyDescent="0.2">
      <c r="A140" s="7" t="s">
        <v>442</v>
      </c>
      <c r="B140" s="7" t="s">
        <v>376</v>
      </c>
      <c r="C140" s="7" t="s">
        <v>66</v>
      </c>
      <c r="D140" s="7">
        <v>21</v>
      </c>
      <c r="E140" s="7">
        <v>42</v>
      </c>
      <c r="F140" s="7">
        <f>ROUND(10/E140,3)</f>
        <v>0.23799999999999999</v>
      </c>
      <c r="G140" s="7">
        <f>ROUND(14/E140,3)</f>
        <v>0.33300000000000002</v>
      </c>
      <c r="H140" s="7">
        <f>ROUND(65/E140,3)</f>
        <v>1.548</v>
      </c>
      <c r="I140" s="7">
        <f>ROUND(82/E140,3)</f>
        <v>1.952</v>
      </c>
      <c r="J140" s="7">
        <f>ROUND(46/E140,3)</f>
        <v>1.095</v>
      </c>
      <c r="K140" s="7">
        <f t="shared" si="6"/>
        <v>7.5209999999999999</v>
      </c>
      <c r="L140" s="7">
        <f>ROUND(918.86666666667/E140,3)</f>
        <v>21.878</v>
      </c>
      <c r="M140" s="7">
        <f>ROUND(38/E140,3)</f>
        <v>0.90500000000000003</v>
      </c>
      <c r="N140" s="7" t="s">
        <v>112</v>
      </c>
      <c r="O140" s="7" t="s">
        <v>733</v>
      </c>
      <c r="P140" s="7">
        <f>ROUND(140/E140,3)</f>
        <v>3.3330000000000002</v>
      </c>
      <c r="Q140" s="7">
        <f>ROUND(95/E140,3)</f>
        <v>2.262</v>
      </c>
      <c r="R140" s="7">
        <f>ROUND(60/E140,3)</f>
        <v>1.429</v>
      </c>
      <c r="S140" s="7">
        <f>ROUND(13/E140,3)</f>
        <v>0.31</v>
      </c>
      <c r="T140" s="7">
        <f>ROUND(5.43/E140,3)</f>
        <v>0.129</v>
      </c>
      <c r="U140" s="7">
        <f>ROUND(20/E140,3)</f>
        <v>0.47599999999999998</v>
      </c>
      <c r="V140" s="7">
        <f>ROUND(13/E140,3)</f>
        <v>0.31</v>
      </c>
      <c r="W140" s="7">
        <f>ROUND(6.45/E140,3)</f>
        <v>0.154</v>
      </c>
      <c r="X140" s="7">
        <v>0.48</v>
      </c>
      <c r="Y140" s="7">
        <v>0.51</v>
      </c>
      <c r="Z140" s="7">
        <v>0.51</v>
      </c>
      <c r="AA140" s="7">
        <f>ROUND(24.02/E140,3)</f>
        <v>0.57199999999999995</v>
      </c>
      <c r="AB140" s="7">
        <f>ROUND(6/E140,3)</f>
        <v>0.14299999999999999</v>
      </c>
      <c r="AC140" s="7">
        <v>8481524</v>
      </c>
    </row>
    <row r="141" spans="1:29" ht="15" customHeight="1" x14ac:dyDescent="0.2">
      <c r="A141" s="7" t="s">
        <v>445</v>
      </c>
      <c r="B141" s="7" t="s">
        <v>376</v>
      </c>
      <c r="C141" s="7" t="s">
        <v>138</v>
      </c>
      <c r="D141" s="7">
        <v>22</v>
      </c>
      <c r="E141" s="7">
        <v>55</v>
      </c>
      <c r="F141" s="7">
        <f>ROUND(2/E141,3)</f>
        <v>3.5999999999999997E-2</v>
      </c>
      <c r="G141" s="7">
        <f>ROUND(8/E141,3)</f>
        <v>0.14499999999999999</v>
      </c>
      <c r="H141" s="7">
        <f>ROUND(76/E141,3)</f>
        <v>1.3819999999999999</v>
      </c>
      <c r="I141" s="7">
        <f>ROUND(107/E141,3)</f>
        <v>1.9450000000000001</v>
      </c>
      <c r="J141" s="7">
        <f>ROUND(75/E141,3)</f>
        <v>1.3640000000000001</v>
      </c>
      <c r="K141" s="7">
        <f t="shared" si="6"/>
        <v>4.8765000000000001</v>
      </c>
      <c r="L141" s="7">
        <f>ROUND(1219.6833333333/E141,3)</f>
        <v>22.175999999999998</v>
      </c>
      <c r="M141" s="7">
        <f>ROUND(20/E141,3)</f>
        <v>0.36399999999999999</v>
      </c>
      <c r="N141" s="7" t="s">
        <v>733</v>
      </c>
      <c r="O141" s="7" t="s">
        <v>435</v>
      </c>
      <c r="P141" s="7">
        <f>ROUND(138/E141,3)</f>
        <v>2.5089999999999999</v>
      </c>
      <c r="Q141" s="7">
        <f>ROUND(103/E141,3)</f>
        <v>1.873</v>
      </c>
      <c r="R141" s="7">
        <f>ROUND(31/E141,3)</f>
        <v>0.56399999999999995</v>
      </c>
      <c r="S141" s="7">
        <f>ROUND(8/E141,3)</f>
        <v>0.14499999999999999</v>
      </c>
      <c r="T141" s="7">
        <f>ROUND(3.79/E141,3)</f>
        <v>6.9000000000000006E-2</v>
      </c>
      <c r="U141" s="7">
        <f>ROUND(21/E141,3)</f>
        <v>0.38200000000000001</v>
      </c>
      <c r="V141" s="7">
        <f>ROUND(21/E141,3)</f>
        <v>0.38200000000000001</v>
      </c>
      <c r="W141" s="7">
        <f>ROUND(4.15/E141,3)</f>
        <v>7.4999999999999997E-2</v>
      </c>
      <c r="X141" s="7">
        <v>0.42</v>
      </c>
      <c r="Y141" s="7">
        <v>0.42</v>
      </c>
      <c r="Z141" s="7">
        <v>0.42</v>
      </c>
      <c r="AA141" s="7">
        <f>ROUND(13.35/E141,3)</f>
        <v>0.24299999999999999</v>
      </c>
      <c r="AB141" s="7">
        <f>ROUND(3/E141,3)</f>
        <v>5.5E-2</v>
      </c>
      <c r="AC141" s="7">
        <v>8480807</v>
      </c>
    </row>
    <row r="142" spans="1:29" ht="15" customHeight="1" x14ac:dyDescent="0.2">
      <c r="A142" s="7" t="s">
        <v>447</v>
      </c>
      <c r="B142" s="7" t="s">
        <v>376</v>
      </c>
      <c r="C142" s="7" t="s">
        <v>734</v>
      </c>
      <c r="D142" s="7">
        <v>32</v>
      </c>
      <c r="E142" s="7">
        <v>78</v>
      </c>
      <c r="F142" s="7">
        <f>ROUND(9/E142,3)</f>
        <v>0.115</v>
      </c>
      <c r="G142" s="7">
        <f>ROUND(23/E142,3)</f>
        <v>0.29499999999999998</v>
      </c>
      <c r="H142" s="7">
        <f>ROUND(135/E142,3)</f>
        <v>1.7310000000000001</v>
      </c>
      <c r="I142" s="7">
        <f>ROUND(91/E142,3)</f>
        <v>1.167</v>
      </c>
      <c r="J142" s="7">
        <f>ROUND(82/E142,3)</f>
        <v>1.0509999999999999</v>
      </c>
      <c r="K142" s="7">
        <f t="shared" si="6"/>
        <v>6.0555000000000003</v>
      </c>
      <c r="L142" s="7">
        <f>ROUND(1672.9333333333/E142,3)</f>
        <v>21.448</v>
      </c>
      <c r="M142" s="7">
        <f>ROUND(28/E142,3)</f>
        <v>0.35899999999999999</v>
      </c>
      <c r="N142" s="7" t="s">
        <v>735</v>
      </c>
      <c r="O142" s="7" t="s">
        <v>706</v>
      </c>
      <c r="P142" s="7">
        <f>ROUND(286/E142,3)</f>
        <v>3.6669999999999998</v>
      </c>
      <c r="Q142" s="7">
        <f>ROUND(196/E142,3)</f>
        <v>2.5129999999999999</v>
      </c>
      <c r="R142" s="7">
        <f>ROUND(90/E142,3)</f>
        <v>1.1539999999999999</v>
      </c>
      <c r="S142" s="7">
        <f>ROUND(26/E142,3)</f>
        <v>0.33300000000000002</v>
      </c>
      <c r="T142" s="7">
        <f>ROUND(7.69/E142,3)</f>
        <v>9.9000000000000005E-2</v>
      </c>
      <c r="U142" s="7">
        <f>ROUND(44/E142,3)</f>
        <v>0.56399999999999995</v>
      </c>
      <c r="V142" s="7">
        <f>ROUND(29/E142,3)</f>
        <v>0.372</v>
      </c>
      <c r="W142" s="7">
        <f>ROUND(8.04/E142,3)</f>
        <v>0.10299999999999999</v>
      </c>
      <c r="X142" s="7">
        <v>0.51</v>
      </c>
      <c r="Y142" s="7">
        <v>0.5</v>
      </c>
      <c r="Z142" s="7">
        <v>0.49</v>
      </c>
      <c r="AA142" s="7">
        <f>ROUND(49.42/E142,3)</f>
        <v>0.63400000000000001</v>
      </c>
      <c r="AB142" s="7">
        <f>ROUND(5/E142,3)</f>
        <v>6.4000000000000001E-2</v>
      </c>
      <c r="AC142" s="7">
        <v>8475218</v>
      </c>
    </row>
    <row r="143" spans="1:29" ht="15" customHeight="1" x14ac:dyDescent="0.2">
      <c r="A143" s="7" t="s">
        <v>450</v>
      </c>
      <c r="B143" s="7" t="s">
        <v>376</v>
      </c>
      <c r="C143" s="7" t="s">
        <v>180</v>
      </c>
      <c r="D143" s="7">
        <v>30</v>
      </c>
      <c r="E143" s="7">
        <v>82</v>
      </c>
      <c r="F143" s="7">
        <f>ROUND(11/E143,3)</f>
        <v>0.13400000000000001</v>
      </c>
      <c r="G143" s="7">
        <f>ROUND(39/E143,3)</f>
        <v>0.47599999999999998</v>
      </c>
      <c r="H143" s="7">
        <f>ROUND(196/E143,3)</f>
        <v>2.39</v>
      </c>
      <c r="I143" s="7">
        <f>ROUND(112/E143,3)</f>
        <v>1.3660000000000001</v>
      </c>
      <c r="J143" s="7">
        <f>ROUND(116/E143,3)</f>
        <v>1.415</v>
      </c>
      <c r="K143" s="7">
        <f t="shared" si="6"/>
        <v>8.4160000000000004</v>
      </c>
      <c r="L143" s="7">
        <f>ROUND(1916.9333333333/E143,3)</f>
        <v>23.376999999999999</v>
      </c>
      <c r="M143" s="7">
        <f>ROUND(34/E143,3)</f>
        <v>0.41499999999999998</v>
      </c>
      <c r="N143" s="7" t="s">
        <v>736</v>
      </c>
      <c r="O143" s="7" t="s">
        <v>737</v>
      </c>
      <c r="P143" s="7">
        <f>ROUND(352/E143,3)</f>
        <v>4.2930000000000001</v>
      </c>
      <c r="Q143" s="7">
        <f>ROUND(253/E143,3)</f>
        <v>3.085</v>
      </c>
      <c r="R143" s="7">
        <f>ROUND(116/E143,3)</f>
        <v>1.415</v>
      </c>
      <c r="S143" s="7">
        <f>ROUND(27/E143,3)</f>
        <v>0.32900000000000001</v>
      </c>
      <c r="T143" s="7">
        <f>ROUND(12.47/E143,3)</f>
        <v>0.152</v>
      </c>
      <c r="U143" s="7">
        <f>ROUND(58/E143,3)</f>
        <v>0.70699999999999996</v>
      </c>
      <c r="V143" s="7">
        <f>ROUND(51/E143,3)</f>
        <v>0.622</v>
      </c>
      <c r="W143" s="7">
        <f>ROUND(8.96/E143,3)</f>
        <v>0.109</v>
      </c>
      <c r="X143" s="7">
        <v>0.45</v>
      </c>
      <c r="Y143" s="7">
        <v>0.46</v>
      </c>
      <c r="Z143" s="7">
        <v>0.46</v>
      </c>
      <c r="AA143" s="7">
        <f>ROUND(39.35/E143,3)</f>
        <v>0.48</v>
      </c>
      <c r="AB143" s="7">
        <f>ROUND(3/E143,3)</f>
        <v>3.6999999999999998E-2</v>
      </c>
      <c r="AC143" s="7">
        <v>8475753</v>
      </c>
    </row>
    <row r="144" spans="1:29" ht="15" customHeight="1" x14ac:dyDescent="0.2">
      <c r="A144" s="7" t="s">
        <v>453</v>
      </c>
      <c r="B144" s="7" t="s">
        <v>376</v>
      </c>
      <c r="D144" s="7">
        <v>24</v>
      </c>
      <c r="K144" s="7"/>
      <c r="AC144" s="7">
        <v>8484258</v>
      </c>
    </row>
    <row r="145" spans="1:29" ht="15" customHeight="1" x14ac:dyDescent="0.2">
      <c r="A145" s="7" t="s">
        <v>454</v>
      </c>
      <c r="B145" s="7" t="s">
        <v>376</v>
      </c>
      <c r="C145" s="7" t="s">
        <v>184</v>
      </c>
      <c r="D145" s="7">
        <v>19</v>
      </c>
      <c r="E145" s="7">
        <v>9</v>
      </c>
      <c r="F145" s="7">
        <f>ROUND(0/E145,3)</f>
        <v>0</v>
      </c>
      <c r="G145" s="7">
        <f>ROUND(2/E145,3)</f>
        <v>0.222</v>
      </c>
      <c r="H145" s="7">
        <f>ROUND(11/E145,3)</f>
        <v>1.222</v>
      </c>
      <c r="I145" s="7">
        <f>ROUND(3/E145,3)</f>
        <v>0.33300000000000002</v>
      </c>
      <c r="J145" s="7">
        <f>ROUND(3/E145,3)</f>
        <v>0.33300000000000002</v>
      </c>
      <c r="K145" s="7">
        <f t="shared" ref="K145:K159" si="7">8*F145+6*G145+1*H145+1*J145+0.5*I145</f>
        <v>3.0535000000000005</v>
      </c>
      <c r="L145" s="7">
        <f>ROUND(122.78333333333/E145,3)</f>
        <v>13.643000000000001</v>
      </c>
      <c r="M145" s="7">
        <f>ROUND(6/E145,3)</f>
        <v>0.66700000000000004</v>
      </c>
      <c r="N145" s="7" t="s">
        <v>524</v>
      </c>
      <c r="O145" s="7" t="s">
        <v>207</v>
      </c>
      <c r="P145" s="7">
        <f>ROUND(21/E145,3)</f>
        <v>2.3330000000000002</v>
      </c>
      <c r="Q145" s="7">
        <f>ROUND(16/E145,3)</f>
        <v>1.778</v>
      </c>
      <c r="R145" s="7">
        <f>ROUND(9/E145,3)</f>
        <v>1</v>
      </c>
      <c r="S145" s="7">
        <f>ROUND(3/E145,3)</f>
        <v>0.33300000000000002</v>
      </c>
      <c r="T145" s="7">
        <f>ROUND(0.88/E145,3)</f>
        <v>9.8000000000000004E-2</v>
      </c>
      <c r="U145" s="7">
        <f>ROUND(3/E145,3)</f>
        <v>0.33300000000000002</v>
      </c>
      <c r="V145" s="7">
        <f>ROUND(1/E145,3)</f>
        <v>0.111</v>
      </c>
      <c r="W145" s="7">
        <f>ROUND(1.32/E145,3)</f>
        <v>0.14699999999999999</v>
      </c>
      <c r="X145" s="7">
        <v>0.64</v>
      </c>
      <c r="Y145" s="7">
        <v>0.53</v>
      </c>
      <c r="Z145" s="7">
        <v>0.57999999999999996</v>
      </c>
      <c r="AA145" s="7">
        <f>ROUND(2.83/E145,3)</f>
        <v>0.314</v>
      </c>
      <c r="AB145" s="7">
        <f>ROUND(1/E145,3)</f>
        <v>0.111</v>
      </c>
      <c r="AC145" s="7">
        <v>8482730</v>
      </c>
    </row>
    <row r="146" spans="1:29" ht="15" customHeight="1" x14ac:dyDescent="0.2">
      <c r="A146" s="7" t="s">
        <v>455</v>
      </c>
      <c r="B146" s="7" t="s">
        <v>376</v>
      </c>
      <c r="C146" s="7" t="s">
        <v>102</v>
      </c>
      <c r="D146" s="7">
        <v>27</v>
      </c>
      <c r="E146" s="7">
        <v>55</v>
      </c>
      <c r="F146" s="7">
        <f>ROUND(8/E146,3)</f>
        <v>0.14499999999999999</v>
      </c>
      <c r="G146" s="7">
        <f>ROUND(33/E146,3)</f>
        <v>0.6</v>
      </c>
      <c r="H146" s="7">
        <f>ROUND(136/E146,3)</f>
        <v>2.4729999999999999</v>
      </c>
      <c r="I146" s="7">
        <f>ROUND(16/E146,3)</f>
        <v>0.29099999999999998</v>
      </c>
      <c r="J146" s="7">
        <f>ROUND(78/E146,3)</f>
        <v>1.4179999999999999</v>
      </c>
      <c r="K146" s="7">
        <f t="shared" si="7"/>
        <v>8.7965</v>
      </c>
      <c r="L146" s="7">
        <f>ROUND(1178.8166666667/E146,3)</f>
        <v>21.433</v>
      </c>
      <c r="M146" s="7">
        <f>ROUND(18/E146,3)</f>
        <v>0.32700000000000001</v>
      </c>
      <c r="N146" s="7" t="s">
        <v>738</v>
      </c>
      <c r="O146" s="7" t="s">
        <v>739</v>
      </c>
      <c r="P146" s="7">
        <f>ROUND(282/E146,3)</f>
        <v>5.1269999999999998</v>
      </c>
      <c r="Q146" s="7">
        <f>ROUND(183/E146,3)</f>
        <v>3.327</v>
      </c>
      <c r="R146" s="7">
        <f>ROUND(80/E146,3)</f>
        <v>1.4550000000000001</v>
      </c>
      <c r="S146" s="7">
        <f>ROUND(16/E146,3)</f>
        <v>0.29099999999999998</v>
      </c>
      <c r="T146" s="7">
        <f>ROUND(7.19/E146,3)</f>
        <v>0.13100000000000001</v>
      </c>
      <c r="U146" s="7">
        <f>ROUND(24/E146,3)</f>
        <v>0.436</v>
      </c>
      <c r="V146" s="7">
        <f>ROUND(28/E146,3)</f>
        <v>0.50900000000000001</v>
      </c>
      <c r="W146" s="7">
        <f>ROUND(7.24/E146,3)</f>
        <v>0.13200000000000001</v>
      </c>
      <c r="X146" s="7">
        <v>0.57999999999999996</v>
      </c>
      <c r="Y146" s="7">
        <v>0.55000000000000004</v>
      </c>
      <c r="Z146" s="7">
        <v>0.56000000000000005</v>
      </c>
      <c r="AA146" s="7">
        <f>ROUND(43.9/E146,3)</f>
        <v>0.79800000000000004</v>
      </c>
      <c r="AB146" s="7">
        <f>ROUND(3/E146,3)</f>
        <v>5.5E-2</v>
      </c>
      <c r="AC146" s="7">
        <v>8477447</v>
      </c>
    </row>
    <row r="147" spans="1:29" ht="15" customHeight="1" x14ac:dyDescent="0.2">
      <c r="A147" s="7" t="s">
        <v>458</v>
      </c>
      <c r="B147" s="7" t="s">
        <v>376</v>
      </c>
      <c r="C147" s="7" t="s">
        <v>307</v>
      </c>
      <c r="D147" s="7">
        <v>31</v>
      </c>
      <c r="E147" s="7">
        <v>54</v>
      </c>
      <c r="F147" s="7">
        <f>ROUND(2/E147,3)</f>
        <v>3.6999999999999998E-2</v>
      </c>
      <c r="G147" s="7">
        <f>ROUND(20/E147,3)</f>
        <v>0.37</v>
      </c>
      <c r="H147" s="7">
        <f>ROUND(90/E147,3)</f>
        <v>1.667</v>
      </c>
      <c r="I147" s="7">
        <f>ROUND(58/E147,3)</f>
        <v>1.0740000000000001</v>
      </c>
      <c r="J147" s="7">
        <f>ROUND(40/E147,3)</f>
        <v>0.74099999999999999</v>
      </c>
      <c r="K147" s="7">
        <f t="shared" si="7"/>
        <v>5.4609999999999994</v>
      </c>
      <c r="L147" s="7">
        <f>ROUND(1089.5/E147,3)</f>
        <v>20.175999999999998</v>
      </c>
      <c r="M147" s="7">
        <f>ROUND(22/E147,3)</f>
        <v>0.40699999999999997</v>
      </c>
      <c r="N147" s="7" t="s">
        <v>242</v>
      </c>
      <c r="O147" s="7" t="s">
        <v>740</v>
      </c>
      <c r="P147" s="7">
        <f>ROUND(197/E147,3)</f>
        <v>3.6480000000000001</v>
      </c>
      <c r="Q147" s="7">
        <f>ROUND(127/E147,3)</f>
        <v>2.3519999999999999</v>
      </c>
      <c r="R147" s="7">
        <f>ROUND(51/E147,3)</f>
        <v>0.94399999999999995</v>
      </c>
      <c r="S147" s="7">
        <f>ROUND(5/E147,3)</f>
        <v>9.2999999999999999E-2</v>
      </c>
      <c r="T147" s="7">
        <f>ROUND(3.38/E147,3)</f>
        <v>6.3E-2</v>
      </c>
      <c r="U147" s="7">
        <f>ROUND(25/E147,3)</f>
        <v>0.46300000000000002</v>
      </c>
      <c r="V147" s="7">
        <f>ROUND(11/E147,3)</f>
        <v>0.20399999999999999</v>
      </c>
      <c r="W147" s="7">
        <f>ROUND(2.5/E147,3)</f>
        <v>4.5999999999999999E-2</v>
      </c>
      <c r="X147" s="7">
        <v>0.44</v>
      </c>
      <c r="Y147" s="7">
        <v>0.47</v>
      </c>
      <c r="Z147" s="7">
        <v>0.47</v>
      </c>
      <c r="AA147" s="7">
        <f>ROUND(15.15/E147,3)</f>
        <v>0.28100000000000003</v>
      </c>
      <c r="AB147" s="7">
        <f>ROUND(0/E147,3)</f>
        <v>0</v>
      </c>
      <c r="AC147" s="7">
        <v>8475171</v>
      </c>
    </row>
    <row r="148" spans="1:29" ht="15" customHeight="1" x14ac:dyDescent="0.2">
      <c r="A148" s="7" t="s">
        <v>461</v>
      </c>
      <c r="B148" s="7" t="s">
        <v>376</v>
      </c>
      <c r="C148" s="7" t="s">
        <v>153</v>
      </c>
      <c r="D148" s="7">
        <v>29</v>
      </c>
      <c r="E148" s="7">
        <v>82</v>
      </c>
      <c r="F148" s="7">
        <f>ROUND(22/E148,3)</f>
        <v>0.26800000000000002</v>
      </c>
      <c r="G148" s="7">
        <f>ROUND(52/E148,3)</f>
        <v>0.63400000000000001</v>
      </c>
      <c r="H148" s="7">
        <f>ROUND(275/E148,3)</f>
        <v>3.3540000000000001</v>
      </c>
      <c r="I148" s="7">
        <f>ROUND(64/E148,3)</f>
        <v>0.78</v>
      </c>
      <c r="J148" s="7">
        <f>ROUND(12/E148,3)</f>
        <v>0.14599999999999999</v>
      </c>
      <c r="K148" s="7">
        <f t="shared" si="7"/>
        <v>9.838000000000001</v>
      </c>
      <c r="L148" s="7">
        <f>ROUND(1785.5/E148,3)</f>
        <v>21.774000000000001</v>
      </c>
      <c r="M148" s="7">
        <f>ROUND(50/E148,3)</f>
        <v>0.61</v>
      </c>
      <c r="N148" s="7" t="s">
        <v>741</v>
      </c>
      <c r="O148" s="7" t="s">
        <v>742</v>
      </c>
      <c r="P148" s="7">
        <f>ROUND(562/E148,3)</f>
        <v>6.8540000000000001</v>
      </c>
      <c r="Q148" s="7">
        <f>ROUND(378/E148,3)</f>
        <v>4.6100000000000003</v>
      </c>
      <c r="R148" s="7">
        <f>ROUND(185/E148,3)</f>
        <v>2.2559999999999998</v>
      </c>
      <c r="S148" s="7">
        <f>ROUND(29/E148,3)</f>
        <v>0.35399999999999998</v>
      </c>
      <c r="T148" s="7">
        <f>ROUND(13.87/E148,3)</f>
        <v>0.16900000000000001</v>
      </c>
      <c r="U148" s="7">
        <f>ROUND(74/E148,3)</f>
        <v>0.90200000000000002</v>
      </c>
      <c r="V148" s="7">
        <f>ROUND(21/E148,3)</f>
        <v>0.25600000000000001</v>
      </c>
      <c r="W148" s="7">
        <f>ROUND(13.43/E148,3)</f>
        <v>0.16400000000000001</v>
      </c>
      <c r="X148" s="7">
        <v>0.63</v>
      </c>
      <c r="Y148" s="7">
        <v>0.61</v>
      </c>
      <c r="Z148" s="7">
        <v>0.6</v>
      </c>
      <c r="AA148" s="7">
        <f>ROUND(89.97/E148,3)</f>
        <v>1.097</v>
      </c>
      <c r="AB148" s="7">
        <f>ROUND(4/E148,3)</f>
        <v>4.9000000000000002E-2</v>
      </c>
      <c r="AC148" s="7">
        <v>8476462</v>
      </c>
    </row>
    <row r="149" spans="1:29" ht="15" customHeight="1" x14ac:dyDescent="0.2">
      <c r="A149" s="7" t="s">
        <v>463</v>
      </c>
      <c r="B149" s="7" t="s">
        <v>376</v>
      </c>
      <c r="C149" s="7" t="s">
        <v>220</v>
      </c>
      <c r="D149" s="7">
        <v>26</v>
      </c>
      <c r="E149" s="7">
        <v>81</v>
      </c>
      <c r="F149" s="7">
        <f>ROUND(7/E149,3)</f>
        <v>8.5999999999999993E-2</v>
      </c>
      <c r="G149" s="7">
        <f>ROUND(16/E149,3)</f>
        <v>0.19800000000000001</v>
      </c>
      <c r="H149" s="7">
        <f>ROUND(111/E149,3)</f>
        <v>1.37</v>
      </c>
      <c r="I149" s="7">
        <f>ROUND(61/E149,3)</f>
        <v>0.753</v>
      </c>
      <c r="J149" s="7">
        <f>ROUND(122/E149,3)</f>
        <v>1.506</v>
      </c>
      <c r="K149" s="7">
        <f t="shared" si="7"/>
        <v>5.1285000000000007</v>
      </c>
      <c r="L149" s="7">
        <f>ROUND(1652.6166666667/E149,3)</f>
        <v>20.402999999999999</v>
      </c>
      <c r="M149" s="7">
        <f>ROUND(40/E149,3)</f>
        <v>0.49399999999999999</v>
      </c>
      <c r="N149" s="7" t="s">
        <v>743</v>
      </c>
      <c r="O149" s="7" t="s">
        <v>730</v>
      </c>
      <c r="P149" s="7">
        <f>ROUND(206/E149,3)</f>
        <v>2.5430000000000001</v>
      </c>
      <c r="Q149" s="7">
        <f>ROUND(152/E149,3)</f>
        <v>1.877</v>
      </c>
      <c r="R149" s="7">
        <f>ROUND(78/E149,3)</f>
        <v>0.96299999999999997</v>
      </c>
      <c r="S149" s="7">
        <f>ROUND(23/E149,3)</f>
        <v>0.28399999999999997</v>
      </c>
      <c r="T149" s="7">
        <f>ROUND(7.37/E149,3)</f>
        <v>9.0999999999999998E-2</v>
      </c>
      <c r="U149" s="7">
        <f>ROUND(42/E149,3)</f>
        <v>0.51900000000000002</v>
      </c>
      <c r="V149" s="7">
        <f>ROUND(22/E149,3)</f>
        <v>0.27200000000000002</v>
      </c>
      <c r="W149" s="7">
        <f>ROUND(7.47/E149,3)</f>
        <v>9.1999999999999998E-2</v>
      </c>
      <c r="X149" s="7">
        <v>0.43</v>
      </c>
      <c r="Y149" s="7">
        <v>0.45</v>
      </c>
      <c r="Z149" s="7">
        <v>0.45</v>
      </c>
      <c r="AA149" s="7">
        <f>ROUND(21.62/E149,3)</f>
        <v>0.26700000000000002</v>
      </c>
      <c r="AB149" s="7">
        <f>ROUND(6/E149,3)</f>
        <v>7.3999999999999996E-2</v>
      </c>
      <c r="AC149" s="7">
        <v>8477948</v>
      </c>
    </row>
    <row r="150" spans="1:29" ht="15" customHeight="1" x14ac:dyDescent="0.2">
      <c r="A150" s="7" t="s">
        <v>466</v>
      </c>
      <c r="B150" s="7" t="s">
        <v>376</v>
      </c>
      <c r="C150" s="7" t="s">
        <v>131</v>
      </c>
      <c r="D150" s="7">
        <v>22</v>
      </c>
      <c r="E150" s="7">
        <v>79</v>
      </c>
      <c r="F150" s="7">
        <f>ROUND(9/E150,3)</f>
        <v>0.114</v>
      </c>
      <c r="G150" s="7">
        <f>ROUND(34/E150,3)</f>
        <v>0.43</v>
      </c>
      <c r="H150" s="7">
        <f>ROUND(113/E150,3)</f>
        <v>1.43</v>
      </c>
      <c r="I150" s="7">
        <f>ROUND(162/E150,3)</f>
        <v>2.0510000000000002</v>
      </c>
      <c r="J150" s="7">
        <f>ROUND(94/E150,3)</f>
        <v>1.19</v>
      </c>
      <c r="K150" s="7">
        <f t="shared" si="7"/>
        <v>7.1375000000000002</v>
      </c>
      <c r="L150" s="7">
        <f>ROUND(1734.2166666667/E150,3)</f>
        <v>21.952000000000002</v>
      </c>
      <c r="M150" s="7">
        <f>ROUND(37/E150,3)</f>
        <v>0.46800000000000003</v>
      </c>
      <c r="N150" s="7" t="s">
        <v>377</v>
      </c>
      <c r="O150" s="7" t="s">
        <v>744</v>
      </c>
      <c r="P150" s="7">
        <f>ROUND(240/E150,3)</f>
        <v>3.0379999999999998</v>
      </c>
      <c r="Q150" s="7">
        <f>ROUND(164/E150,3)</f>
        <v>2.0760000000000001</v>
      </c>
      <c r="R150" s="7">
        <f>ROUND(82/E150,3)</f>
        <v>1.038</v>
      </c>
      <c r="S150" s="7">
        <f>ROUND(19/E150,3)</f>
        <v>0.24099999999999999</v>
      </c>
      <c r="T150" s="7">
        <f>ROUND(6.79/E150,3)</f>
        <v>8.5999999999999993E-2</v>
      </c>
      <c r="U150" s="7">
        <f>ROUND(68/E150,3)</f>
        <v>0.86099999999999999</v>
      </c>
      <c r="V150" s="7">
        <f>ROUND(61/E150,3)</f>
        <v>0.77200000000000002</v>
      </c>
      <c r="W150" s="7">
        <f>ROUND(5.87/E150,3)</f>
        <v>7.3999999999999996E-2</v>
      </c>
      <c r="X150" s="7">
        <v>0.47</v>
      </c>
      <c r="Y150" s="7">
        <v>0.5</v>
      </c>
      <c r="Z150" s="7">
        <v>0.5</v>
      </c>
      <c r="AA150" s="7">
        <f>ROUND(44.38/E150,3)</f>
        <v>0.56200000000000006</v>
      </c>
      <c r="AB150" s="7">
        <f>ROUND(3/E150,3)</f>
        <v>3.7999999999999999E-2</v>
      </c>
      <c r="AC150" s="7">
        <v>8480817</v>
      </c>
    </row>
    <row r="151" spans="1:29" ht="15" customHeight="1" x14ac:dyDescent="0.2">
      <c r="A151" s="7" t="s">
        <v>469</v>
      </c>
      <c r="B151" s="7" t="s">
        <v>376</v>
      </c>
      <c r="C151" s="7" t="s">
        <v>76</v>
      </c>
      <c r="D151" s="7">
        <v>28</v>
      </c>
      <c r="E151" s="7">
        <v>48</v>
      </c>
      <c r="F151" s="7">
        <f>ROUND(8/E151,3)</f>
        <v>0.16700000000000001</v>
      </c>
      <c r="G151" s="7">
        <f>ROUND(26/E151,3)</f>
        <v>0.54200000000000004</v>
      </c>
      <c r="H151" s="7">
        <f>ROUND(126/E151,3)</f>
        <v>2.625</v>
      </c>
      <c r="I151" s="7">
        <f>ROUND(53/E151,3)</f>
        <v>1.1040000000000001</v>
      </c>
      <c r="J151" s="7">
        <f>ROUND(66/E151,3)</f>
        <v>1.375</v>
      </c>
      <c r="K151" s="7">
        <f t="shared" si="7"/>
        <v>9.14</v>
      </c>
      <c r="L151" s="7">
        <f>ROUND(1173.6833333333/E151,3)</f>
        <v>24.452000000000002</v>
      </c>
      <c r="M151" s="7">
        <f>ROUND(33/E151,3)</f>
        <v>0.68799999999999994</v>
      </c>
      <c r="N151" s="7" t="s">
        <v>745</v>
      </c>
      <c r="O151" s="7" t="s">
        <v>746</v>
      </c>
      <c r="P151" s="7">
        <f>ROUND(252/E151,3)</f>
        <v>5.25</v>
      </c>
      <c r="Q151" s="7">
        <f>ROUND(167/E151,3)</f>
        <v>3.4790000000000001</v>
      </c>
      <c r="R151" s="7">
        <f>ROUND(73/E151,3)</f>
        <v>1.5209999999999999</v>
      </c>
      <c r="S151" s="7">
        <f>ROUND(11/E151,3)</f>
        <v>0.22900000000000001</v>
      </c>
      <c r="T151" s="7">
        <f>ROUND(7.7/E151,3)</f>
        <v>0.16</v>
      </c>
      <c r="U151" s="7">
        <f>ROUND(73/E151,3)</f>
        <v>1.5209999999999999</v>
      </c>
      <c r="V151" s="7">
        <f>ROUND(42/E151,3)</f>
        <v>0.875</v>
      </c>
      <c r="W151" s="7">
        <f>ROUND(6.62/E151,3)</f>
        <v>0.13800000000000001</v>
      </c>
      <c r="X151" s="7">
        <v>0.43</v>
      </c>
      <c r="Y151" s="7">
        <v>0.47</v>
      </c>
      <c r="Z151" s="7">
        <v>0.48</v>
      </c>
      <c r="AA151" s="7">
        <f>ROUND(30.5/E151,3)</f>
        <v>0.63500000000000001</v>
      </c>
      <c r="AB151" s="7">
        <f>ROUND(3/E151,3)</f>
        <v>6.3E-2</v>
      </c>
      <c r="AC151" s="7">
        <v>8476875</v>
      </c>
    </row>
    <row r="152" spans="1:29" ht="15" customHeight="1" x14ac:dyDescent="0.2">
      <c r="A152" s="7" t="s">
        <v>472</v>
      </c>
      <c r="B152" s="7" t="s">
        <v>376</v>
      </c>
      <c r="C152" s="7" t="s">
        <v>747</v>
      </c>
      <c r="D152" s="7">
        <v>31</v>
      </c>
      <c r="E152" s="7">
        <v>66</v>
      </c>
      <c r="F152" s="7">
        <f>ROUND(7/E152,3)</f>
        <v>0.106</v>
      </c>
      <c r="G152" s="7">
        <f>ROUND(29/E152,3)</f>
        <v>0.439</v>
      </c>
      <c r="H152" s="7">
        <f>ROUND(124/E152,3)</f>
        <v>1.879</v>
      </c>
      <c r="I152" s="7">
        <f>ROUND(137/E152,3)</f>
        <v>2.0760000000000001</v>
      </c>
      <c r="J152" s="7">
        <f>ROUND(80/E152,3)</f>
        <v>1.212</v>
      </c>
      <c r="K152" s="7">
        <f t="shared" si="7"/>
        <v>7.6109999999999998</v>
      </c>
      <c r="L152" s="7">
        <f>ROUND(1488/E152,3)</f>
        <v>22.545000000000002</v>
      </c>
      <c r="M152" s="7">
        <f>ROUND(22/E152,3)</f>
        <v>0.33300000000000002</v>
      </c>
      <c r="N152" s="7" t="s">
        <v>748</v>
      </c>
      <c r="O152" s="7" t="s">
        <v>749</v>
      </c>
      <c r="P152" s="7">
        <f>ROUND(238/E152,3)</f>
        <v>3.6059999999999999</v>
      </c>
      <c r="Q152" s="7">
        <f>ROUND(162/E152,3)</f>
        <v>2.4550000000000001</v>
      </c>
      <c r="R152" s="7">
        <f>ROUND(87/E152,3)</f>
        <v>1.3180000000000001</v>
      </c>
      <c r="S152" s="7">
        <f>ROUND(19/E152,3)</f>
        <v>0.28799999999999998</v>
      </c>
      <c r="T152" s="7">
        <f>ROUND(6.88/E152,3)</f>
        <v>0.104</v>
      </c>
      <c r="U152" s="7">
        <f>ROUND(49/E152,3)</f>
        <v>0.74199999999999999</v>
      </c>
      <c r="V152" s="7">
        <f>ROUND(30/E152,3)</f>
        <v>0.45500000000000002</v>
      </c>
      <c r="W152" s="7">
        <f>ROUND(6.77/E152,3)</f>
        <v>0.10299999999999999</v>
      </c>
      <c r="X152" s="7">
        <v>0.51</v>
      </c>
      <c r="Y152" s="7">
        <v>0.51</v>
      </c>
      <c r="Z152" s="7">
        <v>0.5</v>
      </c>
      <c r="AA152" s="7">
        <f>ROUND(44.3/E152,3)</f>
        <v>0.67100000000000004</v>
      </c>
      <c r="AB152" s="7">
        <f>ROUND(1/E152,3)</f>
        <v>1.4999999999999999E-2</v>
      </c>
      <c r="AC152" s="7">
        <v>8475200</v>
      </c>
    </row>
    <row r="153" spans="1:29" ht="15" customHeight="1" x14ac:dyDescent="0.2">
      <c r="A153" s="7" t="s">
        <v>475</v>
      </c>
      <c r="B153" s="7" t="s">
        <v>376</v>
      </c>
      <c r="C153" s="7" t="s">
        <v>146</v>
      </c>
      <c r="D153" s="7">
        <v>28</v>
      </c>
      <c r="E153" s="7">
        <v>65</v>
      </c>
      <c r="F153" s="7">
        <f>ROUND(4/E153,3)</f>
        <v>6.2E-2</v>
      </c>
      <c r="G153" s="7">
        <f>ROUND(37/E153,3)</f>
        <v>0.56899999999999995</v>
      </c>
      <c r="H153" s="7">
        <f>ROUND(126/E153,3)</f>
        <v>1.9379999999999999</v>
      </c>
      <c r="I153" s="7">
        <f>ROUND(70/E153,3)</f>
        <v>1.077</v>
      </c>
      <c r="J153" s="7">
        <f>ROUND(83/E153,3)</f>
        <v>1.2769999999999999</v>
      </c>
      <c r="K153" s="7">
        <f t="shared" si="7"/>
        <v>7.6635</v>
      </c>
      <c r="L153" s="7">
        <f>ROUND(1410.7666666667/E153,3)</f>
        <v>21.704000000000001</v>
      </c>
      <c r="M153" s="7">
        <f>ROUND(21/E153,3)</f>
        <v>0.32300000000000001</v>
      </c>
      <c r="N153" s="7" t="s">
        <v>750</v>
      </c>
      <c r="O153" s="7" t="s">
        <v>751</v>
      </c>
      <c r="P153" s="7">
        <f>ROUND(242/E153,3)</f>
        <v>3.7229999999999999</v>
      </c>
      <c r="Q153" s="7">
        <f>ROUND(174/E153,3)</f>
        <v>2.677</v>
      </c>
      <c r="R153" s="7">
        <f>ROUND(91/E153,3)</f>
        <v>1.4</v>
      </c>
      <c r="S153" s="7">
        <f>ROUND(19/E153,3)</f>
        <v>0.29199999999999998</v>
      </c>
      <c r="T153" s="7">
        <f>ROUND(8.08/E153,3)</f>
        <v>0.124</v>
      </c>
      <c r="U153" s="7">
        <f>ROUND(65/E153,3)</f>
        <v>1</v>
      </c>
      <c r="V153" s="7">
        <f>ROUND(20/E153,3)</f>
        <v>0.308</v>
      </c>
      <c r="W153" s="7">
        <f>ROUND(6.77/E153,3)</f>
        <v>0.104</v>
      </c>
      <c r="X153" s="7">
        <v>0.57999999999999996</v>
      </c>
      <c r="Y153" s="7">
        <v>0.55000000000000004</v>
      </c>
      <c r="Z153" s="7">
        <v>0.56000000000000005</v>
      </c>
      <c r="AA153" s="7">
        <f>ROUND(41.7/E153,3)</f>
        <v>0.64200000000000002</v>
      </c>
      <c r="AB153" s="7">
        <f>ROUND(5/E153,3)</f>
        <v>7.6999999999999999E-2</v>
      </c>
      <c r="AC153" s="7">
        <v>8476853</v>
      </c>
    </row>
    <row r="154" spans="1:29" ht="15" customHeight="1" x14ac:dyDescent="0.2">
      <c r="A154" s="7" t="s">
        <v>478</v>
      </c>
      <c r="B154" s="7" t="s">
        <v>376</v>
      </c>
      <c r="C154" s="7" t="s">
        <v>93</v>
      </c>
      <c r="D154" s="7">
        <v>21</v>
      </c>
      <c r="E154" s="7">
        <v>6</v>
      </c>
      <c r="F154" s="7">
        <f>ROUND(0/E154,3)</f>
        <v>0</v>
      </c>
      <c r="G154" s="7">
        <f>ROUND(2/E154,3)</f>
        <v>0.33300000000000002</v>
      </c>
      <c r="H154" s="7">
        <f>ROUND(8/E154,3)</f>
        <v>1.333</v>
      </c>
      <c r="I154" s="7">
        <f>ROUND(1/E154,3)</f>
        <v>0.16700000000000001</v>
      </c>
      <c r="J154" s="7">
        <f>ROUND(8/E154,3)</f>
        <v>1.333</v>
      </c>
      <c r="K154" s="7">
        <f t="shared" si="7"/>
        <v>4.7475000000000005</v>
      </c>
      <c r="L154" s="7">
        <f>ROUND(100.75/E154,3)</f>
        <v>16.792000000000002</v>
      </c>
      <c r="M154" s="7">
        <f>ROUND(2/E154,3)</f>
        <v>0.33300000000000002</v>
      </c>
      <c r="N154" s="7" t="s">
        <v>542</v>
      </c>
      <c r="O154" s="7" t="s">
        <v>207</v>
      </c>
      <c r="P154" s="7">
        <f>ROUND(12/E154,3)</f>
        <v>2</v>
      </c>
      <c r="Q154" s="7">
        <f>ROUND(9/E154,3)</f>
        <v>1.5</v>
      </c>
      <c r="R154" s="7">
        <f>ROUND(7/E154,3)</f>
        <v>1.167</v>
      </c>
      <c r="S154" s="7">
        <f>ROUND(3/E154,3)</f>
        <v>0.5</v>
      </c>
      <c r="T154" s="7">
        <f>ROUND(0.4/E154,3)</f>
        <v>6.7000000000000004E-2</v>
      </c>
      <c r="U154" s="7">
        <f>ROUND(3/E154,3)</f>
        <v>0.5</v>
      </c>
      <c r="V154" s="7">
        <f>ROUND(0/E154,3)</f>
        <v>0</v>
      </c>
      <c r="W154" s="7">
        <f>ROUND(0.51/E154,3)</f>
        <v>8.5000000000000006E-2</v>
      </c>
      <c r="X154" s="7">
        <v>0.59</v>
      </c>
      <c r="Y154" s="7">
        <v>0.56999999999999995</v>
      </c>
      <c r="Z154" s="7">
        <v>0.55000000000000004</v>
      </c>
      <c r="AA154" s="7">
        <f>ROUND(4/E154,3)</f>
        <v>0.66700000000000004</v>
      </c>
      <c r="AB154" s="7">
        <f>ROUND(1/E154,3)</f>
        <v>0.16700000000000001</v>
      </c>
      <c r="AC154" s="7">
        <v>8481581</v>
      </c>
    </row>
    <row r="155" spans="1:29" ht="15" customHeight="1" x14ac:dyDescent="0.2">
      <c r="A155" s="7" t="s">
        <v>481</v>
      </c>
      <c r="B155" s="7" t="s">
        <v>376</v>
      </c>
      <c r="C155" s="7" t="s">
        <v>153</v>
      </c>
      <c r="D155" s="7">
        <v>25</v>
      </c>
      <c r="E155" s="7">
        <v>64</v>
      </c>
      <c r="F155" s="7">
        <f>ROUND(4/E155,3)</f>
        <v>6.3E-2</v>
      </c>
      <c r="G155" s="7">
        <f>ROUND(14/E155,3)</f>
        <v>0.219</v>
      </c>
      <c r="H155" s="7">
        <f>ROUND(67/E155,3)</f>
        <v>1.0469999999999999</v>
      </c>
      <c r="I155" s="7">
        <f>ROUND(44/E155,3)</f>
        <v>0.68799999999999994</v>
      </c>
      <c r="J155" s="7">
        <f>ROUND(10/E155,3)</f>
        <v>0.156</v>
      </c>
      <c r="K155" s="7">
        <f t="shared" si="7"/>
        <v>3.3650000000000002</v>
      </c>
      <c r="L155" s="7">
        <f>ROUND(1348.5333333333/E155,3)</f>
        <v>21.071000000000002</v>
      </c>
      <c r="M155" s="7">
        <f>ROUND(20/E155,3)</f>
        <v>0.313</v>
      </c>
      <c r="N155" s="7" t="s">
        <v>752</v>
      </c>
      <c r="O155" s="7" t="s">
        <v>753</v>
      </c>
      <c r="P155" s="7">
        <f>ROUND(145/E155,3)</f>
        <v>2.266</v>
      </c>
      <c r="Q155" s="7">
        <f>ROUND(91/E155,3)</f>
        <v>1.4219999999999999</v>
      </c>
      <c r="R155" s="7">
        <f>ROUND(41/E155,3)</f>
        <v>0.64100000000000001</v>
      </c>
      <c r="S155" s="7">
        <f>ROUND(10/E155,3)</f>
        <v>0.156</v>
      </c>
      <c r="T155" s="7">
        <f>ROUND(4.47/E155,3)</f>
        <v>7.0000000000000007E-2</v>
      </c>
      <c r="U155" s="7">
        <f>ROUND(38/E155,3)</f>
        <v>0.59399999999999997</v>
      </c>
      <c r="V155" s="7">
        <f>ROUND(43/E155,3)</f>
        <v>0.67200000000000004</v>
      </c>
      <c r="W155" s="7">
        <f>ROUND(4.72/E155,3)</f>
        <v>7.3999999999999996E-2</v>
      </c>
      <c r="X155" s="7">
        <v>0.5</v>
      </c>
      <c r="Y155" s="7">
        <v>0.47</v>
      </c>
      <c r="Z155" s="7">
        <v>0.47</v>
      </c>
      <c r="AA155" s="7">
        <f>ROUND(27.83/E155,3)</f>
        <v>0.435</v>
      </c>
      <c r="AB155" s="7">
        <f>ROUND(6/E155,3)</f>
        <v>9.4E-2</v>
      </c>
      <c r="AC155" s="7">
        <v>8478507</v>
      </c>
    </row>
    <row r="156" spans="1:29" ht="15" customHeight="1" x14ac:dyDescent="0.2">
      <c r="A156" s="7" t="s">
        <v>484</v>
      </c>
      <c r="B156" s="7" t="s">
        <v>376</v>
      </c>
      <c r="C156" s="7" t="s">
        <v>754</v>
      </c>
      <c r="D156" s="7">
        <v>26</v>
      </c>
      <c r="E156" s="7">
        <v>72</v>
      </c>
      <c r="F156" s="7">
        <f>ROUND(6/E156,3)</f>
        <v>8.3000000000000004E-2</v>
      </c>
      <c r="G156" s="7">
        <f>ROUND(13/E156,3)</f>
        <v>0.18099999999999999</v>
      </c>
      <c r="H156" s="7">
        <f>ROUND(89/E156,3)</f>
        <v>1.236</v>
      </c>
      <c r="I156" s="7">
        <f>ROUND(74/E156,3)</f>
        <v>1.028</v>
      </c>
      <c r="J156" s="7">
        <f>ROUND(86/E156,3)</f>
        <v>1.194</v>
      </c>
      <c r="K156" s="7">
        <f t="shared" si="7"/>
        <v>4.694</v>
      </c>
      <c r="L156" s="7">
        <f>ROUND(1581.9333333333/E156,3)</f>
        <v>21.971</v>
      </c>
      <c r="M156" s="7">
        <f>ROUND(38/E156,3)</f>
        <v>0.52800000000000002</v>
      </c>
      <c r="N156" s="7" t="s">
        <v>755</v>
      </c>
      <c r="O156" s="7" t="s">
        <v>756</v>
      </c>
      <c r="P156" s="7">
        <f>ROUND(167/E156,3)</f>
        <v>2.319</v>
      </c>
      <c r="Q156" s="7">
        <f>ROUND(124/E156,3)</f>
        <v>1.722</v>
      </c>
      <c r="R156" s="7">
        <f>ROUND(58/E156,3)</f>
        <v>0.80600000000000005</v>
      </c>
      <c r="S156" s="7">
        <f>ROUND(25/E156,3)</f>
        <v>0.34699999999999998</v>
      </c>
      <c r="T156" s="7">
        <f>ROUND(6.39/E156,3)</f>
        <v>8.8999999999999996E-2</v>
      </c>
      <c r="U156" s="7">
        <f>ROUND(19/E156,3)</f>
        <v>0.26400000000000001</v>
      </c>
      <c r="V156" s="7">
        <f>ROUND(27/E156,3)</f>
        <v>0.375</v>
      </c>
      <c r="W156" s="7">
        <f>ROUND(6.68/E156,3)</f>
        <v>9.2999999999999999E-2</v>
      </c>
      <c r="X156" s="7">
        <v>0.43</v>
      </c>
      <c r="Y156" s="7">
        <v>0.42</v>
      </c>
      <c r="Z156" s="7">
        <v>0.43</v>
      </c>
      <c r="AA156" s="7">
        <f>ROUND(17.03/E156,3)</f>
        <v>0.23699999999999999</v>
      </c>
      <c r="AB156" s="7">
        <f>ROUND(7/E156,3)</f>
        <v>9.7000000000000003E-2</v>
      </c>
      <c r="AC156" s="7">
        <v>8478882</v>
      </c>
    </row>
    <row r="157" spans="1:29" ht="15" customHeight="1" x14ac:dyDescent="0.2">
      <c r="A157" s="7" t="s">
        <v>486</v>
      </c>
      <c r="B157" s="7" t="s">
        <v>376</v>
      </c>
      <c r="C157" s="7" t="s">
        <v>80</v>
      </c>
      <c r="D157" s="7">
        <v>37</v>
      </c>
      <c r="E157" s="7">
        <v>82</v>
      </c>
      <c r="F157" s="7">
        <f>ROUND(18/E157,3)</f>
        <v>0.22</v>
      </c>
      <c r="G157" s="7">
        <f>ROUND(43/E157,3)</f>
        <v>0.52400000000000002</v>
      </c>
      <c r="H157" s="7">
        <f>ROUND(255/E157,3)</f>
        <v>3.11</v>
      </c>
      <c r="I157" s="7">
        <f>ROUND(40/E157,3)</f>
        <v>0.48799999999999999</v>
      </c>
      <c r="J157" s="7">
        <f>ROUND(72/E157,3)</f>
        <v>0.878</v>
      </c>
      <c r="K157" s="7">
        <f t="shared" si="7"/>
        <v>9.1359999999999992</v>
      </c>
      <c r="L157" s="7">
        <f>ROUND(1903.65/E157,3)</f>
        <v>23.215</v>
      </c>
      <c r="M157" s="7">
        <f>ROUND(44/E157,3)</f>
        <v>0.53700000000000003</v>
      </c>
      <c r="N157" s="7" t="s">
        <v>757</v>
      </c>
      <c r="O157" s="7" t="s">
        <v>758</v>
      </c>
      <c r="P157" s="7">
        <f>ROUND(554/E157,3)</f>
        <v>6.7560000000000002</v>
      </c>
      <c r="Q157" s="7">
        <f>ROUND(366/E157,3)</f>
        <v>4.4630000000000001</v>
      </c>
      <c r="R157" s="7">
        <f>ROUND(153/E157,3)</f>
        <v>1.8660000000000001</v>
      </c>
      <c r="S157" s="7">
        <f>ROUND(24/E157,3)</f>
        <v>0.29299999999999998</v>
      </c>
      <c r="T157" s="7">
        <f>ROUND(12.27/E157,3)</f>
        <v>0.15</v>
      </c>
      <c r="U157" s="7">
        <f>ROUND(52/E157,3)</f>
        <v>0.63400000000000001</v>
      </c>
      <c r="V157" s="7">
        <f>ROUND(55/E157,3)</f>
        <v>0.67100000000000004</v>
      </c>
      <c r="W157" s="7">
        <f>ROUND(12.08/E157,3)</f>
        <v>0.14699999999999999</v>
      </c>
      <c r="X157" s="7">
        <v>0.6</v>
      </c>
      <c r="Y157" s="7">
        <v>0.62</v>
      </c>
      <c r="Z157" s="7">
        <v>0.61</v>
      </c>
      <c r="AA157" s="7">
        <f>ROUND(96.79/E157,3)</f>
        <v>1.18</v>
      </c>
      <c r="AB157" s="7">
        <f>ROUND(4/E157,3)</f>
        <v>4.9000000000000002E-2</v>
      </c>
      <c r="AC157" s="7">
        <v>8470613</v>
      </c>
    </row>
    <row r="158" spans="1:29" ht="15" customHeight="1" x14ac:dyDescent="0.2">
      <c r="A158" s="7" t="s">
        <v>489</v>
      </c>
      <c r="B158" s="7" t="s">
        <v>376</v>
      </c>
      <c r="C158" s="7" t="s">
        <v>131</v>
      </c>
      <c r="D158" s="7">
        <v>28</v>
      </c>
      <c r="E158" s="7">
        <v>82</v>
      </c>
      <c r="F158" s="7">
        <f>ROUND(8/E158,3)</f>
        <v>9.8000000000000004E-2</v>
      </c>
      <c r="G158" s="7">
        <f>ROUND(22/E158,3)</f>
        <v>0.26800000000000002</v>
      </c>
      <c r="H158" s="7">
        <f>ROUND(199/E158,3)</f>
        <v>2.427</v>
      </c>
      <c r="I158" s="7">
        <f>ROUND(218/E158,3)</f>
        <v>2.6589999999999998</v>
      </c>
      <c r="J158" s="7">
        <f>ROUND(169/E158,3)</f>
        <v>2.0609999999999999</v>
      </c>
      <c r="K158" s="7">
        <f t="shared" si="7"/>
        <v>8.2095000000000002</v>
      </c>
      <c r="L158" s="7">
        <f>ROUND(1738.05/E158,3)</f>
        <v>21.196000000000002</v>
      </c>
      <c r="M158" s="7">
        <f>ROUND(63/E158,3)</f>
        <v>0.76800000000000002</v>
      </c>
      <c r="N158" s="7" t="s">
        <v>759</v>
      </c>
      <c r="O158" s="7" t="s">
        <v>760</v>
      </c>
      <c r="P158" s="7">
        <f>ROUND(362/E158,3)</f>
        <v>4.415</v>
      </c>
      <c r="Q158" s="7">
        <f>ROUND(252/E158,3)</f>
        <v>3.073</v>
      </c>
      <c r="R158" s="7">
        <f>ROUND(96/E158,3)</f>
        <v>1.171</v>
      </c>
      <c r="S158" s="7">
        <f>ROUND(19/E158,3)</f>
        <v>0.23200000000000001</v>
      </c>
      <c r="T158" s="7">
        <f>ROUND(8.58/E158,3)</f>
        <v>0.105</v>
      </c>
      <c r="U158" s="7">
        <f>ROUND(49/E158,3)</f>
        <v>0.59799999999999998</v>
      </c>
      <c r="V158" s="7">
        <f>ROUND(32/E158,3)</f>
        <v>0.39</v>
      </c>
      <c r="W158" s="7">
        <f>ROUND(8.5/E158,3)</f>
        <v>0.104</v>
      </c>
      <c r="X158" s="7">
        <v>0.46</v>
      </c>
      <c r="Y158" s="7">
        <v>0.48</v>
      </c>
      <c r="Z158" s="7">
        <v>0.49</v>
      </c>
      <c r="AA158" s="7">
        <f>ROUND(43.77/E158,3)</f>
        <v>0.53400000000000003</v>
      </c>
      <c r="AB158" s="7">
        <f>ROUND(7/E158,3)</f>
        <v>8.5000000000000006E-2</v>
      </c>
      <c r="AC158" s="7">
        <v>8476885</v>
      </c>
    </row>
    <row r="159" spans="1:29" ht="15" customHeight="1" x14ac:dyDescent="0.2">
      <c r="A159" s="7" t="s">
        <v>492</v>
      </c>
      <c r="B159" s="7" t="s">
        <v>376</v>
      </c>
      <c r="C159" s="7" t="s">
        <v>153</v>
      </c>
      <c r="D159" s="7">
        <v>19</v>
      </c>
      <c r="E159" s="7">
        <v>2</v>
      </c>
      <c r="F159" s="7">
        <f>ROUND(1/E159,3)</f>
        <v>0.5</v>
      </c>
      <c r="G159" s="7">
        <f>ROUND(1/E159,3)</f>
        <v>0.5</v>
      </c>
      <c r="H159" s="7">
        <f>ROUND(2/E159,3)</f>
        <v>1</v>
      </c>
      <c r="I159" s="7">
        <f>ROUND(1/E159,3)</f>
        <v>0.5</v>
      </c>
      <c r="J159" s="7">
        <f>ROUND(0/E159,3)</f>
        <v>0</v>
      </c>
      <c r="K159" s="7">
        <f t="shared" si="7"/>
        <v>8.25</v>
      </c>
      <c r="L159" s="7">
        <f>ROUND(32.466666666667/E159,3)</f>
        <v>16.233000000000001</v>
      </c>
      <c r="M159" s="7">
        <f>ROUND(0/E159,3)</f>
        <v>0</v>
      </c>
      <c r="N159" s="7" t="s">
        <v>64</v>
      </c>
      <c r="O159" s="7" t="s">
        <v>112</v>
      </c>
      <c r="P159" s="7">
        <f>ROUND(4/E159,3)</f>
        <v>2</v>
      </c>
      <c r="Q159" s="7">
        <f>ROUND(2/E159,3)</f>
        <v>1</v>
      </c>
      <c r="R159" s="7">
        <f>ROUND(3/E159,3)</f>
        <v>1.5</v>
      </c>
      <c r="S159" s="7">
        <f>ROUND(1/E159,3)</f>
        <v>0.5</v>
      </c>
      <c r="T159" s="7">
        <f>ROUND(0.18/E159,3)</f>
        <v>0.09</v>
      </c>
      <c r="U159" s="7">
        <f>ROUND(0/E159,3)</f>
        <v>0</v>
      </c>
      <c r="V159" s="7">
        <f>ROUND(1/E159,3)</f>
        <v>0.5</v>
      </c>
      <c r="W159" s="7">
        <f>ROUND(0.36/E159,3)</f>
        <v>0.18</v>
      </c>
      <c r="X159" s="7">
        <v>0.68</v>
      </c>
      <c r="Y159" s="7">
        <v>0.61</v>
      </c>
      <c r="Z159" s="7">
        <v>0.63</v>
      </c>
      <c r="AA159" s="7">
        <f>ROUND(2/E159,3)</f>
        <v>1</v>
      </c>
      <c r="AB159" s="7">
        <f>ROUND(1/E159,3)</f>
        <v>0.5</v>
      </c>
      <c r="AC159" s="7">
        <v>8482684</v>
      </c>
    </row>
    <row r="160" spans="1:29" ht="15" customHeight="1" x14ac:dyDescent="0.2">
      <c r="A160" s="7" t="s">
        <v>493</v>
      </c>
      <c r="B160" s="7" t="s">
        <v>376</v>
      </c>
      <c r="D160" s="7">
        <v>25</v>
      </c>
      <c r="K160" s="7"/>
      <c r="AC160" s="7">
        <v>8478854</v>
      </c>
    </row>
    <row r="161" spans="1:29" ht="15" customHeight="1" x14ac:dyDescent="0.2">
      <c r="A161" s="7" t="s">
        <v>494</v>
      </c>
      <c r="B161" s="7" t="s">
        <v>376</v>
      </c>
      <c r="C161" s="7" t="s">
        <v>220</v>
      </c>
      <c r="D161" s="7">
        <v>26</v>
      </c>
      <c r="E161" s="7">
        <v>70</v>
      </c>
      <c r="F161" s="7">
        <f>ROUND(11/E161,3)</f>
        <v>0.157</v>
      </c>
      <c r="G161" s="7">
        <f>ROUND(31/E161,3)</f>
        <v>0.443</v>
      </c>
      <c r="H161" s="7">
        <f>ROUND(174/E161,3)</f>
        <v>2.4860000000000002</v>
      </c>
      <c r="I161" s="7">
        <f>ROUND(52/E161,3)</f>
        <v>0.74299999999999999</v>
      </c>
      <c r="J161" s="7">
        <f>ROUND(67/E161,3)</f>
        <v>0.95699999999999996</v>
      </c>
      <c r="K161" s="7">
        <f>8*F161+6*G161+1*H161+1*J161+0.5*I161</f>
        <v>7.7285000000000004</v>
      </c>
      <c r="L161" s="7">
        <f>ROUND(1544.1/E161,3)</f>
        <v>22.059000000000001</v>
      </c>
      <c r="M161" s="7">
        <f>ROUND(73/E161,3)</f>
        <v>1.0429999999999999</v>
      </c>
      <c r="N161" s="7" t="s">
        <v>761</v>
      </c>
      <c r="O161" s="7" t="s">
        <v>762</v>
      </c>
      <c r="P161" s="7">
        <f>ROUND(287/E161,3)</f>
        <v>4.0999999999999996</v>
      </c>
      <c r="Q161" s="7">
        <f>ROUND(216/E161,3)</f>
        <v>3.0859999999999999</v>
      </c>
      <c r="R161" s="7">
        <f>ROUND(75/E161,3)</f>
        <v>1.071</v>
      </c>
      <c r="S161" s="7">
        <f>ROUND(15/E161,3)</f>
        <v>0.214</v>
      </c>
      <c r="T161" s="7">
        <f>ROUND(8.59/E161,3)</f>
        <v>0.123</v>
      </c>
      <c r="U161" s="7">
        <f>ROUND(57/E161,3)</f>
        <v>0.81399999999999995</v>
      </c>
      <c r="V161" s="7">
        <f>ROUND(25/E161,3)</f>
        <v>0.35699999999999998</v>
      </c>
      <c r="W161" s="7">
        <f>ROUND(9.5/E161,3)</f>
        <v>0.13600000000000001</v>
      </c>
      <c r="X161" s="7">
        <v>0.46</v>
      </c>
      <c r="Y161" s="7">
        <v>0.51</v>
      </c>
      <c r="Z161" s="7">
        <v>0.51</v>
      </c>
      <c r="AA161" s="7">
        <f>ROUND(39.7/E161,3)</f>
        <v>0.56699999999999995</v>
      </c>
      <c r="AB161" s="7">
        <f>ROUND(9/E161,3)</f>
        <v>0.129</v>
      </c>
      <c r="AC161" s="7">
        <v>8477950</v>
      </c>
    </row>
    <row r="162" spans="1:29" ht="15" customHeight="1" x14ac:dyDescent="0.2">
      <c r="A162" s="7" t="s">
        <v>497</v>
      </c>
      <c r="B162" s="7" t="s">
        <v>376</v>
      </c>
      <c r="C162" s="7" t="s">
        <v>56</v>
      </c>
      <c r="D162" s="7">
        <v>21</v>
      </c>
      <c r="E162" s="7">
        <v>46</v>
      </c>
      <c r="F162" s="7">
        <f>ROUND(1/E162,3)</f>
        <v>2.1999999999999999E-2</v>
      </c>
      <c r="G162" s="7">
        <f>ROUND(7/E162,3)</f>
        <v>0.152</v>
      </c>
      <c r="H162" s="7">
        <f>ROUND(32/E162,3)</f>
        <v>0.69599999999999995</v>
      </c>
      <c r="I162" s="7">
        <f>ROUND(28/E162,3)</f>
        <v>0.60899999999999999</v>
      </c>
      <c r="J162" s="7">
        <f>ROUND(30/E162,3)</f>
        <v>0.65200000000000002</v>
      </c>
      <c r="K162" s="7">
        <f>8*F162+6*G162+1*H162+1*J162+0.5*I162</f>
        <v>2.7404999999999999</v>
      </c>
      <c r="L162" s="7">
        <f>ROUND(579.76666666667/E162,3)</f>
        <v>12.603999999999999</v>
      </c>
      <c r="M162" s="7">
        <f>ROUND(2/E162,3)</f>
        <v>4.2999999999999997E-2</v>
      </c>
      <c r="N162" s="7" t="s">
        <v>763</v>
      </c>
      <c r="O162" s="7" t="s">
        <v>764</v>
      </c>
      <c r="P162" s="7">
        <f>ROUND(72/E162,3)</f>
        <v>1.5649999999999999</v>
      </c>
      <c r="Q162" s="7">
        <f>ROUND(43/E162,3)</f>
        <v>0.93500000000000005</v>
      </c>
      <c r="R162" s="7">
        <f>ROUND(23/E162,3)</f>
        <v>0.5</v>
      </c>
      <c r="S162" s="7">
        <f>ROUND(5/E162,3)</f>
        <v>0.109</v>
      </c>
      <c r="T162" s="7">
        <f>ROUND(1.78/E162,3)</f>
        <v>3.9E-2</v>
      </c>
      <c r="U162" s="7">
        <f>ROUND(26/E162,3)</f>
        <v>0.56499999999999995</v>
      </c>
      <c r="V162" s="7">
        <f>ROUND(12/E162,3)</f>
        <v>0.26100000000000001</v>
      </c>
      <c r="W162" s="7">
        <f>ROUND(1.7/E162,3)</f>
        <v>3.6999999999999998E-2</v>
      </c>
      <c r="X162" s="7">
        <v>0.56999999999999995</v>
      </c>
      <c r="Y162" s="7">
        <v>0.54</v>
      </c>
      <c r="Z162" s="7">
        <v>0.54</v>
      </c>
      <c r="AA162" s="7">
        <f>ROUND(16.65/E162,3)</f>
        <v>0.36199999999999999</v>
      </c>
      <c r="AB162" s="7">
        <f>ROUND(3/E162,3)</f>
        <v>6.5000000000000002E-2</v>
      </c>
      <c r="AC162" s="7">
        <v>8481598</v>
      </c>
    </row>
    <row r="163" spans="1:29" ht="15" customHeight="1" x14ac:dyDescent="0.2">
      <c r="A163" s="7" t="s">
        <v>499</v>
      </c>
      <c r="B163" s="7" t="s">
        <v>376</v>
      </c>
      <c r="C163" s="7" t="s">
        <v>114</v>
      </c>
      <c r="D163" s="7">
        <v>35</v>
      </c>
      <c r="E163" s="7">
        <v>64</v>
      </c>
      <c r="F163" s="7">
        <f>ROUND(12/E163,3)</f>
        <v>0.188</v>
      </c>
      <c r="G163" s="7">
        <f>ROUND(29/E163,3)</f>
        <v>0.45300000000000001</v>
      </c>
      <c r="H163" s="7">
        <f>ROUND(161/E163,3)</f>
        <v>2.516</v>
      </c>
      <c r="I163" s="7">
        <f>ROUND(162/E163,3)</f>
        <v>2.5310000000000001</v>
      </c>
      <c r="J163" s="7">
        <f>ROUND(95/E163,3)</f>
        <v>1.484</v>
      </c>
      <c r="K163" s="7">
        <f>8*F163+6*G163+1*H163+1*J163+0.5*I163</f>
        <v>9.4874999999999989</v>
      </c>
      <c r="L163" s="7">
        <f>ROUND(1590.8833333333/E163,3)</f>
        <v>24.858000000000001</v>
      </c>
      <c r="M163" s="7">
        <f>ROUND(30/E163,3)</f>
        <v>0.46899999999999997</v>
      </c>
      <c r="N163" s="7" t="s">
        <v>765</v>
      </c>
      <c r="O163" s="7" t="s">
        <v>766</v>
      </c>
      <c r="P163" s="7">
        <f>ROUND(374/E163,3)</f>
        <v>5.8440000000000003</v>
      </c>
      <c r="Q163" s="7">
        <f>ROUND(225/E163,3)</f>
        <v>3.516</v>
      </c>
      <c r="R163" s="7">
        <f>ROUND(109/E163,3)</f>
        <v>1.7030000000000001</v>
      </c>
      <c r="S163" s="7">
        <f>ROUND(19/E163,3)</f>
        <v>0.29699999999999999</v>
      </c>
      <c r="T163" s="7">
        <f>ROUND(8.54/E163,3)</f>
        <v>0.13300000000000001</v>
      </c>
      <c r="U163" s="7">
        <f>ROUND(84/E163,3)</f>
        <v>1.3129999999999999</v>
      </c>
      <c r="V163" s="7">
        <f>ROUND(47/E163,3)</f>
        <v>0.73399999999999999</v>
      </c>
      <c r="W163" s="7">
        <f>ROUND(9/E163,3)</f>
        <v>0.14099999999999999</v>
      </c>
      <c r="X163" s="7">
        <v>0.57999999999999996</v>
      </c>
      <c r="Y163" s="7">
        <v>0.56000000000000005</v>
      </c>
      <c r="Z163" s="7">
        <v>0.56000000000000005</v>
      </c>
      <c r="AA163" s="7">
        <f>ROUND(47.73/E163,3)</f>
        <v>0.746</v>
      </c>
      <c r="AB163" s="7">
        <f>ROUND(7/E163,3)</f>
        <v>0.109</v>
      </c>
      <c r="AC163" s="7">
        <v>8471724</v>
      </c>
    </row>
    <row r="164" spans="1:29" ht="15" customHeight="1" x14ac:dyDescent="0.2">
      <c r="A164" s="7" t="s">
        <v>502</v>
      </c>
      <c r="B164" s="7" t="s">
        <v>376</v>
      </c>
      <c r="D164" s="7">
        <v>20</v>
      </c>
      <c r="K164" s="7"/>
      <c r="AC164" s="7">
        <v>8482100</v>
      </c>
    </row>
    <row r="165" spans="1:29" ht="15" customHeight="1" x14ac:dyDescent="0.2">
      <c r="A165" s="7" t="s">
        <v>503</v>
      </c>
      <c r="B165" s="7" t="s">
        <v>376</v>
      </c>
      <c r="C165" s="7" t="s">
        <v>274</v>
      </c>
      <c r="D165" s="7">
        <v>28</v>
      </c>
      <c r="E165" s="7">
        <v>80</v>
      </c>
      <c r="F165" s="7">
        <f>ROUND(16/E165,3)</f>
        <v>0.2</v>
      </c>
      <c r="G165" s="7">
        <f>ROUND(57/E165,3)</f>
        <v>0.71299999999999997</v>
      </c>
      <c r="H165" s="7">
        <f>ROUND(242/E165,3)</f>
        <v>3.0249999999999999</v>
      </c>
      <c r="I165" s="7">
        <f>ROUND(92/E165,3)</f>
        <v>1.1499999999999999</v>
      </c>
      <c r="J165" s="7">
        <f>ROUND(79/E165,3)</f>
        <v>0.98799999999999999</v>
      </c>
      <c r="K165" s="7">
        <f>8*F165+6*G165+1*H165+1*J165+0.5*I165</f>
        <v>10.465999999999999</v>
      </c>
      <c r="L165" s="7">
        <f>ROUND(1930.1/E165,3)</f>
        <v>24.126000000000001</v>
      </c>
      <c r="M165" s="7">
        <f>ROUND(107/E165,3)</f>
        <v>1.3380000000000001</v>
      </c>
      <c r="N165" s="7" t="s">
        <v>767</v>
      </c>
      <c r="O165" s="7" t="s">
        <v>768</v>
      </c>
      <c r="P165" s="7">
        <f>ROUND(459/E165,3)</f>
        <v>5.7380000000000004</v>
      </c>
      <c r="Q165" s="7">
        <f>ROUND(339/E165,3)</f>
        <v>4.2380000000000004</v>
      </c>
      <c r="R165" s="7">
        <f>ROUND(156/E165,3)</f>
        <v>1.95</v>
      </c>
      <c r="S165" s="7">
        <f>ROUND(45/E165,3)</f>
        <v>0.56299999999999994</v>
      </c>
      <c r="T165" s="7">
        <f>ROUND(16.8/E165,3)</f>
        <v>0.21</v>
      </c>
      <c r="U165" s="7">
        <f>ROUND(52/E165,3)</f>
        <v>0.65</v>
      </c>
      <c r="V165" s="7">
        <f>ROUND(33/E165,3)</f>
        <v>0.41299999999999998</v>
      </c>
      <c r="W165" s="7">
        <f>ROUND(16.92/E165,3)</f>
        <v>0.21199999999999999</v>
      </c>
      <c r="X165" s="7">
        <v>0.59</v>
      </c>
      <c r="Y165" s="7">
        <v>0.59</v>
      </c>
      <c r="Z165" s="7">
        <v>0.59</v>
      </c>
      <c r="AA165" s="7">
        <f>ROUND(79.25/E165,3)</f>
        <v>0.99099999999999999</v>
      </c>
      <c r="AB165" s="7">
        <f>ROUND(16/E165,3)</f>
        <v>0.2</v>
      </c>
      <c r="AC165" s="7">
        <v>8477986</v>
      </c>
    </row>
    <row r="166" spans="1:29" ht="15" customHeight="1" x14ac:dyDescent="0.2">
      <c r="A166" s="7" t="s">
        <v>506</v>
      </c>
      <c r="B166" s="7" t="s">
        <v>376</v>
      </c>
      <c r="C166" s="7" t="s">
        <v>230</v>
      </c>
      <c r="D166" s="7">
        <v>20</v>
      </c>
      <c r="E166" s="7">
        <v>8</v>
      </c>
      <c r="F166" s="7">
        <f>ROUND(0/E166,3)</f>
        <v>0</v>
      </c>
      <c r="G166" s="7">
        <f>ROUND(0/E166,3)</f>
        <v>0</v>
      </c>
      <c r="H166" s="7">
        <f>ROUND(8/E166,3)</f>
        <v>1</v>
      </c>
      <c r="I166" s="7">
        <f>ROUND(7/E166,3)</f>
        <v>0.875</v>
      </c>
      <c r="J166" s="7">
        <f>ROUND(5/E166,3)</f>
        <v>0.625</v>
      </c>
      <c r="K166" s="7">
        <f>8*F166+6*G166+1*H166+1*J166+0.5*I166</f>
        <v>2.0625</v>
      </c>
      <c r="L166" s="7">
        <f>ROUND(140.96666666667/E166,3)</f>
        <v>17.620999999999999</v>
      </c>
      <c r="M166" s="7">
        <f>ROUND(2/E166,3)</f>
        <v>0.25</v>
      </c>
      <c r="N166" s="7" t="s">
        <v>207</v>
      </c>
      <c r="O166" s="7" t="s">
        <v>207</v>
      </c>
      <c r="P166" s="7">
        <f>ROUND(18/E166,3)</f>
        <v>2.25</v>
      </c>
      <c r="Q166" s="7">
        <f>ROUND(12/E166,3)</f>
        <v>1.5</v>
      </c>
      <c r="R166" s="7">
        <f>ROUND(4/E166,3)</f>
        <v>0.5</v>
      </c>
      <c r="S166" s="7">
        <f>ROUND(0/E166,3)</f>
        <v>0</v>
      </c>
      <c r="T166" s="7">
        <f>ROUND(0.35/E166,3)</f>
        <v>4.3999999999999997E-2</v>
      </c>
      <c r="U166" s="7">
        <f>ROUND(3/E166,3)</f>
        <v>0.375</v>
      </c>
      <c r="V166" s="7">
        <f>ROUND(0/E166,3)</f>
        <v>0</v>
      </c>
      <c r="W166" s="7">
        <f>ROUND(0.34/E166,3)</f>
        <v>4.2999999999999997E-2</v>
      </c>
      <c r="X166" s="7">
        <v>0.39</v>
      </c>
      <c r="Y166" s="7">
        <v>0.42</v>
      </c>
      <c r="Z166" s="7">
        <v>0.41</v>
      </c>
      <c r="AA166" s="7">
        <f>ROUND(-1.55/E166,3)</f>
        <v>-0.19400000000000001</v>
      </c>
      <c r="AB166" s="7">
        <f>ROUND(0/E166,3)</f>
        <v>0</v>
      </c>
      <c r="AC166" s="7">
        <v>8482142</v>
      </c>
    </row>
    <row r="167" spans="1:29" ht="15" customHeight="1" x14ac:dyDescent="0.2">
      <c r="A167" s="7" t="s">
        <v>508</v>
      </c>
      <c r="B167" s="7" t="s">
        <v>376</v>
      </c>
      <c r="C167" s="7" t="s">
        <v>153</v>
      </c>
      <c r="D167" s="7">
        <v>28</v>
      </c>
      <c r="E167" s="7">
        <v>81</v>
      </c>
      <c r="F167" s="7">
        <f>ROUND(7/E167,3)</f>
        <v>8.5999999999999993E-2</v>
      </c>
      <c r="G167" s="7">
        <f>ROUND(26/E167,3)</f>
        <v>0.32100000000000001</v>
      </c>
      <c r="H167" s="7">
        <f>ROUND(102/E167,3)</f>
        <v>1.2589999999999999</v>
      </c>
      <c r="I167" s="7">
        <f>ROUND(44/E167,3)</f>
        <v>0.54300000000000004</v>
      </c>
      <c r="J167" s="7">
        <f>ROUND(11/E167,3)</f>
        <v>0.13600000000000001</v>
      </c>
      <c r="K167" s="7">
        <f>8*F167+6*G167+1*H167+1*J167+0.5*I167</f>
        <v>4.2804999999999991</v>
      </c>
      <c r="L167" s="7">
        <f>ROUND(1616.35/E167,3)</f>
        <v>19.954999999999998</v>
      </c>
      <c r="M167" s="7">
        <f>ROUND(38/E167,3)</f>
        <v>0.46899999999999997</v>
      </c>
      <c r="N167" s="7" t="s">
        <v>271</v>
      </c>
      <c r="O167" s="7" t="s">
        <v>468</v>
      </c>
      <c r="P167" s="7">
        <f>ROUND(245/E167,3)</f>
        <v>3.0249999999999999</v>
      </c>
      <c r="Q167" s="7">
        <f>ROUND(146/E167,3)</f>
        <v>1.802</v>
      </c>
      <c r="R167" s="7">
        <f>ROUND(79/E167,3)</f>
        <v>0.97499999999999998</v>
      </c>
      <c r="S167" s="7">
        <f>ROUND(13/E167,3)</f>
        <v>0.16</v>
      </c>
      <c r="T167" s="7">
        <f>ROUND(5.72/E167,3)</f>
        <v>7.0999999999999994E-2</v>
      </c>
      <c r="U167" s="7">
        <f>ROUND(41/E167,3)</f>
        <v>0.50600000000000001</v>
      </c>
      <c r="V167" s="7">
        <f>ROUND(28/E167,3)</f>
        <v>0.34599999999999997</v>
      </c>
      <c r="W167" s="7">
        <f>ROUND(5.23/E167,3)</f>
        <v>6.5000000000000002E-2</v>
      </c>
      <c r="X167" s="7">
        <v>0.59</v>
      </c>
      <c r="Y167" s="7">
        <v>0.56000000000000005</v>
      </c>
      <c r="Z167" s="7">
        <v>0.56999999999999995</v>
      </c>
      <c r="AA167" s="7">
        <f>ROUND(52.65/E167,3)</f>
        <v>0.65</v>
      </c>
      <c r="AB167" s="7">
        <f>ROUND(2/E167,3)</f>
        <v>2.5000000000000001E-2</v>
      </c>
      <c r="AC167" s="7">
        <v>8476923</v>
      </c>
    </row>
    <row r="168" spans="1:29" ht="15" customHeight="1" x14ac:dyDescent="0.2">
      <c r="A168" s="7" t="s">
        <v>510</v>
      </c>
      <c r="B168" s="7" t="s">
        <v>376</v>
      </c>
      <c r="C168" s="7" t="s">
        <v>127</v>
      </c>
      <c r="D168" s="7">
        <v>27</v>
      </c>
      <c r="E168" s="7">
        <v>72</v>
      </c>
      <c r="F168" s="7">
        <f>ROUND(12/E168,3)</f>
        <v>0.16700000000000001</v>
      </c>
      <c r="G168" s="7">
        <f>ROUND(25/E168,3)</f>
        <v>0.34699999999999998</v>
      </c>
      <c r="H168" s="7">
        <f>ROUND(178/E168,3)</f>
        <v>2.472</v>
      </c>
      <c r="I168" s="7">
        <f>ROUND(106/E168,3)</f>
        <v>1.472</v>
      </c>
      <c r="J168" s="7">
        <f>ROUND(116/E168,3)</f>
        <v>1.611</v>
      </c>
      <c r="K168" s="7">
        <f>8*F168+6*G168+1*H168+1*J168+0.5*I168</f>
        <v>8.2370000000000001</v>
      </c>
      <c r="L168" s="7">
        <f>ROUND(1760.4833333333/E168,3)</f>
        <v>24.451000000000001</v>
      </c>
      <c r="M168" s="7">
        <f>ROUND(30/E168,3)</f>
        <v>0.41699999999999998</v>
      </c>
      <c r="N168" s="7" t="s">
        <v>769</v>
      </c>
      <c r="O168" s="7" t="s">
        <v>756</v>
      </c>
      <c r="P168" s="7">
        <f>ROUND(330/E168,3)</f>
        <v>4.5830000000000002</v>
      </c>
      <c r="Q168" s="7">
        <f>ROUND(242/E168,3)</f>
        <v>3.3610000000000002</v>
      </c>
      <c r="R168" s="7">
        <f>ROUND(96/E168,3)</f>
        <v>1.333</v>
      </c>
      <c r="S168" s="7">
        <f>ROUND(22/E168,3)</f>
        <v>0.30599999999999999</v>
      </c>
      <c r="T168" s="7">
        <f>ROUND(9.79/E168,3)</f>
        <v>0.13600000000000001</v>
      </c>
      <c r="U168" s="7">
        <f>ROUND(66/E168,3)</f>
        <v>0.91700000000000004</v>
      </c>
      <c r="V168" s="7">
        <f>ROUND(46/E168,3)</f>
        <v>0.63900000000000001</v>
      </c>
      <c r="W168" s="7">
        <f>ROUND(8.88/E168,3)</f>
        <v>0.123</v>
      </c>
      <c r="X168" s="7">
        <v>0.49</v>
      </c>
      <c r="Y168" s="7">
        <v>0.5</v>
      </c>
      <c r="Z168" s="7">
        <v>0.5</v>
      </c>
      <c r="AA168" s="7">
        <f>ROUND(31.27/E168,3)</f>
        <v>0.434</v>
      </c>
      <c r="AB168" s="7">
        <f>ROUND(8/E168,3)</f>
        <v>0.111</v>
      </c>
      <c r="AC168" s="7">
        <v>8477495</v>
      </c>
    </row>
    <row r="169" spans="1:29" ht="15" customHeight="1" x14ac:dyDescent="0.2">
      <c r="A169" s="7" t="s">
        <v>512</v>
      </c>
      <c r="B169" s="7" t="s">
        <v>376</v>
      </c>
      <c r="C169" s="7" t="s">
        <v>93</v>
      </c>
      <c r="D169" s="7">
        <v>28</v>
      </c>
      <c r="E169" s="7">
        <v>82</v>
      </c>
      <c r="F169" s="7">
        <f>ROUND(8/E169,3)</f>
        <v>9.8000000000000004E-2</v>
      </c>
      <c r="G169" s="7">
        <f>ROUND(16/E169,3)</f>
        <v>0.19500000000000001</v>
      </c>
      <c r="H169" s="7">
        <f>ROUND(116/E169,3)</f>
        <v>1.415</v>
      </c>
      <c r="I169" s="7">
        <f>ROUND(87/E169,3)</f>
        <v>1.0609999999999999</v>
      </c>
      <c r="J169" s="7">
        <f>ROUND(131/E169,3)</f>
        <v>1.5980000000000001</v>
      </c>
      <c r="K169" s="7">
        <f>8*F169+6*G169+1*H169+1*J169+0.5*I169</f>
        <v>5.4974999999999996</v>
      </c>
      <c r="L169" s="7">
        <f>ROUND(1633.1833333333/E169,3)</f>
        <v>19.917000000000002</v>
      </c>
      <c r="M169" s="7">
        <f>ROUND(10/E169,3)</f>
        <v>0.122</v>
      </c>
      <c r="N169" s="7" t="s">
        <v>560</v>
      </c>
      <c r="O169" s="7" t="s">
        <v>770</v>
      </c>
      <c r="P169" s="7">
        <f>ROUND(231/E169,3)</f>
        <v>2.8170000000000002</v>
      </c>
      <c r="Q169" s="7">
        <f>ROUND(149/E169,3)</f>
        <v>1.8169999999999999</v>
      </c>
      <c r="R169" s="7">
        <f>ROUND(68/E169,3)</f>
        <v>0.82899999999999996</v>
      </c>
      <c r="S169" s="7">
        <f>ROUND(13/E169,3)</f>
        <v>0.159</v>
      </c>
      <c r="T169" s="7">
        <f>ROUND(6.99/E169,3)</f>
        <v>8.5000000000000006E-2</v>
      </c>
      <c r="U169" s="7">
        <f>ROUND(56/E169,3)</f>
        <v>0.68300000000000005</v>
      </c>
      <c r="V169" s="7">
        <f>ROUND(31/E169,3)</f>
        <v>0.378</v>
      </c>
      <c r="W169" s="7">
        <f>ROUND(6.6/E169,3)</f>
        <v>0.08</v>
      </c>
      <c r="X169" s="7">
        <v>0.46</v>
      </c>
      <c r="Y169" s="7">
        <v>0.42</v>
      </c>
      <c r="Z169" s="7">
        <v>0.42</v>
      </c>
      <c r="AA169" s="7">
        <f>ROUND(28.8/E169,3)</f>
        <v>0.35099999999999998</v>
      </c>
      <c r="AB169" s="7">
        <f>ROUND(4/E169,3)</f>
        <v>4.9000000000000002E-2</v>
      </c>
      <c r="AC169" s="7">
        <v>8476902</v>
      </c>
    </row>
    <row r="170" spans="1:29" ht="15" customHeight="1" x14ac:dyDescent="0.2">
      <c r="A170" s="7" t="s">
        <v>515</v>
      </c>
      <c r="B170" s="7" t="s">
        <v>376</v>
      </c>
      <c r="D170" s="7">
        <v>18</v>
      </c>
      <c r="K170" s="7"/>
      <c r="AC170" s="7">
        <v>8483485</v>
      </c>
    </row>
    <row r="171" spans="1:29" ht="15" customHeight="1" x14ac:dyDescent="0.2">
      <c r="A171" s="7" t="s">
        <v>516</v>
      </c>
      <c r="B171" s="7" t="s">
        <v>376</v>
      </c>
      <c r="C171" s="7" t="s">
        <v>184</v>
      </c>
      <c r="D171" s="7">
        <v>27</v>
      </c>
      <c r="E171" s="7">
        <v>70</v>
      </c>
      <c r="F171" s="7">
        <f>ROUND(3/E171,3)</f>
        <v>4.2999999999999997E-2</v>
      </c>
      <c r="G171" s="7">
        <f>ROUND(10/E171,3)</f>
        <v>0.14299999999999999</v>
      </c>
      <c r="H171" s="7">
        <f>ROUND(94/E171,3)</f>
        <v>1.343</v>
      </c>
      <c r="I171" s="7">
        <f>ROUND(77/E171,3)</f>
        <v>1.1000000000000001</v>
      </c>
      <c r="J171" s="7">
        <f>ROUND(16/E171,3)</f>
        <v>0.22900000000000001</v>
      </c>
      <c r="K171" s="7">
        <f>8*F171+6*G171+1*H171+1*J171+0.5*I171</f>
        <v>3.3239999999999998</v>
      </c>
      <c r="L171" s="7">
        <f>ROUND(1037.95/E171,3)</f>
        <v>14.827999999999999</v>
      </c>
      <c r="M171" s="7">
        <f>ROUND(36/E171,3)</f>
        <v>0.51400000000000001</v>
      </c>
      <c r="N171" s="7" t="s">
        <v>771</v>
      </c>
      <c r="O171" s="7" t="s">
        <v>772</v>
      </c>
      <c r="P171" s="7">
        <f>ROUND(185/E171,3)</f>
        <v>2.6429999999999998</v>
      </c>
      <c r="Q171" s="7">
        <f>ROUND(128/E171,3)</f>
        <v>1.829</v>
      </c>
      <c r="R171" s="7">
        <f>ROUND(53/E171,3)</f>
        <v>0.75700000000000001</v>
      </c>
      <c r="S171" s="7">
        <f>ROUND(11/E171,3)</f>
        <v>0.157</v>
      </c>
      <c r="T171" s="7">
        <f>ROUND(4.41/E171,3)</f>
        <v>6.3E-2</v>
      </c>
      <c r="U171" s="7">
        <f>ROUND(32/E171,3)</f>
        <v>0.45700000000000002</v>
      </c>
      <c r="V171" s="7">
        <f>ROUND(13/E171,3)</f>
        <v>0.186</v>
      </c>
      <c r="W171" s="7">
        <f>ROUND(5.03/E171,3)</f>
        <v>7.1999999999999995E-2</v>
      </c>
      <c r="X171" s="7">
        <v>0.48</v>
      </c>
      <c r="Y171" s="7">
        <v>0.49</v>
      </c>
      <c r="Z171" s="7">
        <v>0.51</v>
      </c>
      <c r="AA171" s="7">
        <f>ROUND(23.05/E171,3)</f>
        <v>0.32900000000000001</v>
      </c>
      <c r="AB171" s="7">
        <f>ROUND(3/E171,3)</f>
        <v>4.2999999999999997E-2</v>
      </c>
      <c r="AC171" s="7">
        <v>8480336</v>
      </c>
    </row>
    <row r="172" spans="1:29" ht="15" customHeight="1" x14ac:dyDescent="0.2">
      <c r="A172" s="7" t="s">
        <v>517</v>
      </c>
      <c r="B172" s="7" t="s">
        <v>376</v>
      </c>
      <c r="C172" s="7" t="s">
        <v>220</v>
      </c>
      <c r="D172" s="7">
        <v>25</v>
      </c>
      <c r="E172" s="7">
        <v>82</v>
      </c>
      <c r="F172" s="7">
        <f>ROUND(6/E172,3)</f>
        <v>7.2999999999999995E-2</v>
      </c>
      <c r="G172" s="7">
        <f>ROUND(21/E172,3)</f>
        <v>0.25600000000000001</v>
      </c>
      <c r="H172" s="7">
        <f>ROUND(115/E172,3)</f>
        <v>1.4019999999999999</v>
      </c>
      <c r="I172" s="7">
        <f>ROUND(97/E172,3)</f>
        <v>1.1830000000000001</v>
      </c>
      <c r="J172" s="7">
        <f>ROUND(134/E172,3)</f>
        <v>1.6339999999999999</v>
      </c>
      <c r="K172" s="7">
        <f>8*F172+6*G172+1*H172+1*J172+0.5*I172</f>
        <v>5.7475000000000005</v>
      </c>
      <c r="L172" s="7">
        <f>ROUND(1887.8666666667/E172,3)</f>
        <v>23.023</v>
      </c>
      <c r="M172" s="7">
        <f>ROUND(24/E172,3)</f>
        <v>0.29299999999999998</v>
      </c>
      <c r="N172" s="7" t="s">
        <v>773</v>
      </c>
      <c r="O172" s="7" t="s">
        <v>774</v>
      </c>
      <c r="P172" s="7">
        <f>ROUND(256/E172,3)</f>
        <v>3.1219999999999999</v>
      </c>
      <c r="Q172" s="7">
        <f>ROUND(173/E172,3)</f>
        <v>2.11</v>
      </c>
      <c r="R172" s="7">
        <f>ROUND(79/E172,3)</f>
        <v>0.96299999999999997</v>
      </c>
      <c r="S172" s="7">
        <f>ROUND(16/E172,3)</f>
        <v>0.19500000000000001</v>
      </c>
      <c r="T172" s="7">
        <f>ROUND(5.73/E172,3)</f>
        <v>7.0000000000000007E-2</v>
      </c>
      <c r="U172" s="7">
        <f>ROUND(85/E172,3)</f>
        <v>1.0369999999999999</v>
      </c>
      <c r="V172" s="7">
        <f>ROUND(34/E172,3)</f>
        <v>0.41499999999999998</v>
      </c>
      <c r="W172" s="7">
        <f>ROUND(5.82/E172,3)</f>
        <v>7.0999999999999994E-2</v>
      </c>
      <c r="X172" s="7">
        <v>0.39</v>
      </c>
      <c r="Y172" s="7">
        <v>0.42</v>
      </c>
      <c r="Z172" s="7">
        <v>0.43</v>
      </c>
      <c r="AA172" s="7">
        <f>ROUND(22.62/E172,3)</f>
        <v>0.27600000000000002</v>
      </c>
      <c r="AB172" s="7">
        <f>ROUND(4/E172,3)</f>
        <v>4.9000000000000002E-2</v>
      </c>
      <c r="AC172" s="7">
        <v>8478500</v>
      </c>
    </row>
    <row r="173" spans="1:29" ht="15" customHeight="1" x14ac:dyDescent="0.2">
      <c r="A173" s="7" t="s">
        <v>520</v>
      </c>
      <c r="B173" s="7" t="s">
        <v>376</v>
      </c>
      <c r="C173" s="7" t="s">
        <v>184</v>
      </c>
      <c r="D173" s="7">
        <v>21</v>
      </c>
      <c r="E173" s="7">
        <v>6</v>
      </c>
      <c r="F173" s="7">
        <f>ROUND(0/E173,3)</f>
        <v>0</v>
      </c>
      <c r="G173" s="7">
        <f>ROUND(1/E173,3)</f>
        <v>0.16700000000000001</v>
      </c>
      <c r="H173" s="7">
        <f>ROUND(6/E173,3)</f>
        <v>1</v>
      </c>
      <c r="I173" s="7">
        <f>ROUND(3/E173,3)</f>
        <v>0.5</v>
      </c>
      <c r="J173" s="7">
        <f>ROUND(0/E173,3)</f>
        <v>0</v>
      </c>
      <c r="K173" s="7">
        <f>8*F173+6*G173+1*H173+1*J173+0.5*I173</f>
        <v>2.2519999999999998</v>
      </c>
      <c r="L173" s="7">
        <f>ROUND(84/E173,3)</f>
        <v>14</v>
      </c>
      <c r="M173" s="7">
        <f>ROUND(0/E173,3)</f>
        <v>0</v>
      </c>
      <c r="N173" s="7" t="s">
        <v>87</v>
      </c>
      <c r="O173" s="7" t="s">
        <v>207</v>
      </c>
      <c r="P173" s="7">
        <f>ROUND(16/E173,3)</f>
        <v>2.6669999999999998</v>
      </c>
      <c r="Q173" s="7">
        <f>ROUND(11/E173,3)</f>
        <v>1.833</v>
      </c>
      <c r="R173" s="7">
        <f>ROUND(6/E173,3)</f>
        <v>1</v>
      </c>
      <c r="S173" s="7">
        <f>ROUND(3/E173,3)</f>
        <v>0.5</v>
      </c>
      <c r="T173" s="7">
        <f>ROUND(0.64/E173,3)</f>
        <v>0.107</v>
      </c>
      <c r="U173" s="7">
        <f>ROUND(3/E173,3)</f>
        <v>0.5</v>
      </c>
      <c r="V173" s="7">
        <f>ROUND(1/E173,3)</f>
        <v>0.16700000000000001</v>
      </c>
      <c r="W173" s="7">
        <f>ROUND(0.65/E173,3)</f>
        <v>0.108</v>
      </c>
      <c r="X173" s="7">
        <v>0.64</v>
      </c>
      <c r="Y173" s="7">
        <v>0.62</v>
      </c>
      <c r="Z173" s="7">
        <v>0.67</v>
      </c>
      <c r="AA173" s="7">
        <f>ROUND(3.15/E173,3)</f>
        <v>0.52500000000000002</v>
      </c>
      <c r="AB173" s="7">
        <f>ROUND(1/E173,3)</f>
        <v>0.16700000000000001</v>
      </c>
      <c r="AC173" s="7">
        <v>8481606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173"/>
  <sheetViews>
    <sheetView zoomScaleNormal="100" workbookViewId="0">
      <pane xSplit="4" ySplit="2" topLeftCell="E6" activePane="bottomRight" state="frozen"/>
      <selection pane="topRight" activeCell="E1" sqref="E1"/>
      <selection pane="bottomLeft" activeCell="A3" sqref="A3"/>
      <selection pane="bottomRight" activeCell="W1" sqref="W1:W1048576"/>
    </sheetView>
  </sheetViews>
  <sheetFormatPr baseColWidth="10" defaultColWidth="8.6640625" defaultRowHeight="15" x14ac:dyDescent="0.2"/>
  <cols>
    <col min="1" max="1" width="14" customWidth="1"/>
    <col min="2" max="2" width="10" customWidth="1"/>
    <col min="3" max="3" width="14" customWidth="1"/>
    <col min="4" max="29" width="10" customWidth="1"/>
  </cols>
  <sheetData>
    <row r="1" spans="1:29" ht="15" customHeight="1" x14ac:dyDescent="0.2">
      <c r="A1" s="4" t="s">
        <v>24</v>
      </c>
      <c r="B1" s="5"/>
      <c r="C1" s="5"/>
      <c r="D1" s="5"/>
      <c r="E1" s="5"/>
      <c r="F1" s="5"/>
      <c r="G1" s="5"/>
      <c r="H1" s="5"/>
      <c r="I1" s="5"/>
      <c r="J1" s="5"/>
      <c r="K1" s="5"/>
      <c r="L1" s="5"/>
      <c r="M1" s="5"/>
      <c r="N1" s="5"/>
      <c r="O1" s="5"/>
      <c r="P1" s="5"/>
      <c r="Q1" s="5"/>
      <c r="R1" s="5"/>
      <c r="S1" s="5"/>
      <c r="T1" s="5"/>
      <c r="U1" s="5"/>
      <c r="V1" s="5"/>
      <c r="W1" s="5"/>
      <c r="X1" s="5"/>
      <c r="Y1" s="5"/>
      <c r="Z1" s="5"/>
      <c r="AA1" s="5"/>
      <c r="AB1" s="5"/>
      <c r="AC1" s="5"/>
    </row>
    <row r="2" spans="1:29" ht="15" customHeight="1" x14ac:dyDescent="0.2">
      <c r="A2" s="6" t="s">
        <v>25</v>
      </c>
      <c r="B2" s="6" t="s">
        <v>26</v>
      </c>
      <c r="C2" s="6" t="s">
        <v>27</v>
      </c>
      <c r="D2" s="6" t="s">
        <v>28</v>
      </c>
      <c r="E2" s="6" t="s">
        <v>29</v>
      </c>
      <c r="F2" s="6" t="s">
        <v>30</v>
      </c>
      <c r="G2" s="6" t="s">
        <v>31</v>
      </c>
      <c r="H2" s="6" t="s">
        <v>32</v>
      </c>
      <c r="I2" s="6" t="s">
        <v>33</v>
      </c>
      <c r="J2" s="6" t="s">
        <v>34</v>
      </c>
      <c r="K2" s="6" t="s">
        <v>35</v>
      </c>
      <c r="L2" s="6" t="s">
        <v>36</v>
      </c>
      <c r="M2" s="6" t="s">
        <v>37</v>
      </c>
      <c r="N2" s="6" t="s">
        <v>38</v>
      </c>
      <c r="O2" s="6" t="s">
        <v>39</v>
      </c>
      <c r="P2" s="6" t="s">
        <v>40</v>
      </c>
      <c r="Q2" s="6" t="s">
        <v>41</v>
      </c>
      <c r="R2" s="6" t="s">
        <v>42</v>
      </c>
      <c r="S2" s="6" t="s">
        <v>43</v>
      </c>
      <c r="T2" s="6" t="s">
        <v>44</v>
      </c>
      <c r="U2" s="6" t="s">
        <v>45</v>
      </c>
      <c r="V2" s="6" t="s">
        <v>46</v>
      </c>
      <c r="W2" s="6" t="s">
        <v>47</v>
      </c>
      <c r="X2" s="6" t="s">
        <v>48</v>
      </c>
      <c r="Y2" s="6" t="s">
        <v>49</v>
      </c>
      <c r="Z2" s="6" t="s">
        <v>50</v>
      </c>
      <c r="AA2" s="6" t="s">
        <v>51</v>
      </c>
      <c r="AB2" s="6" t="s">
        <v>52</v>
      </c>
      <c r="AC2" s="6" t="s">
        <v>53</v>
      </c>
    </row>
    <row r="3" spans="1:29" ht="15" customHeight="1" x14ac:dyDescent="0.2">
      <c r="A3" s="7" t="s">
        <v>54</v>
      </c>
      <c r="B3" s="7" t="s">
        <v>55</v>
      </c>
      <c r="C3" s="7" t="s">
        <v>56</v>
      </c>
      <c r="D3" s="7">
        <v>26</v>
      </c>
      <c r="E3" s="7">
        <v>76</v>
      </c>
      <c r="F3" s="7">
        <f>ROUND(32/E3,3)</f>
        <v>0.42099999999999999</v>
      </c>
      <c r="G3" s="7">
        <f>ROUND(100/E3,3)</f>
        <v>1.3160000000000001</v>
      </c>
      <c r="H3" s="7">
        <f>ROUND(263/E3,3)</f>
        <v>3.4609999999999999</v>
      </c>
      <c r="I3" s="7">
        <f>ROUND(118/E3,3)</f>
        <v>1.5529999999999999</v>
      </c>
      <c r="J3" s="7">
        <f>ROUND(39/E3,3)</f>
        <v>0.51300000000000001</v>
      </c>
      <c r="K3" s="7">
        <f>8*F3+6*G3+1*H3+1*J3+0.5*I3</f>
        <v>16.014500000000002</v>
      </c>
      <c r="L3" s="7">
        <f>ROUND(1623.3/E3,3)</f>
        <v>21.359000000000002</v>
      </c>
      <c r="M3" s="7">
        <f>ROUND(30/E3,3)</f>
        <v>0.39500000000000002</v>
      </c>
      <c r="N3" s="7" t="s">
        <v>775</v>
      </c>
      <c r="O3" s="7" t="s">
        <v>776</v>
      </c>
      <c r="P3" s="7">
        <f>ROUND(452/E3,3)</f>
        <v>5.9470000000000001</v>
      </c>
      <c r="Q3" s="7">
        <f>ROUND(354/E3,3)</f>
        <v>4.6580000000000004</v>
      </c>
      <c r="R3" s="7">
        <f>ROUND(282/E3,3)</f>
        <v>3.7109999999999999</v>
      </c>
      <c r="S3" s="7">
        <f>ROUND(115/E3,3)</f>
        <v>1.5129999999999999</v>
      </c>
      <c r="T3" s="7">
        <f>ROUND(33.15/E3,3)</f>
        <v>0.436</v>
      </c>
      <c r="U3" s="7">
        <f>ROUND(84/E3,3)</f>
        <v>1.105</v>
      </c>
      <c r="V3" s="7">
        <f>ROUND(68/E3,3)</f>
        <v>0.89500000000000002</v>
      </c>
      <c r="W3" s="7">
        <f>ROUND(30.56/E3,3)</f>
        <v>0.40200000000000002</v>
      </c>
      <c r="X3" s="7">
        <v>0.67</v>
      </c>
      <c r="Y3" s="7">
        <v>0.64</v>
      </c>
      <c r="Z3" s="7">
        <v>0.64</v>
      </c>
      <c r="AA3" s="7">
        <f>ROUND(143.47/E3,3)</f>
        <v>1.8879999999999999</v>
      </c>
      <c r="AB3" s="7">
        <f>ROUND(35/E3,3)</f>
        <v>0.46100000000000002</v>
      </c>
      <c r="AC3" s="7">
        <v>8478402</v>
      </c>
    </row>
    <row r="4" spans="1:29" ht="15" customHeight="1" x14ac:dyDescent="0.2">
      <c r="A4" s="7" t="s">
        <v>59</v>
      </c>
      <c r="B4" s="7" t="s">
        <v>60</v>
      </c>
      <c r="C4" s="7" t="s">
        <v>61</v>
      </c>
      <c r="D4" s="7">
        <v>30</v>
      </c>
      <c r="E4" s="7">
        <v>81</v>
      </c>
      <c r="F4" s="7">
        <f>ROUND(44/E4,3)</f>
        <v>0.54300000000000004</v>
      </c>
      <c r="G4" s="7">
        <f>ROUND(100/E4,3)</f>
        <v>1.2350000000000001</v>
      </c>
      <c r="H4" s="7">
        <f>ROUND(306/E4,3)</f>
        <v>3.778</v>
      </c>
      <c r="I4" s="7">
        <f>ROUND(45/E4,3)</f>
        <v>0.55600000000000005</v>
      </c>
      <c r="J4" s="7">
        <f>ROUND(35/E4,3)</f>
        <v>0.432</v>
      </c>
      <c r="K4" s="7">
        <f>8*F4+6*G4+1*H4+1*J4+0.5*I4</f>
        <v>16.242000000000001</v>
      </c>
      <c r="L4" s="7">
        <f>ROUND(1755.1666666667/E4,3)</f>
        <v>21.669</v>
      </c>
      <c r="M4" s="7">
        <f>ROUND(22/E4,3)</f>
        <v>0.27200000000000002</v>
      </c>
      <c r="N4" s="7" t="s">
        <v>777</v>
      </c>
      <c r="O4" s="7" t="s">
        <v>778</v>
      </c>
      <c r="P4" s="7">
        <f>ROUND(635/E4,3)</f>
        <v>7.84</v>
      </c>
      <c r="Q4" s="7">
        <f>ROUND(458/E4,3)</f>
        <v>5.6539999999999999</v>
      </c>
      <c r="R4" s="7">
        <f>ROUND(267/E4,3)</f>
        <v>3.2959999999999998</v>
      </c>
      <c r="S4" s="7">
        <f>ROUND(87/E4,3)</f>
        <v>1.0740000000000001</v>
      </c>
      <c r="T4" s="7">
        <f>ROUND(32.6/E4,3)</f>
        <v>0.40200000000000002</v>
      </c>
      <c r="U4" s="7">
        <f>ROUND(96/E4,3)</f>
        <v>1.1850000000000001</v>
      </c>
      <c r="V4" s="7">
        <f>ROUND(62/E4,3)</f>
        <v>0.76500000000000001</v>
      </c>
      <c r="W4" s="7">
        <f>ROUND(34/E4,3)</f>
        <v>0.42</v>
      </c>
      <c r="X4" s="7">
        <v>0.62</v>
      </c>
      <c r="Y4" s="7">
        <v>0.61</v>
      </c>
      <c r="Z4" s="7">
        <v>0.61</v>
      </c>
      <c r="AA4" s="7">
        <f>ROUND(134.65/E4,3)</f>
        <v>1.6619999999999999</v>
      </c>
      <c r="AB4" s="7">
        <f>ROUND(30/E4,3)</f>
        <v>0.37</v>
      </c>
      <c r="AC4" s="7">
        <v>8476453</v>
      </c>
    </row>
    <row r="5" spans="1:29" ht="15" customHeight="1" x14ac:dyDescent="0.2">
      <c r="A5" s="7" t="s">
        <v>65</v>
      </c>
      <c r="B5" s="7" t="s">
        <v>55</v>
      </c>
      <c r="C5" s="7" t="s">
        <v>66</v>
      </c>
      <c r="D5" s="7">
        <v>28</v>
      </c>
      <c r="E5" s="7">
        <v>82</v>
      </c>
      <c r="F5" s="7">
        <f>ROUND(51/E5,3)</f>
        <v>0.622</v>
      </c>
      <c r="G5" s="7">
        <f>ROUND(89/E5,3)</f>
        <v>1.085</v>
      </c>
      <c r="H5" s="7">
        <f>ROUND(405/E5,3)</f>
        <v>4.9390000000000001</v>
      </c>
      <c r="I5" s="7">
        <f>ROUND(55/E5,3)</f>
        <v>0.67100000000000004</v>
      </c>
      <c r="J5" s="7">
        <f>ROUND(69/E5,3)</f>
        <v>0.84099999999999997</v>
      </c>
      <c r="K5" s="7">
        <f>8*F5+6*G5+1*H5+1*J5+0.5*I5</f>
        <v>17.601500000000001</v>
      </c>
      <c r="L5" s="7">
        <f>ROUND(1870.7666666667/E5,3)</f>
        <v>22.814</v>
      </c>
      <c r="M5" s="7">
        <f>ROUND(42/E5,3)</f>
        <v>0.51200000000000001</v>
      </c>
      <c r="N5" s="7" t="s">
        <v>779</v>
      </c>
      <c r="O5" s="7" t="s">
        <v>780</v>
      </c>
      <c r="P5" s="7">
        <f>ROUND(692/E5,3)</f>
        <v>8.4390000000000001</v>
      </c>
      <c r="Q5" s="7">
        <f>ROUND(526/E5,3)</f>
        <v>6.415</v>
      </c>
      <c r="R5" s="7">
        <f>ROUND(338/E5,3)</f>
        <v>4.1219999999999999</v>
      </c>
      <c r="S5" s="7">
        <f>ROUND(103/E5,3)</f>
        <v>1.256</v>
      </c>
      <c r="T5" s="7">
        <f>ROUND(34.82/E5,3)</f>
        <v>0.42499999999999999</v>
      </c>
      <c r="U5" s="7">
        <f>ROUND(82/E5,3)</f>
        <v>1</v>
      </c>
      <c r="V5" s="7">
        <f>ROUND(42/E5,3)</f>
        <v>0.51200000000000001</v>
      </c>
      <c r="W5" s="7">
        <f>ROUND(37.26/E5,3)</f>
        <v>0.45400000000000001</v>
      </c>
      <c r="X5" s="7">
        <v>0.65</v>
      </c>
      <c r="Y5" s="7">
        <v>0.63</v>
      </c>
      <c r="Z5" s="7">
        <v>0.63</v>
      </c>
      <c r="AA5" s="7">
        <f>ROUND(154.73/E5,3)</f>
        <v>1.887</v>
      </c>
      <c r="AB5" s="7">
        <f>ROUND(31/E5,3)</f>
        <v>0.378</v>
      </c>
      <c r="AC5" s="7">
        <v>8477492</v>
      </c>
    </row>
    <row r="6" spans="1:29" ht="15" customHeight="1" x14ac:dyDescent="0.2">
      <c r="A6" s="7" t="s">
        <v>70</v>
      </c>
      <c r="B6" s="7" t="s">
        <v>55</v>
      </c>
      <c r="D6" s="7">
        <v>17</v>
      </c>
      <c r="K6" s="7"/>
      <c r="AC6" s="7">
        <v>8484801</v>
      </c>
    </row>
    <row r="7" spans="1:29" ht="15" customHeight="1" x14ac:dyDescent="0.2">
      <c r="A7" s="7" t="s">
        <v>71</v>
      </c>
      <c r="B7" s="7" t="s">
        <v>55</v>
      </c>
      <c r="C7" s="7" t="s">
        <v>72</v>
      </c>
      <c r="D7" s="7">
        <v>30</v>
      </c>
      <c r="E7" s="7">
        <v>74</v>
      </c>
      <c r="F7" s="7">
        <f>ROUND(25/E7,3)</f>
        <v>0.33800000000000002</v>
      </c>
      <c r="G7" s="7">
        <f>ROUND(47/E7,3)</f>
        <v>0.63500000000000001</v>
      </c>
      <c r="H7" s="7">
        <f>ROUND(154/E7,3)</f>
        <v>2.081</v>
      </c>
      <c r="I7" s="7">
        <f>ROUND(63/E7,3)</f>
        <v>0.85099999999999998</v>
      </c>
      <c r="J7" s="7">
        <f>ROUND(40/E7,3)</f>
        <v>0.54100000000000004</v>
      </c>
      <c r="K7" s="7">
        <f t="shared" ref="K7:K38" si="0">8*F7+6*G7+1*H7+1*J7+0.5*I7</f>
        <v>9.5615000000000006</v>
      </c>
      <c r="L7" s="7">
        <f>ROUND(1493.7333333333/E7,3)</f>
        <v>20.186</v>
      </c>
      <c r="M7" s="7">
        <f>ROUND(57/E7,3)</f>
        <v>0.77</v>
      </c>
      <c r="N7" s="7" t="s">
        <v>115</v>
      </c>
      <c r="O7" s="7" t="s">
        <v>609</v>
      </c>
      <c r="P7" s="7">
        <f>ROUND(270/E7,3)</f>
        <v>3.649</v>
      </c>
      <c r="Q7" s="7">
        <f>ROUND(219/E7,3)</f>
        <v>2.9590000000000001</v>
      </c>
      <c r="R7" s="7">
        <f>ROUND(192/E7,3)</f>
        <v>2.5950000000000002</v>
      </c>
      <c r="S7" s="7">
        <f>ROUND(94/E7,3)</f>
        <v>1.27</v>
      </c>
      <c r="T7" s="7">
        <f>ROUND(22.94/E7,3)</f>
        <v>0.31</v>
      </c>
      <c r="U7" s="7">
        <f>ROUND(33/E7,3)</f>
        <v>0.44600000000000001</v>
      </c>
      <c r="V7" s="7">
        <f>ROUND(45/E7,3)</f>
        <v>0.60799999999999998</v>
      </c>
      <c r="W7" s="7">
        <f>ROUND(22.56/E7,3)</f>
        <v>0.30499999999999999</v>
      </c>
      <c r="X7" s="7">
        <v>0.56000000000000005</v>
      </c>
      <c r="Y7" s="7">
        <v>0.54</v>
      </c>
      <c r="Z7" s="7">
        <v>0.54</v>
      </c>
      <c r="AA7" s="7">
        <f>ROUND(62.43/E7,3)</f>
        <v>0.84399999999999997</v>
      </c>
      <c r="AB7" s="7">
        <f>ROUND(21/E7,3)</f>
        <v>0.28399999999999997</v>
      </c>
      <c r="AC7" s="7">
        <v>8476460</v>
      </c>
    </row>
    <row r="8" spans="1:29" ht="15" customHeight="1" x14ac:dyDescent="0.2">
      <c r="A8" s="7" t="s">
        <v>75</v>
      </c>
      <c r="B8" s="7" t="s">
        <v>55</v>
      </c>
      <c r="C8" s="7" t="s">
        <v>76</v>
      </c>
      <c r="D8" s="7">
        <v>24</v>
      </c>
      <c r="E8" s="7">
        <v>82</v>
      </c>
      <c r="F8" s="7">
        <f>ROUND(33/E8,3)</f>
        <v>0.40200000000000002</v>
      </c>
      <c r="G8" s="7">
        <f>ROUND(44/E8,3)</f>
        <v>0.53700000000000003</v>
      </c>
      <c r="H8" s="7">
        <f>ROUND(185/E8,3)</f>
        <v>2.2559999999999998</v>
      </c>
      <c r="I8" s="7">
        <f>ROUND(69/E8,3)</f>
        <v>0.84099999999999997</v>
      </c>
      <c r="J8" s="7">
        <f>ROUND(48/E8,3)</f>
        <v>0.58499999999999996</v>
      </c>
      <c r="K8" s="7">
        <f t="shared" si="0"/>
        <v>9.6995000000000005</v>
      </c>
      <c r="L8" s="7">
        <f>ROUND(1743.65/E8,3)</f>
        <v>21.263999999999999</v>
      </c>
      <c r="M8" s="7">
        <f>ROUND(36/E8,3)</f>
        <v>0.439</v>
      </c>
      <c r="N8" s="7" t="s">
        <v>781</v>
      </c>
      <c r="O8" s="7" t="s">
        <v>782</v>
      </c>
      <c r="P8" s="7">
        <f>ROUND(324/E8,3)</f>
        <v>3.9510000000000001</v>
      </c>
      <c r="Q8" s="7">
        <f>ROUND(266/E8,3)</f>
        <v>3.2440000000000002</v>
      </c>
      <c r="R8" s="7">
        <f>ROUND(199/E8,3)</f>
        <v>2.427</v>
      </c>
      <c r="S8" s="7">
        <f>ROUND(84/E8,3)</f>
        <v>1.024</v>
      </c>
      <c r="T8" s="7">
        <f>ROUND(22.41/E8,3)</f>
        <v>0.27300000000000002</v>
      </c>
      <c r="U8" s="7">
        <f>ROUND(63/E8,3)</f>
        <v>0.76800000000000002</v>
      </c>
      <c r="V8" s="7">
        <f>ROUND(41/E8,3)</f>
        <v>0.5</v>
      </c>
      <c r="W8" s="7">
        <f>ROUND(21.76/E8,3)</f>
        <v>0.26500000000000001</v>
      </c>
      <c r="X8" s="7">
        <v>0.55000000000000004</v>
      </c>
      <c r="Y8" s="7">
        <v>0.54</v>
      </c>
      <c r="Z8" s="7">
        <v>0.55000000000000004</v>
      </c>
      <c r="AA8" s="7">
        <f>ROUND(69.75/E8,3)</f>
        <v>0.85099999999999998</v>
      </c>
      <c r="AB8" s="7">
        <f>ROUND(25/E8,3)</f>
        <v>0.30499999999999999</v>
      </c>
      <c r="AC8" s="7">
        <v>8480018</v>
      </c>
    </row>
    <row r="9" spans="1:29" ht="15" customHeight="1" x14ac:dyDescent="0.2">
      <c r="A9" s="7" t="s">
        <v>79</v>
      </c>
      <c r="B9" s="7" t="s">
        <v>55</v>
      </c>
      <c r="C9" s="7" t="s">
        <v>80</v>
      </c>
      <c r="D9" s="7">
        <v>24</v>
      </c>
      <c r="E9" s="7">
        <v>77</v>
      </c>
      <c r="F9" s="7">
        <f>ROUND(24/E9,3)</f>
        <v>0.312</v>
      </c>
      <c r="G9" s="7">
        <f>ROUND(29/E9,3)</f>
        <v>0.377</v>
      </c>
      <c r="H9" s="7">
        <f>ROUND(231/E9,3)</f>
        <v>3</v>
      </c>
      <c r="I9" s="7">
        <f>ROUND(77/E9,3)</f>
        <v>1</v>
      </c>
      <c r="J9" s="7">
        <f>ROUND(31/E9,3)</f>
        <v>0.40300000000000002</v>
      </c>
      <c r="K9" s="7">
        <f t="shared" si="0"/>
        <v>8.6609999999999996</v>
      </c>
      <c r="L9" s="7">
        <f>ROUND(1336.4333333333/E9,3)</f>
        <v>17.356000000000002</v>
      </c>
      <c r="M9" s="7">
        <f>ROUND(42/E9,3)</f>
        <v>0.54500000000000004</v>
      </c>
      <c r="N9" s="7" t="s">
        <v>783</v>
      </c>
      <c r="O9" s="7" t="s">
        <v>784</v>
      </c>
      <c r="P9" s="7">
        <f>ROUND(438/E9,3)</f>
        <v>5.6879999999999997</v>
      </c>
      <c r="Q9" s="7">
        <f>ROUND(323/E9,3)</f>
        <v>4.1950000000000003</v>
      </c>
      <c r="R9" s="7">
        <f>ROUND(185/E9,3)</f>
        <v>2.403</v>
      </c>
      <c r="S9" s="7">
        <f>ROUND(66/E9,3)</f>
        <v>0.85699999999999998</v>
      </c>
      <c r="T9" s="7">
        <f>ROUND(19.78/E9,3)</f>
        <v>0.25700000000000001</v>
      </c>
      <c r="U9" s="7">
        <f>ROUND(52/E9,3)</f>
        <v>0.67500000000000004</v>
      </c>
      <c r="V9" s="7">
        <f>ROUND(23/E9,3)</f>
        <v>0.29899999999999999</v>
      </c>
      <c r="W9" s="7">
        <f>ROUND(22.42/E9,3)</f>
        <v>0.29099999999999998</v>
      </c>
      <c r="X9" s="7">
        <v>0.56999999999999995</v>
      </c>
      <c r="Y9" s="7">
        <v>0.62</v>
      </c>
      <c r="Z9" s="7">
        <v>0.61</v>
      </c>
      <c r="AA9" s="7">
        <f>ROUND(72.98/E9,3)</f>
        <v>0.94799999999999995</v>
      </c>
      <c r="AB9" s="7">
        <f>ROUND(24/E9,3)</f>
        <v>0.312</v>
      </c>
      <c r="AC9" s="7">
        <v>8480039</v>
      </c>
    </row>
    <row r="10" spans="1:29" ht="15" customHeight="1" x14ac:dyDescent="0.2">
      <c r="A10" s="7" t="s">
        <v>83</v>
      </c>
      <c r="B10" s="7" t="s">
        <v>60</v>
      </c>
      <c r="C10" s="7" t="s">
        <v>84</v>
      </c>
      <c r="D10" s="7">
        <v>27</v>
      </c>
      <c r="E10" s="7">
        <v>82</v>
      </c>
      <c r="F10" s="7">
        <f>ROUND(47/E10,3)</f>
        <v>0.57299999999999995</v>
      </c>
      <c r="G10" s="7">
        <f>ROUND(63/E10,3)</f>
        <v>0.76800000000000002</v>
      </c>
      <c r="H10" s="7">
        <f>ROUND(382/E10,3)</f>
        <v>4.6589999999999998</v>
      </c>
      <c r="I10" s="7">
        <f>ROUND(70/E10,3)</f>
        <v>0.85399999999999998</v>
      </c>
      <c r="J10" s="7">
        <f>ROUND(19/E10,3)</f>
        <v>0.23200000000000001</v>
      </c>
      <c r="K10" s="7">
        <f t="shared" si="0"/>
        <v>14.509999999999998</v>
      </c>
      <c r="L10" s="7">
        <f>ROUND(1634.2333333333/E10,3)</f>
        <v>19.93</v>
      </c>
      <c r="M10" s="7">
        <f>ROUND(47/E10,3)</f>
        <v>0.57299999999999995</v>
      </c>
      <c r="N10" s="7" t="s">
        <v>785</v>
      </c>
      <c r="O10" s="7" t="s">
        <v>786</v>
      </c>
      <c r="P10" s="7">
        <f>ROUND(718/E10,3)</f>
        <v>8.7560000000000002</v>
      </c>
      <c r="Q10" s="7">
        <f>ROUND(530/E10,3)</f>
        <v>6.4630000000000001</v>
      </c>
      <c r="R10" s="7">
        <f>ROUND(336/E10,3)</f>
        <v>4.0979999999999999</v>
      </c>
      <c r="S10" s="7">
        <f>ROUND(104/E10,3)</f>
        <v>1.268</v>
      </c>
      <c r="T10" s="7">
        <f>ROUND(37.37/E10,3)</f>
        <v>0.45600000000000002</v>
      </c>
      <c r="U10" s="7">
        <f>ROUND(98/E10,3)</f>
        <v>1.1950000000000001</v>
      </c>
      <c r="V10" s="7">
        <f>ROUND(54/E10,3)</f>
        <v>0.65900000000000003</v>
      </c>
      <c r="W10" s="7">
        <f>ROUND(37.46/E10,3)</f>
        <v>0.45700000000000002</v>
      </c>
      <c r="X10" s="7">
        <v>0.63</v>
      </c>
      <c r="Y10" s="7">
        <v>0.59</v>
      </c>
      <c r="Z10" s="7">
        <v>0.59</v>
      </c>
      <c r="AA10" s="7">
        <f>ROUND(113.07/E10,3)</f>
        <v>1.379</v>
      </c>
      <c r="AB10" s="7">
        <f>ROUND(36/E10,3)</f>
        <v>0.439</v>
      </c>
      <c r="AC10" s="7">
        <v>8477956</v>
      </c>
    </row>
    <row r="11" spans="1:29" ht="15" customHeight="1" x14ac:dyDescent="0.2">
      <c r="A11" s="7" t="s">
        <v>88</v>
      </c>
      <c r="B11" s="7" t="s">
        <v>55</v>
      </c>
      <c r="C11" s="7" t="s">
        <v>56</v>
      </c>
      <c r="D11" s="7">
        <v>27</v>
      </c>
      <c r="E11" s="7">
        <v>81</v>
      </c>
      <c r="F11" s="7">
        <f>ROUND(41/E11,3)</f>
        <v>0.50600000000000001</v>
      </c>
      <c r="G11" s="7">
        <f>ROUND(65/E11,3)</f>
        <v>0.80200000000000005</v>
      </c>
      <c r="H11" s="7">
        <f>ROUND(217/E11,3)</f>
        <v>2.6789999999999998</v>
      </c>
      <c r="I11" s="7">
        <f>ROUND(58/E11,3)</f>
        <v>0.71599999999999997</v>
      </c>
      <c r="J11" s="7">
        <f>ROUND(26/E11,3)</f>
        <v>0.32100000000000001</v>
      </c>
      <c r="K11" s="7">
        <f t="shared" si="0"/>
        <v>12.218</v>
      </c>
      <c r="L11" s="7">
        <f>ROUND(1676.3333333333/E11,3)</f>
        <v>20.695</v>
      </c>
      <c r="M11" s="7">
        <f>ROUND(76/E11,3)</f>
        <v>0.93799999999999994</v>
      </c>
      <c r="N11" s="7" t="s">
        <v>787</v>
      </c>
      <c r="O11" s="7" t="s">
        <v>788</v>
      </c>
      <c r="P11" s="7">
        <f>ROUND(426/E11,3)</f>
        <v>5.2590000000000003</v>
      </c>
      <c r="Q11" s="7">
        <f>ROUND(327/E11,3)</f>
        <v>4.0369999999999999</v>
      </c>
      <c r="R11" s="7">
        <f>ROUND(239/E11,3)</f>
        <v>2.9510000000000001</v>
      </c>
      <c r="S11" s="7">
        <f>ROUND(83/E11,3)</f>
        <v>1.0249999999999999</v>
      </c>
      <c r="T11" s="7">
        <f>ROUND(28.36/E11,3)</f>
        <v>0.35</v>
      </c>
      <c r="U11" s="7">
        <f>ROUND(92/E11,3)</f>
        <v>1.1359999999999999</v>
      </c>
      <c r="V11" s="7">
        <f>ROUND(82/E11,3)</f>
        <v>1.012</v>
      </c>
      <c r="W11" s="7">
        <f>ROUND(30.8/E11,3)</f>
        <v>0.38</v>
      </c>
      <c r="X11" s="7">
        <v>0.64</v>
      </c>
      <c r="Y11" s="7">
        <v>0.61</v>
      </c>
      <c r="Z11" s="7">
        <v>0.61</v>
      </c>
      <c r="AA11" s="7">
        <f>ROUND(108.94/E11,3)</f>
        <v>1.345</v>
      </c>
      <c r="AB11" s="7">
        <f>ROUND(31/E11,3)</f>
        <v>0.38300000000000001</v>
      </c>
      <c r="AC11" s="7">
        <v>8477934</v>
      </c>
    </row>
    <row r="12" spans="1:29" ht="15" customHeight="1" x14ac:dyDescent="0.2">
      <c r="A12" s="7" t="s">
        <v>91</v>
      </c>
      <c r="B12" s="7" t="s">
        <v>92</v>
      </c>
      <c r="C12" s="7" t="s">
        <v>93</v>
      </c>
      <c r="D12" s="7">
        <v>24</v>
      </c>
      <c r="E12" s="7">
        <v>82</v>
      </c>
      <c r="F12" s="7">
        <f>ROUND(29/E12,3)</f>
        <v>0.35399999999999998</v>
      </c>
      <c r="G12" s="7">
        <f>ROUND(51/E12,3)</f>
        <v>0.622</v>
      </c>
      <c r="H12" s="7">
        <f>ROUND(231/E12,3)</f>
        <v>2.8170000000000002</v>
      </c>
      <c r="I12" s="7">
        <f>ROUND(77/E12,3)</f>
        <v>0.93899999999999995</v>
      </c>
      <c r="J12" s="7">
        <f>ROUND(31/E12,3)</f>
        <v>0.378</v>
      </c>
      <c r="K12" s="7">
        <f t="shared" si="0"/>
        <v>10.2285</v>
      </c>
      <c r="L12" s="7">
        <f>ROUND(1502.6333333333/E12,3)</f>
        <v>18.324999999999999</v>
      </c>
      <c r="M12" s="7">
        <f>ROUND(22/E12,3)</f>
        <v>0.26800000000000002</v>
      </c>
      <c r="N12" s="7" t="s">
        <v>789</v>
      </c>
      <c r="O12" s="7" t="s">
        <v>790</v>
      </c>
      <c r="P12" s="7">
        <f>ROUND(477/E12,3)</f>
        <v>5.8170000000000002</v>
      </c>
      <c r="Q12" s="7">
        <f>ROUND(334/E12,3)</f>
        <v>4.0730000000000004</v>
      </c>
      <c r="R12" s="7">
        <f>ROUND(227/E12,3)</f>
        <v>2.7679999999999998</v>
      </c>
      <c r="S12" s="7">
        <f>ROUND(82/E12,3)</f>
        <v>1</v>
      </c>
      <c r="T12" s="7">
        <f>ROUND(23.69/E12,3)</f>
        <v>0.28899999999999998</v>
      </c>
      <c r="U12" s="7">
        <f>ROUND(45/E12,3)</f>
        <v>0.54900000000000004</v>
      </c>
      <c r="V12" s="7">
        <f>ROUND(60/E12,3)</f>
        <v>0.73199999999999998</v>
      </c>
      <c r="W12" s="7">
        <f>ROUND(24.17/E12,3)</f>
        <v>0.29499999999999998</v>
      </c>
      <c r="X12" s="7">
        <v>0.67</v>
      </c>
      <c r="Y12" s="7">
        <v>0.62</v>
      </c>
      <c r="Z12" s="7">
        <v>0.62</v>
      </c>
      <c r="AA12" s="7">
        <f>ROUND(90.07/E12,3)</f>
        <v>1.0980000000000001</v>
      </c>
      <c r="AB12" s="7">
        <f>ROUND(27/E12,3)</f>
        <v>0.32900000000000001</v>
      </c>
      <c r="AC12" s="7">
        <v>8480027</v>
      </c>
    </row>
    <row r="13" spans="1:29" ht="15" customHeight="1" x14ac:dyDescent="0.2">
      <c r="A13" s="7" t="s">
        <v>97</v>
      </c>
      <c r="B13" s="7" t="s">
        <v>92</v>
      </c>
      <c r="C13" s="7" t="s">
        <v>72</v>
      </c>
      <c r="D13" s="7">
        <v>26</v>
      </c>
      <c r="E13" s="7">
        <v>65</v>
      </c>
      <c r="F13" s="7">
        <f>ROUND(34/E13,3)</f>
        <v>0.52300000000000002</v>
      </c>
      <c r="G13" s="7">
        <f>ROUND(27/E13,3)</f>
        <v>0.41499999999999998</v>
      </c>
      <c r="H13" s="7">
        <f>ROUND(221/E13,3)</f>
        <v>3.4</v>
      </c>
      <c r="I13" s="7">
        <f>ROUND(14/E13,3)</f>
        <v>0.215</v>
      </c>
      <c r="J13" s="7">
        <f>ROUND(19/E13,3)</f>
        <v>0.29199999999999998</v>
      </c>
      <c r="K13" s="7">
        <f t="shared" si="0"/>
        <v>10.4735</v>
      </c>
      <c r="L13" s="7">
        <f>ROUND(1282.1/E13,3)</f>
        <v>19.725000000000001</v>
      </c>
      <c r="M13" s="7">
        <f>ROUND(6/E13,3)</f>
        <v>9.1999999999999998E-2</v>
      </c>
      <c r="N13" s="7" t="s">
        <v>791</v>
      </c>
      <c r="O13" s="7" t="s">
        <v>733</v>
      </c>
      <c r="P13" s="7">
        <f>ROUND(398/E13,3)</f>
        <v>6.1230000000000002</v>
      </c>
      <c r="Q13" s="7">
        <f>ROUND(290/E13,3)</f>
        <v>4.4619999999999997</v>
      </c>
      <c r="R13" s="7">
        <f>ROUND(215/E13,3)</f>
        <v>3.3079999999999998</v>
      </c>
      <c r="S13" s="7">
        <f>ROUND(70/E13,3)</f>
        <v>1.077</v>
      </c>
      <c r="T13" s="7">
        <f>ROUND(22.83/E13,3)</f>
        <v>0.35099999999999998</v>
      </c>
      <c r="U13" s="7">
        <f>ROUND(31/E13,3)</f>
        <v>0.47699999999999998</v>
      </c>
      <c r="V13" s="7">
        <f>ROUND(39/E13,3)</f>
        <v>0.6</v>
      </c>
      <c r="W13" s="7">
        <f>ROUND(21.53/E13,3)</f>
        <v>0.33100000000000002</v>
      </c>
      <c r="X13" s="7">
        <v>0.53</v>
      </c>
      <c r="Y13" s="7">
        <v>0.54</v>
      </c>
      <c r="Z13" s="7">
        <v>0.54</v>
      </c>
      <c r="AA13" s="7">
        <f>ROUND(55.55/E13,3)</f>
        <v>0.85499999999999998</v>
      </c>
      <c r="AB13" s="7">
        <f>ROUND(15/E13,3)</f>
        <v>0.23100000000000001</v>
      </c>
      <c r="AC13" s="7">
        <v>8478398</v>
      </c>
    </row>
    <row r="14" spans="1:29" ht="15" customHeight="1" x14ac:dyDescent="0.2">
      <c r="A14" s="7" t="s">
        <v>101</v>
      </c>
      <c r="B14" s="7" t="s">
        <v>55</v>
      </c>
      <c r="C14" s="7" t="s">
        <v>102</v>
      </c>
      <c r="D14" s="7">
        <v>26</v>
      </c>
      <c r="E14" s="7">
        <v>63</v>
      </c>
      <c r="F14" s="7">
        <f>ROUND(31/E14,3)</f>
        <v>0.49199999999999999</v>
      </c>
      <c r="G14" s="7">
        <f>ROUND(37/E14,3)</f>
        <v>0.58699999999999997</v>
      </c>
      <c r="H14" s="7">
        <f>ROUND(278/E14,3)</f>
        <v>4.4130000000000003</v>
      </c>
      <c r="I14" s="7">
        <f>ROUND(26/E14,3)</f>
        <v>0.41299999999999998</v>
      </c>
      <c r="J14" s="7">
        <f>ROUND(61/E14,3)</f>
        <v>0.96799999999999997</v>
      </c>
      <c r="K14" s="7">
        <f t="shared" si="0"/>
        <v>13.045500000000001</v>
      </c>
      <c r="L14" s="7">
        <f>ROUND(1292.75/E14,3)</f>
        <v>20.52</v>
      </c>
      <c r="M14" s="7">
        <f>ROUND(27/E14,3)</f>
        <v>0.42899999999999999</v>
      </c>
      <c r="N14" s="7" t="s">
        <v>792</v>
      </c>
      <c r="O14" s="7" t="s">
        <v>793</v>
      </c>
      <c r="P14" s="7">
        <f>ROUND(431/E14,3)</f>
        <v>6.8410000000000002</v>
      </c>
      <c r="Q14" s="7">
        <f>ROUND(348/E14,3)</f>
        <v>5.524</v>
      </c>
      <c r="R14" s="7">
        <f>ROUND(200/E14,3)</f>
        <v>3.1749999999999998</v>
      </c>
      <c r="S14" s="7">
        <f>ROUND(77/E14,3)</f>
        <v>1.222</v>
      </c>
      <c r="T14" s="7">
        <f>ROUND(24.12/E14,3)</f>
        <v>0.38300000000000001</v>
      </c>
      <c r="U14" s="7">
        <f>ROUND(42/E14,3)</f>
        <v>0.66700000000000004</v>
      </c>
      <c r="V14" s="7">
        <f>ROUND(60/E14,3)</f>
        <v>0.95199999999999996</v>
      </c>
      <c r="W14" s="7">
        <f>ROUND(25.47/E14,3)</f>
        <v>0.40400000000000003</v>
      </c>
      <c r="X14" s="7">
        <v>0.56000000000000005</v>
      </c>
      <c r="Y14" s="7">
        <v>0.54</v>
      </c>
      <c r="Z14" s="7">
        <v>0.56000000000000005</v>
      </c>
      <c r="AA14" s="7">
        <f>ROUND(74.08/E14,3)</f>
        <v>1.1759999999999999</v>
      </c>
      <c r="AB14" s="7">
        <f>ROUND(34/E14,3)</f>
        <v>0.54</v>
      </c>
      <c r="AC14" s="7">
        <v>8478403</v>
      </c>
    </row>
    <row r="15" spans="1:29" ht="15" customHeight="1" x14ac:dyDescent="0.2">
      <c r="A15" s="7" t="s">
        <v>105</v>
      </c>
      <c r="B15" s="7" t="s">
        <v>92</v>
      </c>
      <c r="C15" s="7" t="s">
        <v>106</v>
      </c>
      <c r="D15" s="7">
        <v>26</v>
      </c>
      <c r="E15" s="7">
        <v>75</v>
      </c>
      <c r="F15" s="7">
        <f>ROUND(46/E15,3)</f>
        <v>0.61299999999999999</v>
      </c>
      <c r="G15" s="7">
        <f>ROUND(50/E15,3)</f>
        <v>0.66700000000000004</v>
      </c>
      <c r="H15" s="7">
        <f>ROUND(277/E15,3)</f>
        <v>3.6930000000000001</v>
      </c>
      <c r="I15" s="7">
        <f>ROUND(55/E15,3)</f>
        <v>0.73299999999999998</v>
      </c>
      <c r="J15" s="7">
        <f>ROUND(38/E15,3)</f>
        <v>0.50700000000000001</v>
      </c>
      <c r="K15" s="7">
        <f t="shared" si="0"/>
        <v>13.4725</v>
      </c>
      <c r="L15" s="7">
        <f>ROUND(1618.2666666667/E15,3)</f>
        <v>21.577000000000002</v>
      </c>
      <c r="M15" s="7">
        <f>ROUND(36/E15,3)</f>
        <v>0.48</v>
      </c>
      <c r="N15" s="7" t="s">
        <v>794</v>
      </c>
      <c r="O15" s="7" t="s">
        <v>795</v>
      </c>
      <c r="P15" s="7">
        <f>ROUND(582/E15,3)</f>
        <v>7.76</v>
      </c>
      <c r="Q15" s="7">
        <f>ROUND(414/E15,3)</f>
        <v>5.52</v>
      </c>
      <c r="R15" s="7">
        <f>ROUND(317/E15,3)</f>
        <v>4.2270000000000003</v>
      </c>
      <c r="S15" s="7">
        <f>ROUND(137/E15,3)</f>
        <v>1.827</v>
      </c>
      <c r="T15" s="7">
        <f>ROUND(36.27/E15,3)</f>
        <v>0.48399999999999999</v>
      </c>
      <c r="U15" s="7">
        <f>ROUND(73/E15,3)</f>
        <v>0.97299999999999998</v>
      </c>
      <c r="V15" s="7">
        <f>ROUND(38/E15,3)</f>
        <v>0.50700000000000001</v>
      </c>
      <c r="W15" s="7">
        <f>ROUND(38.57/E15,3)</f>
        <v>0.51400000000000001</v>
      </c>
      <c r="X15" s="7">
        <v>0.68</v>
      </c>
      <c r="Y15" s="7">
        <v>0.63</v>
      </c>
      <c r="Z15" s="7">
        <v>0.63</v>
      </c>
      <c r="AA15" s="7">
        <f>ROUND(99.17/E15,3)</f>
        <v>1.3220000000000001</v>
      </c>
      <c r="AB15" s="7">
        <f>ROUND(38/E15,3)</f>
        <v>0.50700000000000001</v>
      </c>
      <c r="AC15" s="7">
        <v>8478864</v>
      </c>
    </row>
    <row r="16" spans="1:29" ht="15" customHeight="1" x14ac:dyDescent="0.2">
      <c r="A16" s="7" t="s">
        <v>109</v>
      </c>
      <c r="B16" s="7" t="s">
        <v>60</v>
      </c>
      <c r="C16" s="7" t="s">
        <v>76</v>
      </c>
      <c r="D16" s="7">
        <v>22</v>
      </c>
      <c r="E16" s="7">
        <v>82</v>
      </c>
      <c r="F16" s="7">
        <f>ROUND(28/E16,3)</f>
        <v>0.34100000000000003</v>
      </c>
      <c r="G16" s="7">
        <f>ROUND(37/E16,3)</f>
        <v>0.45100000000000001</v>
      </c>
      <c r="H16" s="7">
        <f>ROUND(314/E16,3)</f>
        <v>3.8290000000000002</v>
      </c>
      <c r="I16" s="7">
        <f>ROUND(56/E16,3)</f>
        <v>0.68300000000000005</v>
      </c>
      <c r="J16" s="7">
        <f>ROUND(22/E16,3)</f>
        <v>0.26800000000000002</v>
      </c>
      <c r="K16" s="7">
        <f t="shared" si="0"/>
        <v>9.8725000000000005</v>
      </c>
      <c r="L16" s="7">
        <f>ROUND(1592.4833333333/E16,3)</f>
        <v>19.420999999999999</v>
      </c>
      <c r="M16" s="7">
        <f>ROUND(16/E16,3)</f>
        <v>0.19500000000000001</v>
      </c>
      <c r="N16" s="7" t="s">
        <v>796</v>
      </c>
      <c r="O16" s="7" t="s">
        <v>797</v>
      </c>
      <c r="P16" s="7">
        <f>ROUND(564/E16,3)</f>
        <v>6.8780000000000001</v>
      </c>
      <c r="Q16" s="7">
        <f>ROUND(436/E16,3)</f>
        <v>5.3170000000000002</v>
      </c>
      <c r="R16" s="7">
        <f>ROUND(269/E16,3)</f>
        <v>3.28</v>
      </c>
      <c r="S16" s="7">
        <f>ROUND(87/E16,3)</f>
        <v>1.0609999999999999</v>
      </c>
      <c r="T16" s="7">
        <f>ROUND(32.66/E16,3)</f>
        <v>0.39800000000000002</v>
      </c>
      <c r="U16" s="7">
        <f>ROUND(41/E16,3)</f>
        <v>0.5</v>
      </c>
      <c r="V16" s="7">
        <f>ROUND(33/E16,3)</f>
        <v>0.40200000000000002</v>
      </c>
      <c r="W16" s="7">
        <f>ROUND(30.64/E16,3)</f>
        <v>0.374</v>
      </c>
      <c r="X16" s="7">
        <v>0.56999999999999995</v>
      </c>
      <c r="Y16" s="7">
        <v>0.55000000000000004</v>
      </c>
      <c r="Z16" s="7">
        <v>0.56000000000000005</v>
      </c>
      <c r="AA16" s="7">
        <f>ROUND(69.18/E16,3)</f>
        <v>0.84399999999999997</v>
      </c>
      <c r="AB16" s="7">
        <f>ROUND(30/E16,3)</f>
        <v>0.36599999999999999</v>
      </c>
      <c r="AC16" s="7">
        <v>8481540</v>
      </c>
    </row>
    <row r="17" spans="1:29" ht="15" customHeight="1" x14ac:dyDescent="0.2">
      <c r="A17" s="7" t="s">
        <v>113</v>
      </c>
      <c r="B17" s="7" t="s">
        <v>55</v>
      </c>
      <c r="C17" s="7" t="s">
        <v>799</v>
      </c>
      <c r="D17" s="7">
        <v>28</v>
      </c>
      <c r="E17" s="7">
        <v>67</v>
      </c>
      <c r="F17" s="7">
        <f>ROUND(30/E17,3)</f>
        <v>0.44800000000000001</v>
      </c>
      <c r="G17" s="7">
        <f>ROUND(47/E17,3)</f>
        <v>0.70099999999999996</v>
      </c>
      <c r="H17" s="7">
        <f>ROUND(238/E17,3)</f>
        <v>3.552</v>
      </c>
      <c r="I17" s="7">
        <f>ROUND(48/E17,3)</f>
        <v>0.71599999999999997</v>
      </c>
      <c r="J17" s="7">
        <f>ROUND(28/E17,3)</f>
        <v>0.41799999999999998</v>
      </c>
      <c r="K17" s="7">
        <f t="shared" si="0"/>
        <v>12.117999999999999</v>
      </c>
      <c r="L17" s="7">
        <f>ROUND(1341.3833333333/E17,3)</f>
        <v>20.021000000000001</v>
      </c>
      <c r="M17" s="7">
        <f>ROUND(22/E17,3)</f>
        <v>0.32800000000000001</v>
      </c>
      <c r="N17" s="7" t="s">
        <v>800</v>
      </c>
      <c r="O17" s="7" t="s">
        <v>801</v>
      </c>
      <c r="P17" s="7">
        <f>ROUND(440/E17,3)</f>
        <v>6.5670000000000002</v>
      </c>
      <c r="Q17" s="7">
        <f>ROUND(339/E17,3)</f>
        <v>5.0599999999999996</v>
      </c>
      <c r="R17" s="7">
        <f>ROUND(321/E17,3)</f>
        <v>4.7910000000000004</v>
      </c>
      <c r="S17" s="7">
        <f>ROUND(161/E17,3)</f>
        <v>2.403</v>
      </c>
      <c r="T17" s="7">
        <f>ROUND(37.91/E17,3)</f>
        <v>0.56599999999999995</v>
      </c>
      <c r="U17" s="7">
        <f>ROUND(26/E17,3)</f>
        <v>0.38800000000000001</v>
      </c>
      <c r="V17" s="7">
        <f>ROUND(33/E17,3)</f>
        <v>0.49299999999999999</v>
      </c>
      <c r="W17" s="7">
        <f>ROUND(38.64/E17,3)</f>
        <v>0.57699999999999996</v>
      </c>
      <c r="X17" s="7">
        <v>0.66</v>
      </c>
      <c r="Y17" s="7">
        <v>0.63</v>
      </c>
      <c r="Z17" s="7">
        <v>0.61</v>
      </c>
      <c r="AA17" s="7">
        <f>ROUND(92.59/E17,3)</f>
        <v>1.3819999999999999</v>
      </c>
      <c r="AB17" s="7">
        <f>ROUND(52/E17,3)</f>
        <v>0.77600000000000002</v>
      </c>
      <c r="AC17" s="7">
        <v>8477404</v>
      </c>
    </row>
    <row r="18" spans="1:29" ht="15" customHeight="1" x14ac:dyDescent="0.2">
      <c r="A18" s="7" t="s">
        <v>117</v>
      </c>
      <c r="B18" s="7" t="s">
        <v>60</v>
      </c>
      <c r="C18" s="7" t="s">
        <v>118</v>
      </c>
      <c r="D18" s="7">
        <v>25</v>
      </c>
      <c r="E18" s="7">
        <v>78</v>
      </c>
      <c r="F18" s="7">
        <f>ROUND(33/E18,3)</f>
        <v>0.42299999999999999</v>
      </c>
      <c r="G18" s="7">
        <f>ROUND(43/E18,3)</f>
        <v>0.55100000000000005</v>
      </c>
      <c r="H18" s="7">
        <f>ROUND(228/E18,3)</f>
        <v>2.923</v>
      </c>
      <c r="I18" s="7">
        <f>ROUND(20/E18,3)</f>
        <v>0.25600000000000001</v>
      </c>
      <c r="J18" s="7">
        <f>ROUND(30/E18,3)</f>
        <v>0.38500000000000001</v>
      </c>
      <c r="K18" s="7">
        <f t="shared" si="0"/>
        <v>10.125999999999999</v>
      </c>
      <c r="L18" s="7">
        <f>ROUND(1501.1666666667/E18,3)</f>
        <v>19.245999999999999</v>
      </c>
      <c r="M18" s="7">
        <f>ROUND(32/E18,3)</f>
        <v>0.41</v>
      </c>
      <c r="N18" s="7" t="s">
        <v>802</v>
      </c>
      <c r="O18" s="7" t="s">
        <v>803</v>
      </c>
      <c r="P18" s="7">
        <f>ROUND(430/E18,3)</f>
        <v>5.5129999999999999</v>
      </c>
      <c r="Q18" s="7">
        <f>ROUND(331/E18,3)</f>
        <v>4.2439999999999998</v>
      </c>
      <c r="R18" s="7">
        <f>ROUND(205/E18,3)</f>
        <v>2.6280000000000001</v>
      </c>
      <c r="S18" s="7">
        <f>ROUND(59/E18,3)</f>
        <v>0.75600000000000001</v>
      </c>
      <c r="T18" s="7">
        <f>ROUND(23.03/E18,3)</f>
        <v>0.29499999999999998</v>
      </c>
      <c r="U18" s="7">
        <f>ROUND(47/E18,3)</f>
        <v>0.60299999999999998</v>
      </c>
      <c r="V18" s="7">
        <f>ROUND(43/E18,3)</f>
        <v>0.55100000000000005</v>
      </c>
      <c r="W18" s="7">
        <f>ROUND(24.88/E18,3)</f>
        <v>0.31900000000000001</v>
      </c>
      <c r="X18" s="7">
        <v>0.56000000000000005</v>
      </c>
      <c r="Y18" s="7">
        <v>0.56999999999999995</v>
      </c>
      <c r="Z18" s="7">
        <v>0.56999999999999995</v>
      </c>
      <c r="AA18" s="7">
        <f>ROUND(73.75/E18,3)</f>
        <v>0.94599999999999995</v>
      </c>
      <c r="AB18" s="7">
        <f>ROUND(25/E18,3)</f>
        <v>0.32100000000000001</v>
      </c>
      <c r="AC18" s="7">
        <v>8479343</v>
      </c>
    </row>
    <row r="19" spans="1:29" ht="15" customHeight="1" x14ac:dyDescent="0.2">
      <c r="A19" s="7" t="s">
        <v>121</v>
      </c>
      <c r="B19" s="7" t="s">
        <v>55</v>
      </c>
      <c r="C19" s="7" t="s">
        <v>93</v>
      </c>
      <c r="D19" s="7">
        <v>20</v>
      </c>
      <c r="E19" s="7">
        <v>82</v>
      </c>
      <c r="F19" s="7">
        <f>ROUND(32/E19,3)</f>
        <v>0.39</v>
      </c>
      <c r="G19" s="7">
        <f>ROUND(33/E19,3)</f>
        <v>0.40200000000000002</v>
      </c>
      <c r="H19" s="7">
        <f>ROUND(216/E19,3)</f>
        <v>2.6339999999999999</v>
      </c>
      <c r="I19" s="7">
        <f>ROUND(52/E19,3)</f>
        <v>0.63400000000000001</v>
      </c>
      <c r="J19" s="7">
        <f>ROUND(42/E19,3)</f>
        <v>0.51200000000000001</v>
      </c>
      <c r="K19" s="7">
        <f t="shared" si="0"/>
        <v>8.995000000000001</v>
      </c>
      <c r="L19" s="7">
        <f>ROUND(1394.2/E19,3)</f>
        <v>17.001999999999999</v>
      </c>
      <c r="M19" s="7">
        <f>ROUND(38/E19,3)</f>
        <v>0.46300000000000002</v>
      </c>
      <c r="N19" s="7" t="s">
        <v>804</v>
      </c>
      <c r="O19" s="7" t="s">
        <v>805</v>
      </c>
      <c r="P19" s="7">
        <f>ROUND(409/E19,3)</f>
        <v>4.9880000000000004</v>
      </c>
      <c r="Q19" s="7">
        <f>ROUND(308/E19,3)</f>
        <v>3.7559999999999998</v>
      </c>
      <c r="R19" s="7">
        <f>ROUND(267/E19,3)</f>
        <v>3.2559999999999998</v>
      </c>
      <c r="S19" s="7">
        <f>ROUND(126/E19,3)</f>
        <v>1.5369999999999999</v>
      </c>
      <c r="T19" s="7">
        <f>ROUND(29.49/E19,3)</f>
        <v>0.36</v>
      </c>
      <c r="U19" s="7">
        <f>ROUND(31/E19,3)</f>
        <v>0.378</v>
      </c>
      <c r="V19" s="7">
        <f>ROUND(39/E19,3)</f>
        <v>0.47599999999999998</v>
      </c>
      <c r="W19" s="7">
        <f>ROUND(28.21/E19,3)</f>
        <v>0.34399999999999997</v>
      </c>
      <c r="X19" s="7">
        <v>0.57999999999999996</v>
      </c>
      <c r="Y19" s="7">
        <v>0.54</v>
      </c>
      <c r="Z19" s="7">
        <v>0.54</v>
      </c>
      <c r="AA19" s="7">
        <f>ROUND(76.37/E19,3)</f>
        <v>0.93100000000000005</v>
      </c>
      <c r="AB19" s="7">
        <f>ROUND(36/E19,3)</f>
        <v>0.439</v>
      </c>
      <c r="AC19" s="7">
        <v>8482740</v>
      </c>
    </row>
    <row r="20" spans="1:29" ht="15" customHeight="1" x14ac:dyDescent="0.2">
      <c r="A20" s="7" t="s">
        <v>122</v>
      </c>
      <c r="B20" s="7" t="s">
        <v>92</v>
      </c>
      <c r="C20" s="7" t="s">
        <v>106</v>
      </c>
      <c r="D20" s="7">
        <v>22</v>
      </c>
      <c r="E20" s="7">
        <v>75</v>
      </c>
      <c r="F20" s="7">
        <f>ROUND(29/E20,3)</f>
        <v>0.38700000000000001</v>
      </c>
      <c r="G20" s="7">
        <f>ROUND(40/E20,3)</f>
        <v>0.53300000000000003</v>
      </c>
      <c r="H20" s="7">
        <f>ROUND(227/E20,3)</f>
        <v>3.0270000000000001</v>
      </c>
      <c r="I20" s="7">
        <f>ROUND(33/E20,3)</f>
        <v>0.44</v>
      </c>
      <c r="J20" s="7">
        <f>ROUND(32/E20,3)</f>
        <v>0.42699999999999999</v>
      </c>
      <c r="K20" s="7">
        <f t="shared" si="0"/>
        <v>9.9680000000000017</v>
      </c>
      <c r="L20" s="7">
        <f>ROUND(1418.3333333333/E20,3)</f>
        <v>18.911000000000001</v>
      </c>
      <c r="M20" s="7">
        <f>ROUND(48/E20,3)</f>
        <v>0.64</v>
      </c>
      <c r="N20" s="7" t="s">
        <v>806</v>
      </c>
      <c r="O20" s="7" t="s">
        <v>807</v>
      </c>
      <c r="P20" s="7">
        <f>ROUND(507/E20,3)</f>
        <v>6.76</v>
      </c>
      <c r="Q20" s="7">
        <f>ROUND(350/E20,3)</f>
        <v>4.6669999999999998</v>
      </c>
      <c r="R20" s="7">
        <f>ROUND(296/E20,3)</f>
        <v>3.9470000000000001</v>
      </c>
      <c r="S20" s="7">
        <f>ROUND(96/E20,3)</f>
        <v>1.28</v>
      </c>
      <c r="T20" s="7">
        <f>ROUND(26.22/E20,3)</f>
        <v>0.35</v>
      </c>
      <c r="U20" s="7">
        <f>ROUND(49/E20,3)</f>
        <v>0.65300000000000002</v>
      </c>
      <c r="V20" s="7">
        <f>ROUND(61/E20,3)</f>
        <v>0.81299999999999994</v>
      </c>
      <c r="W20" s="7">
        <f>ROUND(27.79/E20,3)</f>
        <v>0.371</v>
      </c>
      <c r="X20" s="7">
        <v>0.7</v>
      </c>
      <c r="Y20" s="7">
        <v>0.64</v>
      </c>
      <c r="Z20" s="7">
        <v>0.65</v>
      </c>
      <c r="AA20" s="7">
        <f>ROUND(76.23/E20,3)</f>
        <v>1.016</v>
      </c>
      <c r="AB20" s="7">
        <f>ROUND(27/E20,3)</f>
        <v>0.36</v>
      </c>
      <c r="AC20" s="7">
        <v>8481557</v>
      </c>
    </row>
    <row r="21" spans="1:29" ht="15" customHeight="1" x14ac:dyDescent="0.2">
      <c r="A21" s="7" t="s">
        <v>126</v>
      </c>
      <c r="B21" s="7" t="s">
        <v>60</v>
      </c>
      <c r="C21" s="7" t="s">
        <v>160</v>
      </c>
      <c r="D21" s="7">
        <v>25</v>
      </c>
      <c r="E21" s="7">
        <v>82</v>
      </c>
      <c r="F21" s="7">
        <f>ROUND(27/E21,3)</f>
        <v>0.32900000000000001</v>
      </c>
      <c r="G21" s="7">
        <f>ROUND(40/E21,3)</f>
        <v>0.48799999999999999</v>
      </c>
      <c r="H21" s="7">
        <f>ROUND(237/E21,3)</f>
        <v>2.89</v>
      </c>
      <c r="I21" s="7">
        <f>ROUND(66/E21,3)</f>
        <v>0.80500000000000005</v>
      </c>
      <c r="J21" s="7">
        <f>ROUND(35/E21,3)</f>
        <v>0.42699999999999999</v>
      </c>
      <c r="K21" s="7">
        <f t="shared" si="0"/>
        <v>9.2795000000000005</v>
      </c>
      <c r="L21" s="7">
        <f>ROUND(1467.15/E21,3)</f>
        <v>17.891999999999999</v>
      </c>
      <c r="M21" s="7">
        <f>ROUND(34/E21,3)</f>
        <v>0.41499999999999998</v>
      </c>
      <c r="N21" s="7" t="s">
        <v>808</v>
      </c>
      <c r="O21" s="7" t="s">
        <v>200</v>
      </c>
      <c r="P21" s="7">
        <f>ROUND(482/E21,3)</f>
        <v>5.8780000000000001</v>
      </c>
      <c r="Q21" s="7">
        <f>ROUND(350/E21,3)</f>
        <v>4.2679999999999998</v>
      </c>
      <c r="R21" s="7">
        <f>ROUND(244/E21,3)</f>
        <v>2.976</v>
      </c>
      <c r="S21" s="7">
        <f>ROUND(71/E21,3)</f>
        <v>0.86599999999999999</v>
      </c>
      <c r="T21" s="7">
        <f>ROUND(25.72/E21,3)</f>
        <v>0.314</v>
      </c>
      <c r="U21" s="7">
        <f>ROUND(39/E21,3)</f>
        <v>0.47599999999999998</v>
      </c>
      <c r="V21" s="7">
        <f>ROUND(49/E21,3)</f>
        <v>0.59799999999999998</v>
      </c>
      <c r="W21" s="7">
        <f>ROUND(27.01/E21,3)</f>
        <v>0.32900000000000001</v>
      </c>
      <c r="X21" s="7">
        <v>0.56999999999999995</v>
      </c>
      <c r="Y21" s="7">
        <v>0.56000000000000005</v>
      </c>
      <c r="Z21" s="7">
        <v>0.56000000000000005</v>
      </c>
      <c r="AA21" s="7">
        <f>ROUND(65.76/E21,3)</f>
        <v>0.80200000000000005</v>
      </c>
      <c r="AB21" s="7">
        <f>ROUND(26/E21,3)</f>
        <v>0.317</v>
      </c>
      <c r="AC21" s="7">
        <v>8479337</v>
      </c>
    </row>
    <row r="22" spans="1:29" ht="15" customHeight="1" x14ac:dyDescent="0.2">
      <c r="A22" s="7" t="s">
        <v>130</v>
      </c>
      <c r="B22" s="7" t="s">
        <v>92</v>
      </c>
      <c r="C22" s="7" t="s">
        <v>131</v>
      </c>
      <c r="D22" s="7">
        <v>31</v>
      </c>
      <c r="E22" s="7">
        <v>82</v>
      </c>
      <c r="F22" s="7">
        <f>ROUND(49/E22,3)</f>
        <v>0.59799999999999998</v>
      </c>
      <c r="G22" s="7">
        <f>ROUND(71/E22,3)</f>
        <v>0.86599999999999999</v>
      </c>
      <c r="H22" s="7">
        <f>ROUND(303/E22,3)</f>
        <v>3.6949999999999998</v>
      </c>
      <c r="I22" s="7">
        <f>ROUND(18/E22,3)</f>
        <v>0.22</v>
      </c>
      <c r="J22" s="7">
        <f>ROUND(15/E22,3)</f>
        <v>0.183</v>
      </c>
      <c r="K22" s="7">
        <f t="shared" si="0"/>
        <v>13.968</v>
      </c>
      <c r="L22" s="7">
        <f>ROUND(1649.75/E22,3)</f>
        <v>20.119</v>
      </c>
      <c r="M22" s="7">
        <f>ROUND(24/E22,3)</f>
        <v>0.29299999999999998</v>
      </c>
      <c r="N22" s="7" t="s">
        <v>107</v>
      </c>
      <c r="O22" s="7" t="s">
        <v>809</v>
      </c>
      <c r="P22" s="7">
        <f>ROUND(651/E22,3)</f>
        <v>7.9390000000000001</v>
      </c>
      <c r="Q22" s="7">
        <f>ROUND(431/E22,3)</f>
        <v>5.2560000000000002</v>
      </c>
      <c r="R22" s="7">
        <f>ROUND(285/E22,3)</f>
        <v>3.476</v>
      </c>
      <c r="S22" s="7">
        <f>ROUND(66/E22,3)</f>
        <v>0.80500000000000005</v>
      </c>
      <c r="T22" s="7">
        <f>ROUND(28.49/E22,3)</f>
        <v>0.34699999999999998</v>
      </c>
      <c r="U22" s="7">
        <f>ROUND(72/E22,3)</f>
        <v>0.878</v>
      </c>
      <c r="V22" s="7">
        <f>ROUND(34/E22,3)</f>
        <v>0.41499999999999998</v>
      </c>
      <c r="W22" s="7">
        <f>ROUND(30.61/E22,3)</f>
        <v>0.373</v>
      </c>
      <c r="X22" s="7">
        <v>0.65</v>
      </c>
      <c r="Y22" s="7">
        <v>0.64</v>
      </c>
      <c r="Z22" s="7">
        <v>0.64</v>
      </c>
      <c r="AA22" s="7">
        <f>ROUND(125.85/E22,3)</f>
        <v>1.5349999999999999</v>
      </c>
      <c r="AB22" s="7">
        <f>ROUND(32/E22,3)</f>
        <v>0.39</v>
      </c>
      <c r="AC22" s="7">
        <v>8478550</v>
      </c>
    </row>
    <row r="23" spans="1:29" ht="15" customHeight="1" x14ac:dyDescent="0.2">
      <c r="A23" s="7" t="s">
        <v>134</v>
      </c>
      <c r="B23" s="7" t="s">
        <v>55</v>
      </c>
      <c r="C23" s="7" t="s">
        <v>135</v>
      </c>
      <c r="D23" s="7">
        <v>21</v>
      </c>
      <c r="E23" s="7">
        <v>75</v>
      </c>
      <c r="F23" s="7">
        <f>ROUND(18/E23,3)</f>
        <v>0.24</v>
      </c>
      <c r="G23" s="7">
        <f>ROUND(52/E23,3)</f>
        <v>0.69299999999999995</v>
      </c>
      <c r="H23" s="7">
        <f>ROUND(192/E23,3)</f>
        <v>2.56</v>
      </c>
      <c r="I23" s="7">
        <f>ROUND(100/E23,3)</f>
        <v>1.333</v>
      </c>
      <c r="J23" s="7">
        <f>ROUND(41/E23,3)</f>
        <v>0.54700000000000004</v>
      </c>
      <c r="K23" s="7">
        <f t="shared" si="0"/>
        <v>9.8514999999999997</v>
      </c>
      <c r="L23" s="7">
        <f>ROUND(1583.8833333333/E23,3)</f>
        <v>21.117999999999999</v>
      </c>
      <c r="M23" s="7">
        <f>ROUND(28/E23,3)</f>
        <v>0.373</v>
      </c>
      <c r="N23" s="7" t="s">
        <v>811</v>
      </c>
      <c r="O23" s="7" t="s">
        <v>812</v>
      </c>
      <c r="P23" s="7">
        <f>ROUND(367/E23,3)</f>
        <v>4.8929999999999998</v>
      </c>
      <c r="Q23" s="7">
        <f>ROUND(269/E23,3)</f>
        <v>3.5870000000000002</v>
      </c>
      <c r="R23" s="7">
        <f>ROUND(217/E23,3)</f>
        <v>2.8929999999999998</v>
      </c>
      <c r="S23" s="7">
        <f>ROUND(87/E23,3)</f>
        <v>1.1599999999999999</v>
      </c>
      <c r="T23" s="7">
        <f>ROUND(23.27/E23,3)</f>
        <v>0.31</v>
      </c>
      <c r="U23" s="7">
        <f>ROUND(68/E23,3)</f>
        <v>0.90700000000000003</v>
      </c>
      <c r="V23" s="7">
        <f>ROUND(48/E23,3)</f>
        <v>0.64</v>
      </c>
      <c r="W23" s="7">
        <f>ROUND(23.52/E23,3)</f>
        <v>0.314</v>
      </c>
      <c r="X23" s="7">
        <v>0.56999999999999995</v>
      </c>
      <c r="Y23" s="7">
        <v>0.57999999999999996</v>
      </c>
      <c r="Z23" s="7">
        <v>0.57999999999999996</v>
      </c>
      <c r="AA23" s="7">
        <f>ROUND(69.51/E23,3)</f>
        <v>0.92700000000000005</v>
      </c>
      <c r="AB23" s="7">
        <f>ROUND(27/E23,3)</f>
        <v>0.36</v>
      </c>
      <c r="AC23" s="7">
        <v>8482116</v>
      </c>
    </row>
    <row r="24" spans="1:29" ht="15" customHeight="1" x14ac:dyDescent="0.2">
      <c r="A24" s="7" t="s">
        <v>137</v>
      </c>
      <c r="B24" s="7" t="s">
        <v>55</v>
      </c>
      <c r="C24" s="7" t="s">
        <v>138</v>
      </c>
      <c r="D24" s="7">
        <v>25</v>
      </c>
      <c r="E24" s="7">
        <v>71</v>
      </c>
      <c r="F24" s="7">
        <f>ROUND(29/E24,3)</f>
        <v>0.40799999999999997</v>
      </c>
      <c r="G24" s="7">
        <f>ROUND(27/E24,3)</f>
        <v>0.38</v>
      </c>
      <c r="H24" s="7">
        <f>ROUND(246/E24,3)</f>
        <v>3.4649999999999999</v>
      </c>
      <c r="I24" s="7">
        <f>ROUND(79/E24,3)</f>
        <v>1.113</v>
      </c>
      <c r="J24" s="7">
        <f>ROUND(29/E24,3)</f>
        <v>0.40799999999999997</v>
      </c>
      <c r="K24" s="7">
        <f t="shared" si="0"/>
        <v>9.9734999999999996</v>
      </c>
      <c r="L24" s="7">
        <f>ROUND(1286.3833333333/E24,3)</f>
        <v>18.117999999999999</v>
      </c>
      <c r="M24" s="7">
        <f>ROUND(43/E24,3)</f>
        <v>0.60599999999999998</v>
      </c>
      <c r="N24" s="7" t="s">
        <v>813</v>
      </c>
      <c r="O24" s="7" t="s">
        <v>814</v>
      </c>
      <c r="P24" s="7">
        <f>ROUND(474/E24,3)</f>
        <v>6.6760000000000002</v>
      </c>
      <c r="Q24" s="7">
        <f>ROUND(341/E24,3)</f>
        <v>4.8029999999999999</v>
      </c>
      <c r="R24" s="7">
        <f>ROUND(202/E24,3)</f>
        <v>2.8450000000000002</v>
      </c>
      <c r="S24" s="7">
        <f>ROUND(59/E24,3)</f>
        <v>0.83099999999999996</v>
      </c>
      <c r="T24" s="7">
        <f>ROUND(22.37/E24,3)</f>
        <v>0.315</v>
      </c>
      <c r="U24" s="7">
        <f>ROUND(21/E24,3)</f>
        <v>0.29599999999999999</v>
      </c>
      <c r="V24" s="7">
        <f>ROUND(28/E24,3)</f>
        <v>0.39400000000000002</v>
      </c>
      <c r="W24" s="7">
        <f>ROUND(24.18/E24,3)</f>
        <v>0.34100000000000003</v>
      </c>
      <c r="X24" s="7">
        <v>0.52</v>
      </c>
      <c r="Y24" s="7">
        <v>0.56999999999999995</v>
      </c>
      <c r="Z24" s="7">
        <v>0.56999999999999995</v>
      </c>
      <c r="AA24" s="7">
        <f>ROUND(66.25/E24,3)</f>
        <v>0.93300000000000005</v>
      </c>
      <c r="AB24" s="7">
        <f>ROUND(20/E24,3)</f>
        <v>0.28199999999999997</v>
      </c>
      <c r="AC24" s="7">
        <v>8479420</v>
      </c>
    </row>
    <row r="25" spans="1:29" ht="15" customHeight="1" x14ac:dyDescent="0.2">
      <c r="A25" s="7" t="s">
        <v>141</v>
      </c>
      <c r="B25" s="7" t="s">
        <v>55</v>
      </c>
      <c r="C25" s="7" t="s">
        <v>80</v>
      </c>
      <c r="D25" s="7">
        <v>26</v>
      </c>
      <c r="E25" s="7">
        <v>78</v>
      </c>
      <c r="F25" s="7">
        <f>ROUND(36/E25,3)</f>
        <v>0.46200000000000002</v>
      </c>
      <c r="G25" s="7">
        <f>ROUND(53/E25,3)</f>
        <v>0.67900000000000005</v>
      </c>
      <c r="H25" s="7">
        <f>ROUND(216/E25,3)</f>
        <v>2.7690000000000001</v>
      </c>
      <c r="I25" s="7">
        <f>ROUND(48/E25,3)</f>
        <v>0.61499999999999999</v>
      </c>
      <c r="J25" s="7">
        <f>ROUND(18/E25,3)</f>
        <v>0.23100000000000001</v>
      </c>
      <c r="K25" s="7">
        <f t="shared" si="0"/>
        <v>11.077499999999999</v>
      </c>
      <c r="L25" s="7">
        <f>ROUND(1530.95/E25,3)</f>
        <v>19.628</v>
      </c>
      <c r="M25" s="7">
        <f>ROUND(36/E25,3)</f>
        <v>0.46200000000000002</v>
      </c>
      <c r="N25" s="7" t="s">
        <v>815</v>
      </c>
      <c r="O25" s="7" t="s">
        <v>256</v>
      </c>
      <c r="P25" s="7">
        <f>ROUND(400/E25,3)</f>
        <v>5.1280000000000001</v>
      </c>
      <c r="Q25" s="7">
        <f>ROUND(311/E25,3)</f>
        <v>3.9870000000000001</v>
      </c>
      <c r="R25" s="7">
        <f>ROUND(209/E25,3)</f>
        <v>2.6789999999999998</v>
      </c>
      <c r="S25" s="7">
        <f>ROUND(90/E25,3)</f>
        <v>1.1539999999999999</v>
      </c>
      <c r="T25" s="7">
        <f>ROUND(26.13/E25,3)</f>
        <v>0.33500000000000002</v>
      </c>
      <c r="U25" s="7">
        <f>ROUND(57/E25,3)</f>
        <v>0.73099999999999998</v>
      </c>
      <c r="V25" s="7">
        <f>ROUND(50/E25,3)</f>
        <v>0.64100000000000001</v>
      </c>
      <c r="W25" s="7">
        <f>ROUND(27.18/E25,3)</f>
        <v>0.34799999999999998</v>
      </c>
      <c r="X25" s="7">
        <v>0.59</v>
      </c>
      <c r="Y25" s="7">
        <v>0.62</v>
      </c>
      <c r="Z25" s="7">
        <v>0.6</v>
      </c>
      <c r="AA25" s="7">
        <f>ROUND(99.07/E25,3)</f>
        <v>1.27</v>
      </c>
      <c r="AB25" s="7">
        <f>ROUND(33/E25,3)</f>
        <v>0.42299999999999999</v>
      </c>
      <c r="AC25" s="7">
        <v>8478427</v>
      </c>
    </row>
    <row r="26" spans="1:29" ht="15" customHeight="1" x14ac:dyDescent="0.2">
      <c r="A26" s="7" t="s">
        <v>144</v>
      </c>
      <c r="B26" s="7" t="s">
        <v>60</v>
      </c>
      <c r="C26" s="7" t="s">
        <v>146</v>
      </c>
      <c r="D26" s="7">
        <v>26</v>
      </c>
      <c r="E26" s="7">
        <v>69</v>
      </c>
      <c r="F26" s="7">
        <f>ROUND(26/E26,3)</f>
        <v>0.377</v>
      </c>
      <c r="G26" s="7">
        <f>ROUND(59/E26,3)</f>
        <v>0.85499999999999998</v>
      </c>
      <c r="H26" s="7">
        <f>ROUND(158/E26,3)</f>
        <v>2.29</v>
      </c>
      <c r="I26" s="7">
        <f>ROUND(59/E26,3)</f>
        <v>0.85499999999999998</v>
      </c>
      <c r="J26" s="7">
        <f>ROUND(51/E26,3)</f>
        <v>0.73899999999999999</v>
      </c>
      <c r="K26" s="7">
        <f t="shared" si="0"/>
        <v>11.602500000000001</v>
      </c>
      <c r="L26" s="7">
        <f>ROUND(1468.0833333333/E26,3)</f>
        <v>21.277000000000001</v>
      </c>
      <c r="M26" s="7">
        <f>ROUND(18/E26,3)</f>
        <v>0.26100000000000001</v>
      </c>
      <c r="N26" s="7" t="s">
        <v>816</v>
      </c>
      <c r="O26" s="7" t="s">
        <v>548</v>
      </c>
      <c r="P26" s="7">
        <f>ROUND(365/E26,3)</f>
        <v>5.29</v>
      </c>
      <c r="Q26" s="7">
        <f>ROUND(246/E26,3)</f>
        <v>3.5649999999999999</v>
      </c>
      <c r="R26" s="7">
        <f>ROUND(195/E26,3)</f>
        <v>2.8260000000000001</v>
      </c>
      <c r="S26" s="7">
        <f>ROUND(71/E26,3)</f>
        <v>1.0289999999999999</v>
      </c>
      <c r="T26" s="7">
        <f>ROUND(19.82/E26,3)</f>
        <v>0.28699999999999998</v>
      </c>
      <c r="U26" s="7">
        <f>ROUND(60/E26,3)</f>
        <v>0.87</v>
      </c>
      <c r="V26" s="7">
        <f>ROUND(59/E26,3)</f>
        <v>0.85499999999999998</v>
      </c>
      <c r="W26" s="7">
        <f>ROUND(21.85/E26,3)</f>
        <v>0.317</v>
      </c>
      <c r="X26" s="7">
        <v>0.59</v>
      </c>
      <c r="Y26" s="7">
        <v>0.56999999999999995</v>
      </c>
      <c r="Z26" s="7">
        <v>0.56999999999999995</v>
      </c>
      <c r="AA26" s="7">
        <f>ROUND(83.27/E26,3)</f>
        <v>1.2070000000000001</v>
      </c>
      <c r="AB26" s="7">
        <f>ROUND(30/E26,3)</f>
        <v>0.435</v>
      </c>
      <c r="AC26" s="7">
        <v>8478483</v>
      </c>
    </row>
    <row r="27" spans="1:29" ht="15" customHeight="1" x14ac:dyDescent="0.2">
      <c r="A27" s="7" t="s">
        <v>145</v>
      </c>
      <c r="B27" s="7" t="s">
        <v>60</v>
      </c>
      <c r="C27" s="7" t="s">
        <v>146</v>
      </c>
      <c r="D27" s="7">
        <v>27</v>
      </c>
      <c r="E27" s="7">
        <v>82</v>
      </c>
      <c r="F27" s="7">
        <f>ROUND(40/E27,3)</f>
        <v>0.48799999999999999</v>
      </c>
      <c r="G27" s="7">
        <f>ROUND(58/E27,3)</f>
        <v>0.70699999999999996</v>
      </c>
      <c r="H27" s="7">
        <f>ROUND(316/E27,3)</f>
        <v>3.8540000000000001</v>
      </c>
      <c r="I27" s="7">
        <f>ROUND(32/E27,3)</f>
        <v>0.39</v>
      </c>
      <c r="J27" s="7">
        <f>ROUND(29/E27,3)</f>
        <v>0.35399999999999998</v>
      </c>
      <c r="K27" s="7">
        <f t="shared" si="0"/>
        <v>12.548999999999999</v>
      </c>
      <c r="L27" s="7">
        <f>ROUND(1632.9166666667/E27,3)</f>
        <v>19.914000000000001</v>
      </c>
      <c r="M27" s="7">
        <f>ROUND(24/E27,3)</f>
        <v>0.29299999999999998</v>
      </c>
      <c r="N27" s="7" t="s">
        <v>818</v>
      </c>
      <c r="O27" s="7" t="s">
        <v>819</v>
      </c>
      <c r="P27" s="7">
        <f>ROUND(580/E27,3)</f>
        <v>7.0730000000000004</v>
      </c>
      <c r="Q27" s="7">
        <f>ROUND(423/E27,3)</f>
        <v>5.1589999999999998</v>
      </c>
      <c r="R27" s="7">
        <f>ROUND(294/E27,3)</f>
        <v>3.585</v>
      </c>
      <c r="S27" s="7">
        <f>ROUND(101/E27,3)</f>
        <v>1.232</v>
      </c>
      <c r="T27" s="7">
        <f>ROUND(30.75/E27,3)</f>
        <v>0.375</v>
      </c>
      <c r="U27" s="7">
        <f>ROUND(45/E27,3)</f>
        <v>0.54900000000000004</v>
      </c>
      <c r="V27" s="7">
        <f>ROUND(68/E27,3)</f>
        <v>0.82899999999999996</v>
      </c>
      <c r="W27" s="7">
        <f>ROUND(30.99/E27,3)</f>
        <v>0.378</v>
      </c>
      <c r="X27" s="7">
        <v>0.59</v>
      </c>
      <c r="Y27" s="7">
        <v>0.56999999999999995</v>
      </c>
      <c r="Z27" s="7">
        <v>0.56999999999999995</v>
      </c>
      <c r="AA27" s="7">
        <f>ROUND(94.78/E27,3)</f>
        <v>1.1559999999999999</v>
      </c>
      <c r="AB27" s="7">
        <f>ROUND(34/E27,3)</f>
        <v>0.41499999999999998</v>
      </c>
      <c r="AC27" s="7">
        <v>8477939</v>
      </c>
    </row>
    <row r="28" spans="1:29" ht="15" customHeight="1" x14ac:dyDescent="0.2">
      <c r="A28" s="7" t="s">
        <v>149</v>
      </c>
      <c r="B28" s="7" t="s">
        <v>55</v>
      </c>
      <c r="C28" s="7" t="s">
        <v>131</v>
      </c>
      <c r="D28" s="7">
        <v>30</v>
      </c>
      <c r="E28" s="7">
        <v>81</v>
      </c>
      <c r="F28" s="7">
        <f>ROUND(26/E28,3)</f>
        <v>0.32100000000000001</v>
      </c>
      <c r="G28" s="7">
        <f>ROUND(46/E28,3)</f>
        <v>0.56799999999999995</v>
      </c>
      <c r="H28" s="7">
        <f>ROUND(221/E28,3)</f>
        <v>2.7280000000000002</v>
      </c>
      <c r="I28" s="7">
        <f>ROUND(49/E28,3)</f>
        <v>0.60499999999999998</v>
      </c>
      <c r="J28" s="7">
        <f>ROUND(55/E28,3)</f>
        <v>0.67900000000000005</v>
      </c>
      <c r="K28" s="7">
        <f t="shared" si="0"/>
        <v>9.6854999999999993</v>
      </c>
      <c r="L28" s="7">
        <f>ROUND(1599.25/E28,3)</f>
        <v>19.744</v>
      </c>
      <c r="M28" s="7">
        <f>ROUND(30/E28,3)</f>
        <v>0.37</v>
      </c>
      <c r="N28" s="7" t="s">
        <v>614</v>
      </c>
      <c r="O28" s="7" t="s">
        <v>820</v>
      </c>
      <c r="P28" s="7">
        <f>ROUND(414/E28,3)</f>
        <v>5.1109999999999998</v>
      </c>
      <c r="Q28" s="7">
        <f>ROUND(340/E28,3)</f>
        <v>4.1980000000000004</v>
      </c>
      <c r="R28" s="7">
        <f>ROUND(181/E28,3)</f>
        <v>2.2349999999999999</v>
      </c>
      <c r="S28" s="7">
        <f>ROUND(68/E28,3)</f>
        <v>0.84</v>
      </c>
      <c r="T28" s="7">
        <f>ROUND(24.26/E28,3)</f>
        <v>0.3</v>
      </c>
      <c r="U28" s="7">
        <f>ROUND(46/E28,3)</f>
        <v>0.56799999999999995</v>
      </c>
      <c r="V28" s="7">
        <f>ROUND(48/E28,3)</f>
        <v>0.59299999999999997</v>
      </c>
      <c r="W28" s="7">
        <f>ROUND(25.94/E28,3)</f>
        <v>0.32</v>
      </c>
      <c r="X28" s="7">
        <v>0.59</v>
      </c>
      <c r="Y28" s="7">
        <v>0.56999999999999995</v>
      </c>
      <c r="Z28" s="7">
        <v>0.56999999999999995</v>
      </c>
      <c r="AA28" s="7">
        <f>ROUND(73.21/E28,3)</f>
        <v>0.90400000000000003</v>
      </c>
      <c r="AB28" s="7">
        <f>ROUND(28/E28,3)</f>
        <v>0.34599999999999997</v>
      </c>
      <c r="AC28" s="7">
        <v>8476459</v>
      </c>
    </row>
    <row r="29" spans="1:29" ht="15" customHeight="1" x14ac:dyDescent="0.2">
      <c r="A29" s="7" t="s">
        <v>152</v>
      </c>
      <c r="B29" s="7" t="s">
        <v>55</v>
      </c>
      <c r="C29" s="7" t="s">
        <v>153</v>
      </c>
      <c r="D29" s="7">
        <v>22</v>
      </c>
      <c r="E29" s="7">
        <v>62</v>
      </c>
      <c r="F29" s="7">
        <f>ROUND(27/E29,3)</f>
        <v>0.435</v>
      </c>
      <c r="G29" s="7">
        <f>ROUND(47/E29,3)</f>
        <v>0.75800000000000001</v>
      </c>
      <c r="H29" s="7">
        <f>ROUND(274/E29,3)</f>
        <v>4.4189999999999996</v>
      </c>
      <c r="I29" s="7">
        <f>ROUND(10/E29,3)</f>
        <v>0.161</v>
      </c>
      <c r="J29" s="7">
        <f>ROUND(24/E29,3)</f>
        <v>0.38700000000000001</v>
      </c>
      <c r="K29" s="7">
        <f t="shared" si="0"/>
        <v>12.9145</v>
      </c>
      <c r="L29" s="7">
        <f>ROUND(1300.3833333333/E29,3)</f>
        <v>20.974</v>
      </c>
      <c r="M29" s="7">
        <f>ROUND(12/E29,3)</f>
        <v>0.19400000000000001</v>
      </c>
      <c r="N29" s="7" t="s">
        <v>821</v>
      </c>
      <c r="O29" s="7" t="s">
        <v>822</v>
      </c>
      <c r="P29" s="7">
        <f>ROUND(521/E29,3)</f>
        <v>8.4030000000000005</v>
      </c>
      <c r="Q29" s="7">
        <f>ROUND(361/E29,3)</f>
        <v>5.8230000000000004</v>
      </c>
      <c r="R29" s="7">
        <f>ROUND(252/E29,3)</f>
        <v>4.0650000000000004</v>
      </c>
      <c r="S29" s="7">
        <f>ROUND(70/E29,3)</f>
        <v>1.129</v>
      </c>
      <c r="T29" s="7">
        <f>ROUND(27.27/E29,3)</f>
        <v>0.44</v>
      </c>
      <c r="U29" s="7">
        <f>ROUND(71/E29,3)</f>
        <v>1.145</v>
      </c>
      <c r="V29" s="7">
        <f>ROUND(64/E29,3)</f>
        <v>1.032</v>
      </c>
      <c r="W29" s="7">
        <f>ROUND(25.69/E29,3)</f>
        <v>0.41399999999999998</v>
      </c>
      <c r="X29" s="7">
        <v>0.6</v>
      </c>
      <c r="Y29" s="7">
        <v>0.64</v>
      </c>
      <c r="Z29" s="7">
        <v>0.61</v>
      </c>
      <c r="AA29" s="7">
        <f>ROUND(85.54/E29,3)</f>
        <v>1.38</v>
      </c>
      <c r="AB29" s="7">
        <f>ROUND(24/E29,3)</f>
        <v>0.38700000000000001</v>
      </c>
      <c r="AC29" s="7">
        <v>8481559</v>
      </c>
    </row>
    <row r="30" spans="1:29" ht="15" customHeight="1" x14ac:dyDescent="0.2">
      <c r="A30" s="7" t="s">
        <v>156</v>
      </c>
      <c r="B30" s="7" t="s">
        <v>60</v>
      </c>
      <c r="C30" s="7" t="s">
        <v>66</v>
      </c>
      <c r="D30" s="7">
        <v>26</v>
      </c>
      <c r="E30" s="7">
        <v>80</v>
      </c>
      <c r="F30" s="7">
        <f>ROUND(42/E30,3)</f>
        <v>0.52500000000000002</v>
      </c>
      <c r="G30" s="7">
        <f>ROUND(62/E30,3)</f>
        <v>0.77500000000000002</v>
      </c>
      <c r="H30" s="7">
        <f>ROUND(271/E30,3)</f>
        <v>3.3879999999999999</v>
      </c>
      <c r="I30" s="7">
        <f>ROUND(53/E30,3)</f>
        <v>0.66300000000000003</v>
      </c>
      <c r="J30" s="7">
        <f>ROUND(49/E30,3)</f>
        <v>0.61299999999999999</v>
      </c>
      <c r="K30" s="7">
        <f t="shared" si="0"/>
        <v>13.182500000000001</v>
      </c>
      <c r="L30" s="7">
        <f>ROUND(1832.45/E30,3)</f>
        <v>22.905999999999999</v>
      </c>
      <c r="M30" s="7">
        <f>ROUND(50/E30,3)</f>
        <v>0.625</v>
      </c>
      <c r="N30" s="7" t="s">
        <v>823</v>
      </c>
      <c r="O30" s="7" t="s">
        <v>281</v>
      </c>
      <c r="P30" s="7">
        <f>ROUND(525/E30,3)</f>
        <v>6.5629999999999997</v>
      </c>
      <c r="Q30" s="7">
        <f>ROUND(399/E30,3)</f>
        <v>4.9880000000000004</v>
      </c>
      <c r="R30" s="7">
        <f>ROUND(309/E30,3)</f>
        <v>3.863</v>
      </c>
      <c r="S30" s="7">
        <f>ROUND(116/E30,3)</f>
        <v>1.45</v>
      </c>
      <c r="T30" s="7">
        <f>ROUND(31.52/E30,3)</f>
        <v>0.39400000000000002</v>
      </c>
      <c r="U30" s="7">
        <f>ROUND(43/E30,3)</f>
        <v>0.53800000000000003</v>
      </c>
      <c r="V30" s="7">
        <f>ROUND(43/E30,3)</f>
        <v>0.53800000000000003</v>
      </c>
      <c r="W30" s="7">
        <f>ROUND(33.51/E30,3)</f>
        <v>0.41899999999999998</v>
      </c>
      <c r="X30" s="7">
        <v>0.63</v>
      </c>
      <c r="Y30" s="7">
        <v>0.61</v>
      </c>
      <c r="Z30" s="7">
        <v>0.61</v>
      </c>
      <c r="AA30" s="7">
        <f>ROUND(110.37/E30,3)</f>
        <v>1.38</v>
      </c>
      <c r="AB30" s="7">
        <f>ROUND(28/E30,3)</f>
        <v>0.35</v>
      </c>
      <c r="AC30" s="7">
        <v>8478420</v>
      </c>
    </row>
    <row r="31" spans="1:29" ht="15" customHeight="1" x14ac:dyDescent="0.2">
      <c r="A31" s="7" t="s">
        <v>159</v>
      </c>
      <c r="B31" s="7" t="s">
        <v>92</v>
      </c>
      <c r="C31" s="7" t="s">
        <v>160</v>
      </c>
      <c r="D31" s="7">
        <v>21</v>
      </c>
      <c r="E31" s="7">
        <v>82</v>
      </c>
      <c r="F31" s="7">
        <f>ROUND(31/E31,3)</f>
        <v>0.378</v>
      </c>
      <c r="G31" s="7">
        <f>ROUND(41/E31,3)</f>
        <v>0.5</v>
      </c>
      <c r="H31" s="7">
        <f>ROUND(163/E31,3)</f>
        <v>1.988</v>
      </c>
      <c r="I31" s="7">
        <f>ROUND(69/E31,3)</f>
        <v>0.84099999999999997</v>
      </c>
      <c r="J31" s="7">
        <f>ROUND(27/E31,3)</f>
        <v>0.32900000000000001</v>
      </c>
      <c r="K31" s="7">
        <f t="shared" si="0"/>
        <v>8.7615000000000016</v>
      </c>
      <c r="L31" s="7">
        <f>ROUND(1455.7666666667/E31,3)</f>
        <v>17.753</v>
      </c>
      <c r="M31" s="7">
        <f>ROUND(30/E31,3)</f>
        <v>0.36599999999999999</v>
      </c>
      <c r="N31" s="7" t="s">
        <v>824</v>
      </c>
      <c r="O31" s="7" t="s">
        <v>825</v>
      </c>
      <c r="P31" s="7">
        <f>ROUND(311/E31,3)</f>
        <v>3.7930000000000001</v>
      </c>
      <c r="Q31" s="7">
        <f>ROUND(227/E31,3)</f>
        <v>2.7679999999999998</v>
      </c>
      <c r="R31" s="7">
        <f>ROUND(187/E31,3)</f>
        <v>2.2799999999999998</v>
      </c>
      <c r="S31" s="7">
        <f>ROUND(78/E31,3)</f>
        <v>0.95099999999999996</v>
      </c>
      <c r="T31" s="7">
        <f>ROUND(20.17/E31,3)</f>
        <v>0.246</v>
      </c>
      <c r="U31" s="7">
        <f>ROUND(25/E31,3)</f>
        <v>0.30499999999999999</v>
      </c>
      <c r="V31" s="7">
        <f>ROUND(48/E31,3)</f>
        <v>0.58499999999999996</v>
      </c>
      <c r="W31" s="7">
        <f>ROUND(21.04/E31,3)</f>
        <v>0.25700000000000001</v>
      </c>
      <c r="X31" s="7">
        <v>0.55000000000000004</v>
      </c>
      <c r="Y31" s="7">
        <v>0.55000000000000004</v>
      </c>
      <c r="Z31" s="7">
        <v>0.55000000000000004</v>
      </c>
      <c r="AA31" s="7">
        <f>ROUND(63.36/E31,3)</f>
        <v>0.77300000000000002</v>
      </c>
      <c r="AB31" s="7">
        <f>ROUND(19/E31,3)</f>
        <v>0.23200000000000001</v>
      </c>
      <c r="AC31" s="7">
        <v>8482078</v>
      </c>
    </row>
    <row r="32" spans="1:29" ht="15" customHeight="1" x14ac:dyDescent="0.2">
      <c r="A32" s="7" t="s">
        <v>163</v>
      </c>
      <c r="B32" s="7" t="s">
        <v>92</v>
      </c>
      <c r="C32" s="7" t="s">
        <v>164</v>
      </c>
      <c r="D32" s="7">
        <v>29</v>
      </c>
      <c r="E32" s="7">
        <v>82</v>
      </c>
      <c r="F32" s="7">
        <f>ROUND(48/E32,3)</f>
        <v>0.58499999999999996</v>
      </c>
      <c r="G32" s="7">
        <f>ROUND(46/E32,3)</f>
        <v>0.56100000000000005</v>
      </c>
      <c r="H32" s="7">
        <f>ROUND(347/E32,3)</f>
        <v>4.2320000000000002</v>
      </c>
      <c r="I32" s="7">
        <f>ROUND(142/E32,3)</f>
        <v>1.732</v>
      </c>
      <c r="J32" s="7">
        <f>ROUND(44/E32,3)</f>
        <v>0.53700000000000003</v>
      </c>
      <c r="K32" s="7">
        <f t="shared" si="0"/>
        <v>13.680999999999999</v>
      </c>
      <c r="L32" s="7">
        <f>ROUND(1550.25/E32,3)</f>
        <v>18.905000000000001</v>
      </c>
      <c r="M32" s="7">
        <f>ROUND(43/E32,3)</f>
        <v>0.52400000000000002</v>
      </c>
      <c r="N32" s="7" t="s">
        <v>826</v>
      </c>
      <c r="O32" s="7" t="s">
        <v>827</v>
      </c>
      <c r="P32" s="7">
        <f>ROUND(700/E32,3)</f>
        <v>8.5370000000000008</v>
      </c>
      <c r="Q32" s="7">
        <f>ROUND(499/E32,3)</f>
        <v>6.085</v>
      </c>
      <c r="R32" s="7">
        <f>ROUND(314/E32,3)</f>
        <v>3.8290000000000002</v>
      </c>
      <c r="S32" s="7">
        <f>ROUND(130/E32,3)</f>
        <v>1.585</v>
      </c>
      <c r="T32" s="7">
        <f>ROUND(36.94/E32,3)</f>
        <v>0.45</v>
      </c>
      <c r="U32" s="7">
        <f>ROUND(80/E32,3)</f>
        <v>0.97599999999999998</v>
      </c>
      <c r="V32" s="7">
        <f>ROUND(76/E32,3)</f>
        <v>0.92700000000000005</v>
      </c>
      <c r="W32" s="7">
        <f>ROUND(38.77/E32,3)</f>
        <v>0.47299999999999998</v>
      </c>
      <c r="X32" s="7">
        <v>0.62</v>
      </c>
      <c r="Y32" s="7">
        <v>0.62</v>
      </c>
      <c r="Z32" s="7">
        <v>0.61</v>
      </c>
      <c r="AA32" s="7">
        <f>ROUND(106.62/E32,3)</f>
        <v>1.3</v>
      </c>
      <c r="AB32" s="7">
        <f>ROUND(45/E32,3)</f>
        <v>0.54900000000000004</v>
      </c>
      <c r="AC32" s="7">
        <v>8476887</v>
      </c>
    </row>
    <row r="33" spans="1:29" ht="15" customHeight="1" x14ac:dyDescent="0.2">
      <c r="A33" s="7" t="s">
        <v>167</v>
      </c>
      <c r="B33" s="7" t="s">
        <v>55</v>
      </c>
      <c r="C33" s="7" t="s">
        <v>127</v>
      </c>
      <c r="D33" s="7">
        <v>18</v>
      </c>
      <c r="E33" s="7">
        <v>68</v>
      </c>
      <c r="F33" s="7">
        <f>ROUND(22/E33,3)</f>
        <v>0.32400000000000001</v>
      </c>
      <c r="G33" s="7">
        <f>ROUND(39/E33,3)</f>
        <v>0.57399999999999995</v>
      </c>
      <c r="H33" s="7">
        <f>ROUND(206/E33,3)</f>
        <v>3.0289999999999999</v>
      </c>
      <c r="I33" s="7">
        <f>ROUND(54/E33,3)</f>
        <v>0.79400000000000004</v>
      </c>
      <c r="J33" s="7">
        <f>ROUND(27/E33,3)</f>
        <v>0.39700000000000002</v>
      </c>
      <c r="K33" s="7">
        <f t="shared" si="0"/>
        <v>9.859</v>
      </c>
      <c r="L33" s="7">
        <f>ROUND(1345.25/E33,3)</f>
        <v>19.783000000000001</v>
      </c>
      <c r="M33" s="7">
        <f>ROUND(28/E33,3)</f>
        <v>0.41199999999999998</v>
      </c>
      <c r="N33" s="7" t="s">
        <v>828</v>
      </c>
      <c r="O33" s="7" t="s">
        <v>829</v>
      </c>
      <c r="P33" s="7">
        <f>ROUND(401/E33,3)</f>
        <v>5.8970000000000002</v>
      </c>
      <c r="Q33" s="7">
        <f>ROUND(299/E33,3)</f>
        <v>4.3970000000000002</v>
      </c>
      <c r="R33" s="7">
        <f>ROUND(226/E33,3)</f>
        <v>3.3239999999999998</v>
      </c>
      <c r="S33" s="7">
        <f>ROUND(69/E33,3)</f>
        <v>1.0149999999999999</v>
      </c>
      <c r="T33" s="7">
        <f>ROUND(24.02/E33,3)</f>
        <v>0.35299999999999998</v>
      </c>
      <c r="U33" s="7">
        <f>ROUND(57/E33,3)</f>
        <v>0.83799999999999997</v>
      </c>
      <c r="V33" s="7">
        <f>ROUND(47/E33,3)</f>
        <v>0.69099999999999995</v>
      </c>
      <c r="W33" s="7">
        <f>ROUND(21.33/E33,3)</f>
        <v>0.314</v>
      </c>
      <c r="X33" s="7">
        <v>0.52</v>
      </c>
      <c r="Y33" s="7">
        <v>0.51</v>
      </c>
      <c r="Z33" s="7">
        <v>0.51</v>
      </c>
      <c r="AA33" s="7">
        <f>ROUND(39.42/E33,3)</f>
        <v>0.57999999999999996</v>
      </c>
      <c r="AB33" s="7">
        <f>ROUND(21/E33,3)</f>
        <v>0.309</v>
      </c>
      <c r="AC33" s="7">
        <v>8484144</v>
      </c>
    </row>
    <row r="34" spans="1:29" ht="15" customHeight="1" x14ac:dyDescent="0.2">
      <c r="A34" s="7" t="s">
        <v>168</v>
      </c>
      <c r="B34" s="7" t="s">
        <v>92</v>
      </c>
      <c r="C34" s="7" t="s">
        <v>61</v>
      </c>
      <c r="D34" s="7">
        <v>25</v>
      </c>
      <c r="E34" s="7">
        <v>82</v>
      </c>
      <c r="F34" s="7">
        <f>ROUND(26/E34,3)</f>
        <v>0.317</v>
      </c>
      <c r="G34" s="7">
        <f>ROUND(49/E34,3)</f>
        <v>0.59799999999999998</v>
      </c>
      <c r="H34" s="7">
        <f>ROUND(184/E34,3)</f>
        <v>2.2440000000000002</v>
      </c>
      <c r="I34" s="7">
        <f>ROUND(55/E34,3)</f>
        <v>0.67100000000000004</v>
      </c>
      <c r="J34" s="7">
        <f>ROUND(45/E34,3)</f>
        <v>0.54900000000000004</v>
      </c>
      <c r="K34" s="7">
        <f t="shared" si="0"/>
        <v>9.2524999999999995</v>
      </c>
      <c r="L34" s="7">
        <f>ROUND(1578.9833333333/E34,3)</f>
        <v>19.256</v>
      </c>
      <c r="M34" s="7">
        <f>ROUND(79/E34,3)</f>
        <v>0.96299999999999997</v>
      </c>
      <c r="N34" s="7" t="s">
        <v>830</v>
      </c>
      <c r="O34" s="7" t="s">
        <v>831</v>
      </c>
      <c r="P34" s="7">
        <f>ROUND(344/E34,3)</f>
        <v>4.1950000000000003</v>
      </c>
      <c r="Q34" s="7">
        <f>ROUND(260/E34,3)</f>
        <v>3.1709999999999998</v>
      </c>
      <c r="R34" s="7">
        <f>ROUND(228/E34,3)</f>
        <v>2.78</v>
      </c>
      <c r="S34" s="7">
        <f>ROUND(98/E34,3)</f>
        <v>1.1950000000000001</v>
      </c>
      <c r="T34" s="7">
        <f>ROUND(27.29/E34,3)</f>
        <v>0.33300000000000002</v>
      </c>
      <c r="U34" s="7">
        <f>ROUND(39/E34,3)</f>
        <v>0.47599999999999998</v>
      </c>
      <c r="V34" s="7">
        <f>ROUND(54/E34,3)</f>
        <v>0.65900000000000003</v>
      </c>
      <c r="W34" s="7">
        <f>ROUND(30.8/E34,3)</f>
        <v>0.376</v>
      </c>
      <c r="X34" s="7">
        <v>0.53</v>
      </c>
      <c r="Y34" s="7">
        <v>0.52</v>
      </c>
      <c r="Z34" s="7">
        <v>0.52</v>
      </c>
      <c r="AA34" s="7">
        <f>ROUND(76.44/E34,3)</f>
        <v>0.93200000000000005</v>
      </c>
      <c r="AB34" s="7">
        <f>ROUND(43/E34,3)</f>
        <v>0.52400000000000002</v>
      </c>
      <c r="AC34" s="7">
        <v>8479542</v>
      </c>
    </row>
    <row r="35" spans="1:29" ht="15" customHeight="1" x14ac:dyDescent="0.2">
      <c r="A35" s="7" t="s">
        <v>173</v>
      </c>
      <c r="B35" s="7" t="s">
        <v>55</v>
      </c>
      <c r="C35" s="7" t="s">
        <v>118</v>
      </c>
      <c r="D35" s="7">
        <v>27</v>
      </c>
      <c r="E35" s="7">
        <v>79</v>
      </c>
      <c r="F35" s="7">
        <f>ROUND(22/E35,3)</f>
        <v>0.27800000000000002</v>
      </c>
      <c r="G35" s="7">
        <f>ROUND(39/E35,3)</f>
        <v>0.49399999999999999</v>
      </c>
      <c r="H35" s="7">
        <f>ROUND(158/E35,3)</f>
        <v>2</v>
      </c>
      <c r="I35" s="7">
        <f>ROUND(16/E35,3)</f>
        <v>0.20300000000000001</v>
      </c>
      <c r="J35" s="7">
        <f>ROUND(41/E35,3)</f>
        <v>0.51900000000000002</v>
      </c>
      <c r="K35" s="7">
        <f t="shared" si="0"/>
        <v>7.8085000000000004</v>
      </c>
      <c r="L35" s="7">
        <f>ROUND(1515.05/E35,3)</f>
        <v>19.178000000000001</v>
      </c>
      <c r="M35" s="7">
        <f>ROUND(10/E35,3)</f>
        <v>0.127</v>
      </c>
      <c r="N35" s="7" t="s">
        <v>832</v>
      </c>
      <c r="O35" s="7" t="s">
        <v>833</v>
      </c>
      <c r="P35" s="7">
        <f>ROUND(339/E35,3)</f>
        <v>4.2910000000000004</v>
      </c>
      <c r="Q35" s="7">
        <f>ROUND(246/E35,3)</f>
        <v>3.1139999999999999</v>
      </c>
      <c r="R35" s="7">
        <f>ROUND(188/E35,3)</f>
        <v>2.38</v>
      </c>
      <c r="S35" s="7">
        <f>ROUND(68/E35,3)</f>
        <v>0.86099999999999999</v>
      </c>
      <c r="T35" s="7">
        <f>ROUND(20.15/E35,3)</f>
        <v>0.255</v>
      </c>
      <c r="U35" s="7">
        <f>ROUND(53/E35,3)</f>
        <v>0.67100000000000004</v>
      </c>
      <c r="V35" s="7">
        <f>ROUND(66/E35,3)</f>
        <v>0.83499999999999996</v>
      </c>
      <c r="W35" s="7">
        <f>ROUND(21.77/E35,3)</f>
        <v>0.27600000000000002</v>
      </c>
      <c r="X35" s="7">
        <v>0.56999999999999995</v>
      </c>
      <c r="Y35" s="7">
        <v>0.56999999999999995</v>
      </c>
      <c r="Z35" s="7">
        <v>0.56999999999999995</v>
      </c>
      <c r="AA35" s="7">
        <f>ROUND(58.38/E35,3)</f>
        <v>0.73899999999999999</v>
      </c>
      <c r="AB35" s="7">
        <f>ROUND(26/E35,3)</f>
        <v>0.32900000000000001</v>
      </c>
      <c r="AC35" s="7">
        <v>8477951</v>
      </c>
    </row>
    <row r="36" spans="1:29" ht="15" customHeight="1" x14ac:dyDescent="0.2">
      <c r="A36" s="7" t="s">
        <v>176</v>
      </c>
      <c r="B36" s="7" t="s">
        <v>55</v>
      </c>
      <c r="C36" s="7" t="s">
        <v>114</v>
      </c>
      <c r="D36" s="7">
        <v>36</v>
      </c>
      <c r="E36" s="7">
        <v>82</v>
      </c>
      <c r="F36" s="7">
        <f>ROUND(42/E36,3)</f>
        <v>0.51200000000000001</v>
      </c>
      <c r="G36" s="7">
        <f>ROUND(52/E36,3)</f>
        <v>0.63400000000000001</v>
      </c>
      <c r="H36" s="7">
        <f>ROUND(278/E36,3)</f>
        <v>3.39</v>
      </c>
      <c r="I36" s="7">
        <f>ROUND(101/E36,3)</f>
        <v>1.232</v>
      </c>
      <c r="J36" s="7">
        <f>ROUND(37/E36,3)</f>
        <v>0.45100000000000001</v>
      </c>
      <c r="K36" s="7">
        <f t="shared" si="0"/>
        <v>12.357000000000001</v>
      </c>
      <c r="L36" s="7">
        <f>ROUND(1647.1166666667/E36,3)</f>
        <v>20.087</v>
      </c>
      <c r="M36" s="7">
        <f>ROUND(40/E36,3)</f>
        <v>0.48799999999999999</v>
      </c>
      <c r="N36" s="7" t="s">
        <v>834</v>
      </c>
      <c r="O36" s="7" t="s">
        <v>835</v>
      </c>
      <c r="P36" s="7">
        <f>ROUND(490/E36,3)</f>
        <v>5.976</v>
      </c>
      <c r="Q36" s="7">
        <f>ROUND(398/E36,3)</f>
        <v>4.8540000000000001</v>
      </c>
      <c r="R36" s="7">
        <f>ROUND(287/E36,3)</f>
        <v>3.5</v>
      </c>
      <c r="S36" s="7">
        <f>ROUND(131/E36,3)</f>
        <v>1.5980000000000001</v>
      </c>
      <c r="T36" s="7">
        <f>ROUND(38.58/E36,3)</f>
        <v>0.47</v>
      </c>
      <c r="U36" s="7">
        <f>ROUND(57/E36,3)</f>
        <v>0.69499999999999995</v>
      </c>
      <c r="V36" s="7">
        <f>ROUND(73/E36,3)</f>
        <v>0.89</v>
      </c>
      <c r="W36" s="7">
        <f>ROUND(40.47/E36,3)</f>
        <v>0.49399999999999999</v>
      </c>
      <c r="X36" s="7">
        <v>0.62</v>
      </c>
      <c r="Y36" s="7">
        <v>0.61</v>
      </c>
      <c r="Z36" s="7">
        <v>0.59</v>
      </c>
      <c r="AA36" s="7">
        <f>ROUND(107.43/E36,3)</f>
        <v>1.31</v>
      </c>
      <c r="AB36" s="7">
        <f>ROUND(58/E36,3)</f>
        <v>0.70699999999999996</v>
      </c>
      <c r="AC36" s="7">
        <v>8471675</v>
      </c>
    </row>
    <row r="37" spans="1:29" ht="15" customHeight="1" x14ac:dyDescent="0.2">
      <c r="A37" s="7" t="s">
        <v>179</v>
      </c>
      <c r="B37" s="7" t="s">
        <v>55</v>
      </c>
      <c r="C37" s="7" t="s">
        <v>164</v>
      </c>
      <c r="D37" s="7">
        <v>32</v>
      </c>
      <c r="E37" s="7">
        <v>82</v>
      </c>
      <c r="F37" s="7">
        <f>ROUND(26/E37,3)</f>
        <v>0.317</v>
      </c>
      <c r="G37" s="7">
        <f>ROUND(43/E37,3)</f>
        <v>0.52400000000000002</v>
      </c>
      <c r="H37" s="7">
        <f>ROUND(180/E37,3)</f>
        <v>2.1949999999999998</v>
      </c>
      <c r="I37" s="7">
        <f>ROUND(25/E37,3)</f>
        <v>0.30499999999999999</v>
      </c>
      <c r="J37" s="7">
        <f>ROUND(56/E37,3)</f>
        <v>0.68300000000000005</v>
      </c>
      <c r="K37" s="7">
        <f t="shared" si="0"/>
        <v>8.7104999999999997</v>
      </c>
      <c r="L37" s="7">
        <f>ROUND(1620.8/E37,3)</f>
        <v>19.765999999999998</v>
      </c>
      <c r="M37" s="7">
        <f>ROUND(18/E37,3)</f>
        <v>0.22</v>
      </c>
      <c r="N37" s="7" t="s">
        <v>837</v>
      </c>
      <c r="O37" s="7" t="s">
        <v>838</v>
      </c>
      <c r="P37" s="7">
        <f>ROUND(294/E37,3)</f>
        <v>3.585</v>
      </c>
      <c r="Q37" s="7">
        <f>ROUND(248/E37,3)</f>
        <v>3.024</v>
      </c>
      <c r="R37" s="7">
        <f>ROUND(229/E37,3)</f>
        <v>2.7930000000000001</v>
      </c>
      <c r="S37" s="7">
        <f>ROUND(133/E37,3)</f>
        <v>1.6220000000000001</v>
      </c>
      <c r="T37" s="7">
        <f>ROUND(27.9/E37,3)</f>
        <v>0.34</v>
      </c>
      <c r="U37" s="7">
        <f>ROUND(30/E37,3)</f>
        <v>0.36599999999999999</v>
      </c>
      <c r="V37" s="7">
        <f>ROUND(64/E37,3)</f>
        <v>0.78</v>
      </c>
      <c r="W37" s="7">
        <f>ROUND(29.13/E37,3)</f>
        <v>0.35499999999999998</v>
      </c>
      <c r="X37" s="7">
        <v>0.56999999999999995</v>
      </c>
      <c r="Y37" s="7">
        <v>0.56999999999999995</v>
      </c>
      <c r="Z37" s="7">
        <v>0.56999999999999995</v>
      </c>
      <c r="AA37" s="7">
        <f>ROUND(72.4/E37,3)</f>
        <v>0.88300000000000001</v>
      </c>
      <c r="AB37" s="7">
        <f>ROUND(36/E37,3)</f>
        <v>0.439</v>
      </c>
      <c r="AC37" s="7">
        <v>8475158</v>
      </c>
    </row>
    <row r="38" spans="1:29" ht="15" customHeight="1" x14ac:dyDescent="0.2">
      <c r="A38" s="7" t="s">
        <v>182</v>
      </c>
      <c r="B38" s="7" t="s">
        <v>60</v>
      </c>
      <c r="C38" s="7" t="s">
        <v>118</v>
      </c>
      <c r="D38" s="7">
        <v>20</v>
      </c>
      <c r="E38" s="7">
        <v>45</v>
      </c>
      <c r="F38" s="7">
        <f>ROUND(18/E38,3)</f>
        <v>0.4</v>
      </c>
      <c r="G38" s="7">
        <f>ROUND(17/E38,3)</f>
        <v>0.378</v>
      </c>
      <c r="H38" s="7">
        <f>ROUND(121/E38,3)</f>
        <v>2.6890000000000001</v>
      </c>
      <c r="I38" s="7">
        <f>ROUND(32/E38,3)</f>
        <v>0.71099999999999997</v>
      </c>
      <c r="J38" s="7">
        <f>ROUND(24/E38,3)</f>
        <v>0.53300000000000003</v>
      </c>
      <c r="K38" s="7">
        <f t="shared" si="0"/>
        <v>9.0454999999999988</v>
      </c>
      <c r="L38" s="7">
        <f>ROUND(732.55/E38,3)</f>
        <v>16.279</v>
      </c>
      <c r="M38" s="7">
        <f>ROUND(14/E38,3)</f>
        <v>0.311</v>
      </c>
      <c r="N38" s="7" t="s">
        <v>839</v>
      </c>
      <c r="O38" s="7" t="s">
        <v>840</v>
      </c>
      <c r="P38" s="7">
        <f>ROUND(227/E38,3)</f>
        <v>5.0439999999999996</v>
      </c>
      <c r="Q38" s="7">
        <f>ROUND(179/E38,3)</f>
        <v>3.9780000000000002</v>
      </c>
      <c r="R38" s="7">
        <f>ROUND(123/E38,3)</f>
        <v>2.7330000000000001</v>
      </c>
      <c r="S38" s="7">
        <f>ROUND(34/E38,3)</f>
        <v>0.75600000000000001</v>
      </c>
      <c r="T38" s="7">
        <f>ROUND(11.72/E38,3)</f>
        <v>0.26</v>
      </c>
      <c r="U38" s="7">
        <f>ROUND(16/E38,3)</f>
        <v>0.35599999999999998</v>
      </c>
      <c r="V38" s="7">
        <f>ROUND(23/E38,3)</f>
        <v>0.51100000000000001</v>
      </c>
      <c r="W38" s="7">
        <f>ROUND(13.96/E38,3)</f>
        <v>0.31</v>
      </c>
      <c r="X38" s="7">
        <v>0.56000000000000005</v>
      </c>
      <c r="Y38" s="7">
        <v>0.56000000000000005</v>
      </c>
      <c r="Z38" s="7">
        <v>0.56000000000000005</v>
      </c>
      <c r="AA38" s="7">
        <f>ROUND(34.75/E38,3)</f>
        <v>0.77200000000000002</v>
      </c>
      <c r="AB38" s="7">
        <f>ROUND(14/E38,3)</f>
        <v>0.311</v>
      </c>
      <c r="AC38" s="7">
        <v>8482699</v>
      </c>
    </row>
    <row r="39" spans="1:29" ht="15" customHeight="1" x14ac:dyDescent="0.2">
      <c r="A39" s="7" t="s">
        <v>183</v>
      </c>
      <c r="B39" s="7" t="s">
        <v>60</v>
      </c>
      <c r="C39" s="7" t="s">
        <v>184</v>
      </c>
      <c r="D39" s="7">
        <v>27</v>
      </c>
      <c r="E39" s="7">
        <v>77</v>
      </c>
      <c r="F39" s="7">
        <f>ROUND(28/E39,3)</f>
        <v>0.36399999999999999</v>
      </c>
      <c r="G39" s="7">
        <f>ROUND(47/E39,3)</f>
        <v>0.61</v>
      </c>
      <c r="H39" s="7">
        <f>ROUND(246/E39,3)</f>
        <v>3.1949999999999998</v>
      </c>
      <c r="I39" s="7">
        <f>ROUND(112/E39,3)</f>
        <v>1.4550000000000001</v>
      </c>
      <c r="J39" s="7">
        <f>ROUND(32/E39,3)</f>
        <v>0.41599999999999998</v>
      </c>
      <c r="K39" s="7">
        <f t="shared" ref="K39:K70" si="1">8*F39+6*G39+1*H39+1*J39+0.5*I39</f>
        <v>10.910499999999999</v>
      </c>
      <c r="L39" s="7">
        <f>ROUND(1457.9166666667/E39,3)</f>
        <v>18.934000000000001</v>
      </c>
      <c r="M39" s="7">
        <f>ROUND(72/E39,3)</f>
        <v>0.93500000000000005</v>
      </c>
      <c r="N39" s="7" t="s">
        <v>841</v>
      </c>
      <c r="O39" s="7" t="s">
        <v>842</v>
      </c>
      <c r="P39" s="7">
        <f>ROUND(499/E39,3)</f>
        <v>6.4809999999999999</v>
      </c>
      <c r="Q39" s="7">
        <f>ROUND(352/E39,3)</f>
        <v>4.5709999999999997</v>
      </c>
      <c r="R39" s="7">
        <f>ROUND(212/E39,3)</f>
        <v>2.7530000000000001</v>
      </c>
      <c r="S39" s="7">
        <f>ROUND(64/E39,3)</f>
        <v>0.83099999999999996</v>
      </c>
      <c r="T39" s="7">
        <f>ROUND(22.95/E39,3)</f>
        <v>0.29799999999999999</v>
      </c>
      <c r="U39" s="7">
        <f>ROUND(24/E39,3)</f>
        <v>0.312</v>
      </c>
      <c r="V39" s="7">
        <f>ROUND(31/E39,3)</f>
        <v>0.40300000000000002</v>
      </c>
      <c r="W39" s="7">
        <f>ROUND(24.75/E39,3)</f>
        <v>0.32100000000000001</v>
      </c>
      <c r="X39" s="7">
        <v>0.56000000000000005</v>
      </c>
      <c r="Y39" s="7">
        <v>0.56000000000000005</v>
      </c>
      <c r="Z39" s="7">
        <v>0.55000000000000004</v>
      </c>
      <c r="AA39" s="7">
        <f>ROUND(80.08/E39,3)</f>
        <v>1.04</v>
      </c>
      <c r="AB39" s="7">
        <f>ROUND(28/E39,3)</f>
        <v>0.36399999999999999</v>
      </c>
      <c r="AC39" s="7">
        <v>8477960</v>
      </c>
    </row>
    <row r="40" spans="1:29" ht="15" customHeight="1" x14ac:dyDescent="0.2">
      <c r="A40" s="7" t="s">
        <v>186</v>
      </c>
      <c r="B40" s="7" t="s">
        <v>92</v>
      </c>
      <c r="C40" s="7" t="s">
        <v>76</v>
      </c>
      <c r="D40" s="7">
        <v>19</v>
      </c>
      <c r="E40" s="7">
        <v>82</v>
      </c>
      <c r="F40" s="7">
        <f>ROUND(20/E40,3)</f>
        <v>0.24399999999999999</v>
      </c>
      <c r="G40" s="7">
        <f>ROUND(30/E40,3)</f>
        <v>0.36599999999999999</v>
      </c>
      <c r="H40" s="7">
        <f>ROUND(152/E40,3)</f>
        <v>1.8540000000000001</v>
      </c>
      <c r="I40" s="7">
        <f>ROUND(152/E40,3)</f>
        <v>1.8540000000000001</v>
      </c>
      <c r="J40" s="7">
        <f>ROUND(71/E40,3)</f>
        <v>0.86599999999999999</v>
      </c>
      <c r="K40" s="7">
        <f t="shared" si="1"/>
        <v>7.7949999999999999</v>
      </c>
      <c r="L40" s="7">
        <f>ROUND(1470.7333333333/E40,3)</f>
        <v>17.936</v>
      </c>
      <c r="M40" s="7">
        <f>ROUND(55/E40,3)</f>
        <v>0.67100000000000004</v>
      </c>
      <c r="N40" s="7" t="s">
        <v>843</v>
      </c>
      <c r="O40" s="7" t="s">
        <v>844</v>
      </c>
      <c r="P40" s="7">
        <f>ROUND(314/E40,3)</f>
        <v>3.8290000000000002</v>
      </c>
      <c r="Q40" s="7">
        <f>ROUND(226/E40,3)</f>
        <v>2.7559999999999998</v>
      </c>
      <c r="R40" s="7">
        <f>ROUND(198/E40,3)</f>
        <v>2.415</v>
      </c>
      <c r="S40" s="7">
        <f>ROUND(98/E40,3)</f>
        <v>1.1950000000000001</v>
      </c>
      <c r="T40" s="7">
        <f>ROUND(21.56/E40,3)</f>
        <v>0.26300000000000001</v>
      </c>
      <c r="U40" s="7">
        <f>ROUND(42/E40,3)</f>
        <v>0.51200000000000001</v>
      </c>
      <c r="V40" s="7">
        <f>ROUND(34/E40,3)</f>
        <v>0.41499999999999998</v>
      </c>
      <c r="W40" s="7">
        <f>ROUND(21.96/E40,3)</f>
        <v>0.26800000000000002</v>
      </c>
      <c r="X40" s="7">
        <v>0.56999999999999995</v>
      </c>
      <c r="Y40" s="7">
        <v>0.54</v>
      </c>
      <c r="Z40" s="7">
        <v>0.54</v>
      </c>
      <c r="AA40" s="7">
        <f>ROUND(41.9/E40,3)</f>
        <v>0.51100000000000001</v>
      </c>
      <c r="AB40" s="7">
        <f>ROUND(24/E40,3)</f>
        <v>0.29299999999999998</v>
      </c>
      <c r="AC40" s="7">
        <v>8483515</v>
      </c>
    </row>
    <row r="41" spans="1:29" ht="15" customHeight="1" x14ac:dyDescent="0.2">
      <c r="A41" s="7" t="s">
        <v>187</v>
      </c>
      <c r="B41" s="7" t="s">
        <v>60</v>
      </c>
      <c r="C41" s="7" t="s">
        <v>102</v>
      </c>
      <c r="D41" s="7">
        <v>31</v>
      </c>
      <c r="E41" s="7">
        <v>56</v>
      </c>
      <c r="F41" s="7">
        <f>ROUND(16/E41,3)</f>
        <v>0.28599999999999998</v>
      </c>
      <c r="G41" s="7">
        <f>ROUND(37/E41,3)</f>
        <v>0.66100000000000003</v>
      </c>
      <c r="H41" s="7">
        <f>ROUND(117/E41,3)</f>
        <v>2.089</v>
      </c>
      <c r="I41" s="7">
        <f>ROUND(35/E41,3)</f>
        <v>0.625</v>
      </c>
      <c r="J41" s="7">
        <f>ROUND(40/E41,3)</f>
        <v>0.71399999999999997</v>
      </c>
      <c r="K41" s="7">
        <f t="shared" si="1"/>
        <v>9.3695000000000004</v>
      </c>
      <c r="L41" s="7">
        <f>ROUND(1086.8/E41,3)</f>
        <v>19.407</v>
      </c>
      <c r="M41" s="7">
        <f>ROUND(22/E41,3)</f>
        <v>0.39300000000000002</v>
      </c>
      <c r="N41" s="7" t="s">
        <v>845</v>
      </c>
      <c r="O41" s="7" t="s">
        <v>846</v>
      </c>
      <c r="P41" s="7">
        <f>ROUND(212/E41,3)</f>
        <v>3.786</v>
      </c>
      <c r="Q41" s="7">
        <f>ROUND(162/E41,3)</f>
        <v>2.8929999999999998</v>
      </c>
      <c r="R41" s="7">
        <f>ROUND(138/E41,3)</f>
        <v>2.464</v>
      </c>
      <c r="S41" s="7">
        <f>ROUND(69/E41,3)</f>
        <v>1.232</v>
      </c>
      <c r="T41" s="7">
        <f>ROUND(17.82/E41,3)</f>
        <v>0.318</v>
      </c>
      <c r="U41" s="7">
        <f>ROUND(29/E41,3)</f>
        <v>0.51800000000000002</v>
      </c>
      <c r="V41" s="7">
        <f>ROUND(62/E41,3)</f>
        <v>1.107</v>
      </c>
      <c r="W41" s="7">
        <f>ROUND(17.47/E41,3)</f>
        <v>0.312</v>
      </c>
      <c r="X41" s="7">
        <v>0.56000000000000005</v>
      </c>
      <c r="Y41" s="7">
        <v>0.53</v>
      </c>
      <c r="Z41" s="7">
        <v>0.54</v>
      </c>
      <c r="AA41" s="7">
        <f>ROUND(44.09/E41,3)</f>
        <v>0.78700000000000003</v>
      </c>
      <c r="AB41" s="7">
        <f>ROUND(28/E41,3)</f>
        <v>0.5</v>
      </c>
      <c r="AC41" s="7">
        <v>8475913</v>
      </c>
    </row>
    <row r="42" spans="1:29" ht="15" customHeight="1" x14ac:dyDescent="0.2">
      <c r="A42" s="7" t="s">
        <v>190</v>
      </c>
      <c r="B42" s="7" t="s">
        <v>55</v>
      </c>
      <c r="C42" s="7" t="s">
        <v>191</v>
      </c>
      <c r="D42" s="7">
        <v>26</v>
      </c>
      <c r="E42" s="7">
        <v>80</v>
      </c>
      <c r="F42" s="7">
        <f>ROUND(23/E42,3)</f>
        <v>0.28799999999999998</v>
      </c>
      <c r="G42" s="7">
        <f>ROUND(57/E42,3)</f>
        <v>0.71299999999999997</v>
      </c>
      <c r="H42" s="7">
        <f>ROUND(240/E42,3)</f>
        <v>3</v>
      </c>
      <c r="I42" s="7">
        <f>ROUND(54/E42,3)</f>
        <v>0.67500000000000004</v>
      </c>
      <c r="J42" s="7">
        <f>ROUND(52/E42,3)</f>
        <v>0.65</v>
      </c>
      <c r="K42" s="7">
        <f t="shared" si="1"/>
        <v>10.5695</v>
      </c>
      <c r="L42" s="7">
        <f>ROUND(1610.6/E42,3)</f>
        <v>20.132999999999999</v>
      </c>
      <c r="M42" s="7">
        <f>ROUND(34/E42,3)</f>
        <v>0.42499999999999999</v>
      </c>
      <c r="N42" s="7" t="s">
        <v>329</v>
      </c>
      <c r="O42" s="7" t="s">
        <v>452</v>
      </c>
      <c r="P42" s="7">
        <f>ROUND(413/E42,3)</f>
        <v>5.1630000000000003</v>
      </c>
      <c r="Q42" s="7">
        <f>ROUND(320/E42,3)</f>
        <v>4</v>
      </c>
      <c r="R42" s="7">
        <f>ROUND(197/E42,3)</f>
        <v>2.4630000000000001</v>
      </c>
      <c r="S42" s="7">
        <f>ROUND(81/E42,3)</f>
        <v>1.0129999999999999</v>
      </c>
      <c r="T42" s="7">
        <f>ROUND(22.45/E42,3)</f>
        <v>0.28100000000000003</v>
      </c>
      <c r="U42" s="7">
        <f>ROUND(90/E42,3)</f>
        <v>1.125</v>
      </c>
      <c r="V42" s="7">
        <f>ROUND(84/E42,3)</f>
        <v>1.05</v>
      </c>
      <c r="W42" s="7">
        <f>ROUND(20.11/E42,3)</f>
        <v>0.251</v>
      </c>
      <c r="X42" s="7">
        <v>0.56000000000000005</v>
      </c>
      <c r="Y42" s="7">
        <v>0.56999999999999995</v>
      </c>
      <c r="Z42" s="7">
        <v>0.59</v>
      </c>
      <c r="AA42" s="7">
        <f>ROUND(82.54/E42,3)</f>
        <v>1.032</v>
      </c>
      <c r="AB42" s="7">
        <f>ROUND(23/E42,3)</f>
        <v>0.28799999999999998</v>
      </c>
      <c r="AC42" s="7">
        <v>8478445</v>
      </c>
    </row>
    <row r="43" spans="1:29" ht="15" customHeight="1" x14ac:dyDescent="0.2">
      <c r="A43" s="7" t="s">
        <v>195</v>
      </c>
      <c r="B43" s="7" t="s">
        <v>60</v>
      </c>
      <c r="C43" s="7" t="s">
        <v>135</v>
      </c>
      <c r="D43" s="7">
        <v>25</v>
      </c>
      <c r="E43" s="7">
        <v>82</v>
      </c>
      <c r="F43" s="7">
        <f>ROUND(28/E43,3)</f>
        <v>0.34100000000000003</v>
      </c>
      <c r="G43" s="7">
        <f>ROUND(38/E43,3)</f>
        <v>0.46300000000000002</v>
      </c>
      <c r="H43" s="7">
        <f>ROUND(196/E43,3)</f>
        <v>2.39</v>
      </c>
      <c r="I43" s="7">
        <f>ROUND(98/E43,3)</f>
        <v>1.1950000000000001</v>
      </c>
      <c r="J43" s="7">
        <f>ROUND(33/E43,3)</f>
        <v>0.40200000000000002</v>
      </c>
      <c r="K43" s="7">
        <f t="shared" si="1"/>
        <v>8.8955000000000002</v>
      </c>
      <c r="L43" s="7">
        <f>ROUND(1490.2166666667/E43,3)</f>
        <v>18.172999999999998</v>
      </c>
      <c r="M43" s="7">
        <f>ROUND(42/E43,3)</f>
        <v>0.51200000000000001</v>
      </c>
      <c r="N43" s="7" t="s">
        <v>847</v>
      </c>
      <c r="O43" s="7" t="s">
        <v>100</v>
      </c>
      <c r="P43" s="7">
        <f>ROUND(391/E43,3)</f>
        <v>4.7679999999999998</v>
      </c>
      <c r="Q43" s="7">
        <f>ROUND(295/E43,3)</f>
        <v>3.5979999999999999</v>
      </c>
      <c r="R43" s="7">
        <f>ROUND(215/E43,3)</f>
        <v>2.6219999999999999</v>
      </c>
      <c r="S43" s="7">
        <f>ROUND(103/E43,3)</f>
        <v>1.256</v>
      </c>
      <c r="T43" s="7">
        <f>ROUND(24.53/E43,3)</f>
        <v>0.29899999999999999</v>
      </c>
      <c r="U43" s="7">
        <f>ROUND(40/E43,3)</f>
        <v>0.48799999999999999</v>
      </c>
      <c r="V43" s="7">
        <f>ROUND(46/E43,3)</f>
        <v>0.56100000000000005</v>
      </c>
      <c r="W43" s="7">
        <f>ROUND(24.22/E43,3)</f>
        <v>0.29499999999999998</v>
      </c>
      <c r="X43" s="7">
        <v>0.6</v>
      </c>
      <c r="Y43" s="7">
        <v>0.57999999999999996</v>
      </c>
      <c r="Z43" s="7">
        <v>0.57999999999999996</v>
      </c>
      <c r="AA43" s="7">
        <f>ROUND(63.08/E43,3)</f>
        <v>0.76900000000000002</v>
      </c>
      <c r="AB43" s="7">
        <f>ROUND(29/E43,3)</f>
        <v>0.35399999999999998</v>
      </c>
      <c r="AC43" s="7">
        <v>8480208</v>
      </c>
    </row>
    <row r="44" spans="1:29" ht="15" customHeight="1" x14ac:dyDescent="0.2">
      <c r="A44" s="7" t="s">
        <v>198</v>
      </c>
      <c r="B44" s="7" t="s">
        <v>55</v>
      </c>
      <c r="C44" s="7" t="s">
        <v>146</v>
      </c>
      <c r="D44" s="7">
        <v>33</v>
      </c>
      <c r="E44" s="7">
        <v>80</v>
      </c>
      <c r="F44" s="7">
        <f>ROUND(29/E44,3)</f>
        <v>0.36299999999999999</v>
      </c>
      <c r="G44" s="7">
        <f>ROUND(36/E44,3)</f>
        <v>0.45</v>
      </c>
      <c r="H44" s="7">
        <f>ROUND(279/E44,3)</f>
        <v>3.488</v>
      </c>
      <c r="I44" s="7">
        <f>ROUND(134/E44,3)</f>
        <v>1.675</v>
      </c>
      <c r="J44" s="7">
        <f>ROUND(37/E44,3)</f>
        <v>0.46300000000000002</v>
      </c>
      <c r="K44" s="7">
        <f t="shared" si="1"/>
        <v>10.3925</v>
      </c>
      <c r="L44" s="7">
        <f>ROUND(1429.2/E44,3)</f>
        <v>17.864999999999998</v>
      </c>
      <c r="M44" s="7">
        <f>ROUND(30/E44,3)</f>
        <v>0.375</v>
      </c>
      <c r="N44" s="7" t="s">
        <v>848</v>
      </c>
      <c r="O44" s="7" t="s">
        <v>784</v>
      </c>
      <c r="P44" s="7">
        <f>ROUND(484/E44,3)</f>
        <v>6.05</v>
      </c>
      <c r="Q44" s="7">
        <f>ROUND(385/E44,3)</f>
        <v>4.8129999999999997</v>
      </c>
      <c r="R44" s="7">
        <f>ROUND(334/E44,3)</f>
        <v>4.1749999999999998</v>
      </c>
      <c r="S44" s="7">
        <f>ROUND(204/E44,3)</f>
        <v>2.5499999999999998</v>
      </c>
      <c r="T44" s="7">
        <f>ROUND(41.11/E44,3)</f>
        <v>0.51400000000000001</v>
      </c>
      <c r="U44" s="7">
        <f>ROUND(51/E44,3)</f>
        <v>0.63800000000000001</v>
      </c>
      <c r="V44" s="7">
        <f>ROUND(37/E44,3)</f>
        <v>0.46300000000000002</v>
      </c>
      <c r="W44" s="7">
        <f>ROUND(41.72/E44,3)</f>
        <v>0.52200000000000002</v>
      </c>
      <c r="X44" s="7">
        <v>0.64</v>
      </c>
      <c r="Y44" s="7">
        <v>0.6</v>
      </c>
      <c r="Z44" s="7">
        <v>0.6</v>
      </c>
      <c r="AA44" s="7">
        <f>ROUND(76.68/E44,3)</f>
        <v>0.95899999999999996</v>
      </c>
      <c r="AB44" s="7">
        <f>ROUND(58/E44,3)</f>
        <v>0.72499999999999998</v>
      </c>
      <c r="AC44" s="7">
        <v>8475166</v>
      </c>
    </row>
    <row r="45" spans="1:29" ht="15" customHeight="1" x14ac:dyDescent="0.2">
      <c r="A45" s="7" t="s">
        <v>201</v>
      </c>
      <c r="B45" s="7" t="s">
        <v>92</v>
      </c>
      <c r="C45" s="7" t="s">
        <v>72</v>
      </c>
      <c r="D45" s="7">
        <v>27</v>
      </c>
      <c r="E45" s="7">
        <v>82</v>
      </c>
      <c r="F45" s="7">
        <f>ROUND(25/E45,3)</f>
        <v>0.30499999999999999</v>
      </c>
      <c r="G45" s="7">
        <f>ROUND(36/E45,3)</f>
        <v>0.439</v>
      </c>
      <c r="H45" s="7">
        <f>ROUND(233/E45,3)</f>
        <v>2.8410000000000002</v>
      </c>
      <c r="I45" s="7">
        <f>ROUND(30/E45,3)</f>
        <v>0.36599999999999999</v>
      </c>
      <c r="J45" s="7">
        <f>ROUND(39/E45,3)</f>
        <v>0.47599999999999998</v>
      </c>
      <c r="K45" s="7">
        <f t="shared" si="1"/>
        <v>8.5739999999999998</v>
      </c>
      <c r="L45" s="7">
        <f>ROUND(1301.65/E45,3)</f>
        <v>15.874000000000001</v>
      </c>
      <c r="M45" s="7">
        <f>ROUND(29/E45,3)</f>
        <v>0.35399999999999998</v>
      </c>
      <c r="N45" s="7" t="s">
        <v>850</v>
      </c>
      <c r="O45" s="7" t="s">
        <v>851</v>
      </c>
      <c r="P45" s="7">
        <f>ROUND(495/E45,3)</f>
        <v>6.0369999999999999</v>
      </c>
      <c r="Q45" s="7">
        <f>ROUND(341/E45,3)</f>
        <v>4.1589999999999998</v>
      </c>
      <c r="R45" s="7">
        <f>ROUND(182/E45,3)</f>
        <v>2.2200000000000002</v>
      </c>
      <c r="S45" s="7">
        <f>ROUND(54/E45,3)</f>
        <v>0.65900000000000003</v>
      </c>
      <c r="T45" s="7">
        <f>ROUND(20.35/E45,3)</f>
        <v>0.248</v>
      </c>
      <c r="U45" s="7">
        <f>ROUND(45/E45,3)</f>
        <v>0.54900000000000004</v>
      </c>
      <c r="V45" s="7">
        <f>ROUND(37/E45,3)</f>
        <v>0.45100000000000001</v>
      </c>
      <c r="W45" s="7">
        <f>ROUND(18.36/E45,3)</f>
        <v>0.224</v>
      </c>
      <c r="X45" s="7">
        <v>0.57999999999999996</v>
      </c>
      <c r="Y45" s="7">
        <v>0.59</v>
      </c>
      <c r="Z45" s="7">
        <v>0.57999999999999996</v>
      </c>
      <c r="AA45" s="7">
        <f>ROUND(77.61/E45,3)</f>
        <v>0.94599999999999995</v>
      </c>
      <c r="AB45" s="7">
        <f>ROUND(16/E45,3)</f>
        <v>0.19500000000000001</v>
      </c>
      <c r="AC45" s="7">
        <v>8477940</v>
      </c>
    </row>
    <row r="46" spans="1:29" ht="15" customHeight="1" x14ac:dyDescent="0.2">
      <c r="A46" s="7" t="s">
        <v>204</v>
      </c>
      <c r="B46" s="7" t="s">
        <v>92</v>
      </c>
      <c r="C46" s="7" t="s">
        <v>153</v>
      </c>
      <c r="D46" s="7">
        <v>25</v>
      </c>
      <c r="E46" s="7">
        <v>82</v>
      </c>
      <c r="F46" s="7">
        <f>ROUND(27/E46,3)</f>
        <v>0.32900000000000001</v>
      </c>
      <c r="G46" s="7">
        <f>ROUND(56/E46,3)</f>
        <v>0.68300000000000005</v>
      </c>
      <c r="H46" s="7">
        <f>ROUND(248/E46,3)</f>
        <v>3.024</v>
      </c>
      <c r="I46" s="7">
        <f>ROUND(66/E46,3)</f>
        <v>0.80500000000000005</v>
      </c>
      <c r="J46" s="7">
        <f>ROUND(33/E46,3)</f>
        <v>0.40200000000000002</v>
      </c>
      <c r="K46" s="7">
        <f t="shared" si="1"/>
        <v>10.5585</v>
      </c>
      <c r="L46" s="7">
        <f>ROUND(1583.2/E46,3)</f>
        <v>19.306999999999999</v>
      </c>
      <c r="M46" s="7">
        <f>ROUND(12/E46,3)</f>
        <v>0.14599999999999999</v>
      </c>
      <c r="N46" s="7" t="s">
        <v>853</v>
      </c>
      <c r="O46" s="7" t="s">
        <v>854</v>
      </c>
      <c r="P46" s="7">
        <f>ROUND(448/E46,3)</f>
        <v>5.4630000000000001</v>
      </c>
      <c r="Q46" s="7">
        <f>ROUND(350/E46,3)</f>
        <v>4.2679999999999998</v>
      </c>
      <c r="R46" s="7">
        <f>ROUND(289/E46,3)</f>
        <v>3.524</v>
      </c>
      <c r="S46" s="7">
        <f>ROUND(119/E46,3)</f>
        <v>1.4510000000000001</v>
      </c>
      <c r="T46" s="7">
        <f>ROUND(28.59/E46,3)</f>
        <v>0.34899999999999998</v>
      </c>
      <c r="U46" s="7">
        <f>ROUND(45/E46,3)</f>
        <v>0.54900000000000004</v>
      </c>
      <c r="V46" s="7">
        <f>ROUND(39/E46,3)</f>
        <v>0.47599999999999998</v>
      </c>
      <c r="W46" s="7">
        <f>ROUND(32.01/E46,3)</f>
        <v>0.39</v>
      </c>
      <c r="X46" s="7">
        <v>0.56999999999999995</v>
      </c>
      <c r="Y46" s="7">
        <v>0.61</v>
      </c>
      <c r="Z46" s="7">
        <v>0.57999999999999996</v>
      </c>
      <c r="AA46" s="7">
        <f>ROUND(96.84/E46,3)</f>
        <v>1.181</v>
      </c>
      <c r="AB46" s="7">
        <f>ROUND(34/E46,3)</f>
        <v>0.41499999999999998</v>
      </c>
      <c r="AC46" s="7">
        <v>8479407</v>
      </c>
    </row>
    <row r="47" spans="1:29" ht="15" customHeight="1" x14ac:dyDescent="0.2">
      <c r="A47" s="7" t="s">
        <v>208</v>
      </c>
      <c r="B47" s="7" t="s">
        <v>60</v>
      </c>
      <c r="C47" s="7" t="s">
        <v>80</v>
      </c>
      <c r="D47" s="7">
        <v>23</v>
      </c>
      <c r="E47" s="7">
        <v>59</v>
      </c>
      <c r="F47" s="7">
        <f>ROUND(19/E47,3)</f>
        <v>0.32200000000000001</v>
      </c>
      <c r="G47" s="7">
        <f>ROUND(33/E47,3)</f>
        <v>0.55900000000000005</v>
      </c>
      <c r="H47" s="7">
        <f>ROUND(144/E47,3)</f>
        <v>2.4409999999999998</v>
      </c>
      <c r="I47" s="7">
        <f>ROUND(142/E47,3)</f>
        <v>2.407</v>
      </c>
      <c r="J47" s="7">
        <f>ROUND(22/E47,3)</f>
        <v>0.373</v>
      </c>
      <c r="K47" s="7">
        <f t="shared" si="1"/>
        <v>9.947499999999998</v>
      </c>
      <c r="L47" s="7">
        <f>ROUND(1001.8/E47,3)</f>
        <v>16.98</v>
      </c>
      <c r="M47" s="7">
        <f>ROUND(58/E47,3)</f>
        <v>0.98299999999999998</v>
      </c>
      <c r="N47" s="7" t="s">
        <v>855</v>
      </c>
      <c r="O47" s="7" t="s">
        <v>856</v>
      </c>
      <c r="P47" s="7">
        <f>ROUND(305/E47,3)</f>
        <v>5.1689999999999996</v>
      </c>
      <c r="Q47" s="7">
        <f>ROUND(223/E47,3)</f>
        <v>3.78</v>
      </c>
      <c r="R47" s="7">
        <f>ROUND(143/E47,3)</f>
        <v>2.4239999999999999</v>
      </c>
      <c r="S47" s="7">
        <f>ROUND(55/E47,3)</f>
        <v>0.93200000000000005</v>
      </c>
      <c r="T47" s="7">
        <f>ROUND(18.84/E47,3)</f>
        <v>0.31900000000000001</v>
      </c>
      <c r="U47" s="7">
        <f>ROUND(43/E47,3)</f>
        <v>0.72899999999999998</v>
      </c>
      <c r="V47" s="7">
        <f>ROUND(25/E47,3)</f>
        <v>0.42399999999999999</v>
      </c>
      <c r="W47" s="7">
        <f>ROUND(19.57/E47,3)</f>
        <v>0.33200000000000002</v>
      </c>
      <c r="X47" s="7">
        <v>0.63</v>
      </c>
      <c r="Y47" s="7">
        <v>0.64</v>
      </c>
      <c r="Z47" s="7">
        <v>0.62</v>
      </c>
      <c r="AA47" s="7">
        <f>ROUND(61.95/E47,3)</f>
        <v>1.05</v>
      </c>
      <c r="AB47" s="7">
        <f>ROUND(27/E47,3)</f>
        <v>0.45800000000000002</v>
      </c>
      <c r="AC47" s="7">
        <v>8480830</v>
      </c>
    </row>
    <row r="48" spans="1:29" ht="15" customHeight="1" x14ac:dyDescent="0.2">
      <c r="A48" s="7" t="s">
        <v>211</v>
      </c>
      <c r="B48" s="7" t="s">
        <v>92</v>
      </c>
      <c r="C48" s="7" t="s">
        <v>230</v>
      </c>
      <c r="D48" s="7">
        <v>19</v>
      </c>
      <c r="E48" s="7">
        <v>1</v>
      </c>
      <c r="F48" s="7">
        <f>ROUND(0/E48,3)</f>
        <v>0</v>
      </c>
      <c r="G48" s="7">
        <f>ROUND(1/E48,3)</f>
        <v>1</v>
      </c>
      <c r="H48" s="7">
        <f>ROUND(3/E48,3)</f>
        <v>3</v>
      </c>
      <c r="I48" s="7">
        <f>ROUND(0/E48,3)</f>
        <v>0</v>
      </c>
      <c r="J48" s="7">
        <f>ROUND(0/E48,3)</f>
        <v>0</v>
      </c>
      <c r="K48" s="7">
        <f t="shared" si="1"/>
        <v>9</v>
      </c>
      <c r="L48" s="7">
        <f>ROUND(15.4/E48,3)</f>
        <v>15.4</v>
      </c>
      <c r="M48" s="7">
        <f>ROUND(0/E48,3)</f>
        <v>0</v>
      </c>
      <c r="N48" s="7" t="s">
        <v>64</v>
      </c>
      <c r="O48" s="7" t="s">
        <v>207</v>
      </c>
      <c r="P48" s="7">
        <f>ROUND(5/E48,3)</f>
        <v>5</v>
      </c>
      <c r="Q48" s="7">
        <f>ROUND(3/E48,3)</f>
        <v>3</v>
      </c>
      <c r="R48" s="7">
        <f>ROUND(2/E48,3)</f>
        <v>2</v>
      </c>
      <c r="S48" s="7">
        <f>ROUND(0/E48,3)</f>
        <v>0</v>
      </c>
      <c r="T48" s="7">
        <f>ROUND(0.18/E48,3)</f>
        <v>0.18</v>
      </c>
      <c r="U48" s="7">
        <f>ROUND(0/E48,3)</f>
        <v>0</v>
      </c>
      <c r="V48" s="7">
        <f>ROUND(0/E48,3)</f>
        <v>0</v>
      </c>
      <c r="W48" s="7">
        <f>ROUND(0.16/E48,3)</f>
        <v>0.16</v>
      </c>
      <c r="X48" s="7">
        <v>0.4</v>
      </c>
      <c r="Y48" s="7">
        <v>0.54</v>
      </c>
      <c r="Z48" s="7">
        <v>0.56000000000000005</v>
      </c>
      <c r="AA48" s="7">
        <f>ROUND(1.17/E48,3)</f>
        <v>1.17</v>
      </c>
      <c r="AB48" s="7">
        <f>ROUND(0/E48,3)</f>
        <v>0</v>
      </c>
      <c r="AC48" s="7">
        <v>8483445</v>
      </c>
    </row>
    <row r="49" spans="1:29" ht="15" customHeight="1" x14ac:dyDescent="0.2">
      <c r="A49" s="7" t="s">
        <v>212</v>
      </c>
      <c r="B49" s="7" t="s">
        <v>55</v>
      </c>
      <c r="C49" s="7" t="s">
        <v>84</v>
      </c>
      <c r="D49" s="7">
        <v>25</v>
      </c>
      <c r="E49" s="7">
        <v>76</v>
      </c>
      <c r="F49" s="7">
        <f>ROUND(17/E49,3)</f>
        <v>0.224</v>
      </c>
      <c r="G49" s="7">
        <f>ROUND(22/E49,3)</f>
        <v>0.28899999999999998</v>
      </c>
      <c r="H49" s="7">
        <f>ROUND(130/E49,3)</f>
        <v>1.7110000000000001</v>
      </c>
      <c r="I49" s="7">
        <f>ROUND(137/E49,3)</f>
        <v>1.8029999999999999</v>
      </c>
      <c r="J49" s="7">
        <f>ROUND(50/E49,3)</f>
        <v>0.65800000000000003</v>
      </c>
      <c r="K49" s="7">
        <f t="shared" si="1"/>
        <v>6.7965</v>
      </c>
      <c r="L49" s="7">
        <f>ROUND(1171.0833333333/E49,3)</f>
        <v>15.409000000000001</v>
      </c>
      <c r="M49" s="7">
        <f>ROUND(28/E49,3)</f>
        <v>0.36799999999999999</v>
      </c>
      <c r="N49" s="7" t="s">
        <v>857</v>
      </c>
      <c r="O49" s="7" t="s">
        <v>858</v>
      </c>
      <c r="P49" s="7">
        <f>ROUND(211/E49,3)</f>
        <v>2.7759999999999998</v>
      </c>
      <c r="Q49" s="7">
        <f>ROUND(171/E49,3)</f>
        <v>2.25</v>
      </c>
      <c r="R49" s="7">
        <f>ROUND(125/E49,3)</f>
        <v>1.645</v>
      </c>
      <c r="S49" s="7">
        <f>ROUND(58/E49,3)</f>
        <v>0.76300000000000001</v>
      </c>
      <c r="T49" s="7">
        <f>ROUND(13.17/E49,3)</f>
        <v>0.17299999999999999</v>
      </c>
      <c r="U49" s="7">
        <f>ROUND(30/E49,3)</f>
        <v>0.39500000000000002</v>
      </c>
      <c r="V49" s="7">
        <f>ROUND(31/E49,3)</f>
        <v>0.40799999999999997</v>
      </c>
      <c r="W49" s="7">
        <f>ROUND(13.56/E49,3)</f>
        <v>0.17799999999999999</v>
      </c>
      <c r="X49" s="7">
        <v>0.54</v>
      </c>
      <c r="Y49" s="7">
        <v>0.5</v>
      </c>
      <c r="Z49" s="7">
        <v>0.51</v>
      </c>
      <c r="AA49" s="7">
        <f>ROUND(31.32/E49,3)</f>
        <v>0.41199999999999998</v>
      </c>
      <c r="AB49" s="7">
        <f>ROUND(17/E49,3)</f>
        <v>0.224</v>
      </c>
      <c r="AC49" s="7">
        <v>8479987</v>
      </c>
    </row>
    <row r="50" spans="1:29" ht="15" customHeight="1" x14ac:dyDescent="0.2">
      <c r="A50" s="7" t="s">
        <v>216</v>
      </c>
      <c r="B50" s="7" t="s">
        <v>55</v>
      </c>
      <c r="C50" s="7" t="s">
        <v>72</v>
      </c>
      <c r="D50" s="7">
        <v>24</v>
      </c>
      <c r="E50" s="7">
        <v>47</v>
      </c>
      <c r="F50" s="7">
        <f>ROUND(22/E50,3)</f>
        <v>0.46800000000000003</v>
      </c>
      <c r="G50" s="7">
        <f>ROUND(14/E50,3)</f>
        <v>0.29799999999999999</v>
      </c>
      <c r="H50" s="7">
        <f>ROUND(117/E50,3)</f>
        <v>2.4889999999999999</v>
      </c>
      <c r="I50" s="7">
        <f>ROUND(14/E50,3)</f>
        <v>0.29799999999999999</v>
      </c>
      <c r="J50" s="7">
        <f>ROUND(24/E50,3)</f>
        <v>0.51100000000000001</v>
      </c>
      <c r="K50" s="7">
        <f t="shared" si="1"/>
        <v>8.6809999999999992</v>
      </c>
      <c r="L50" s="7">
        <f>ROUND(799.35/E50,3)</f>
        <v>17.007000000000001</v>
      </c>
      <c r="M50" s="7">
        <f>ROUND(14/E50,3)</f>
        <v>0.29799999999999999</v>
      </c>
      <c r="N50" s="7" t="s">
        <v>251</v>
      </c>
      <c r="O50" s="7" t="s">
        <v>859</v>
      </c>
      <c r="P50" s="7">
        <f>ROUND(180/E50,3)</f>
        <v>3.83</v>
      </c>
      <c r="Q50" s="7">
        <f>ROUND(157/E50,3)</f>
        <v>3.34</v>
      </c>
      <c r="R50" s="7">
        <f>ROUND(148/E50,3)</f>
        <v>3.149</v>
      </c>
      <c r="S50" s="7">
        <f>ROUND(99/E50,3)</f>
        <v>2.1059999999999999</v>
      </c>
      <c r="T50" s="7">
        <f>ROUND(19.62/E50,3)</f>
        <v>0.41699999999999998</v>
      </c>
      <c r="U50" s="7">
        <f>ROUND(13/E50,3)</f>
        <v>0.27700000000000002</v>
      </c>
      <c r="V50" s="7">
        <f>ROUND(21/E50,3)</f>
        <v>0.44700000000000001</v>
      </c>
      <c r="W50" s="7">
        <f>ROUND(18.56/E50,3)</f>
        <v>0.39500000000000002</v>
      </c>
      <c r="X50" s="7">
        <v>0.57999999999999996</v>
      </c>
      <c r="Y50" s="7">
        <v>0.56000000000000005</v>
      </c>
      <c r="Z50" s="7">
        <v>0.56000000000000005</v>
      </c>
      <c r="AA50" s="7">
        <f>ROUND(38.03/E50,3)</f>
        <v>0.80900000000000005</v>
      </c>
      <c r="AB50" s="7">
        <f>ROUND(19/E50,3)</f>
        <v>0.40400000000000003</v>
      </c>
      <c r="AC50" s="7">
        <v>8480014</v>
      </c>
    </row>
    <row r="51" spans="1:29" ht="15" customHeight="1" x14ac:dyDescent="0.2">
      <c r="A51" s="7" t="s">
        <v>219</v>
      </c>
      <c r="B51" s="7" t="s">
        <v>60</v>
      </c>
      <c r="C51" s="7" t="s">
        <v>220</v>
      </c>
      <c r="D51" s="7">
        <v>26</v>
      </c>
      <c r="E51" s="7">
        <v>76</v>
      </c>
      <c r="F51" s="7">
        <f>ROUND(33/E51,3)</f>
        <v>0.434</v>
      </c>
      <c r="G51" s="7">
        <f>ROUND(35/E51,3)</f>
        <v>0.46100000000000002</v>
      </c>
      <c r="H51" s="7">
        <f>ROUND(244/E51,3)</f>
        <v>3.2109999999999999</v>
      </c>
      <c r="I51" s="7">
        <f>ROUND(90/E51,3)</f>
        <v>1.1839999999999999</v>
      </c>
      <c r="J51" s="7">
        <f>ROUND(32/E51,3)</f>
        <v>0.42099999999999999</v>
      </c>
      <c r="K51" s="7">
        <f t="shared" si="1"/>
        <v>10.462</v>
      </c>
      <c r="L51" s="7">
        <f>ROUND(1507.8666666667/E51,3)</f>
        <v>19.84</v>
      </c>
      <c r="M51" s="7">
        <f>ROUND(67/E51,3)</f>
        <v>0.88200000000000001</v>
      </c>
      <c r="N51" s="7" t="s">
        <v>860</v>
      </c>
      <c r="O51" s="7" t="s">
        <v>861</v>
      </c>
      <c r="P51" s="7">
        <f>ROUND(491/E51,3)</f>
        <v>6.4610000000000003</v>
      </c>
      <c r="Q51" s="7">
        <f>ROUND(367/E51,3)</f>
        <v>4.8289999999999997</v>
      </c>
      <c r="R51" s="7">
        <f>ROUND(236/E51,3)</f>
        <v>3.105</v>
      </c>
      <c r="S51" s="7">
        <f>ROUND(89/E51,3)</f>
        <v>1.171</v>
      </c>
      <c r="T51" s="7">
        <f>ROUND(26.3/E51,3)</f>
        <v>0.34599999999999997</v>
      </c>
      <c r="U51" s="7">
        <f>ROUND(30/E51,3)</f>
        <v>0.39500000000000002</v>
      </c>
      <c r="V51" s="7">
        <f>ROUND(53/E51,3)</f>
        <v>0.69699999999999995</v>
      </c>
      <c r="W51" s="7">
        <f>ROUND(26.25/E51,3)</f>
        <v>0.34499999999999997</v>
      </c>
      <c r="X51" s="7">
        <v>0.51</v>
      </c>
      <c r="Y51" s="7">
        <v>0.57999999999999996</v>
      </c>
      <c r="Z51" s="7">
        <v>0.57999999999999996</v>
      </c>
      <c r="AA51" s="7">
        <f>ROUND(81.51/E51,3)</f>
        <v>1.073</v>
      </c>
      <c r="AB51" s="7">
        <f>ROUND(27/E51,3)</f>
        <v>0.35499999999999998</v>
      </c>
      <c r="AC51" s="7">
        <v>8478439</v>
      </c>
    </row>
    <row r="52" spans="1:29" ht="15" customHeight="1" x14ac:dyDescent="0.2">
      <c r="A52" s="7" t="s">
        <v>224</v>
      </c>
      <c r="B52" s="7" t="s">
        <v>55</v>
      </c>
      <c r="C52" s="7" t="s">
        <v>160</v>
      </c>
      <c r="D52" s="7">
        <v>27</v>
      </c>
      <c r="E52" s="7">
        <v>68</v>
      </c>
      <c r="F52" s="7">
        <f>ROUND(33/E52,3)</f>
        <v>0.48499999999999999</v>
      </c>
      <c r="G52" s="7">
        <f>ROUND(36/E52,3)</f>
        <v>0.52900000000000003</v>
      </c>
      <c r="H52" s="7">
        <f>ROUND(221/E52,3)</f>
        <v>3.25</v>
      </c>
      <c r="I52" s="7">
        <f>ROUND(44/E52,3)</f>
        <v>0.64700000000000002</v>
      </c>
      <c r="J52" s="7">
        <f>ROUND(34/E52,3)</f>
        <v>0.5</v>
      </c>
      <c r="K52" s="7">
        <f t="shared" si="1"/>
        <v>11.1275</v>
      </c>
      <c r="L52" s="7">
        <f>ROUND(1371.7333333333/E52,3)</f>
        <v>20.172999999999998</v>
      </c>
      <c r="M52" s="7">
        <f>ROUND(39/E52,3)</f>
        <v>0.57399999999999995</v>
      </c>
      <c r="N52" s="7" t="s">
        <v>863</v>
      </c>
      <c r="O52" s="7" t="s">
        <v>864</v>
      </c>
      <c r="P52" s="7">
        <f>ROUND(425/E52,3)</f>
        <v>6.25</v>
      </c>
      <c r="Q52" s="7">
        <f>ROUND(313/E52,3)</f>
        <v>4.6029999999999998</v>
      </c>
      <c r="R52" s="7">
        <f>ROUND(234/E52,3)</f>
        <v>3.4409999999999998</v>
      </c>
      <c r="S52" s="7">
        <f>ROUND(86/E52,3)</f>
        <v>1.2649999999999999</v>
      </c>
      <c r="T52" s="7">
        <f>ROUND(26.3/E52,3)</f>
        <v>0.38700000000000001</v>
      </c>
      <c r="U52" s="7">
        <f>ROUND(44/E52,3)</f>
        <v>0.64700000000000002</v>
      </c>
      <c r="V52" s="7">
        <f>ROUND(48/E52,3)</f>
        <v>0.70599999999999996</v>
      </c>
      <c r="W52" s="7">
        <f>ROUND(27.95/E52,3)</f>
        <v>0.41099999999999998</v>
      </c>
      <c r="X52" s="7">
        <v>0.53</v>
      </c>
      <c r="Y52" s="7">
        <v>0.55000000000000004</v>
      </c>
      <c r="Z52" s="7">
        <v>0.54</v>
      </c>
      <c r="AA52" s="7">
        <f>ROUND(74.57/E52,3)</f>
        <v>1.097</v>
      </c>
      <c r="AB52" s="7">
        <f>ROUND(38/E52,3)</f>
        <v>0.55900000000000005</v>
      </c>
      <c r="AC52" s="7">
        <v>8477946</v>
      </c>
    </row>
    <row r="53" spans="1:29" ht="15" customHeight="1" x14ac:dyDescent="0.2">
      <c r="A53" s="7" t="s">
        <v>227</v>
      </c>
      <c r="B53" s="7" t="s">
        <v>55</v>
      </c>
      <c r="C53" s="7" t="s">
        <v>230</v>
      </c>
      <c r="D53" s="7">
        <v>18</v>
      </c>
      <c r="E53" s="7">
        <v>55</v>
      </c>
      <c r="F53" s="7">
        <f>ROUND(12/E53,3)</f>
        <v>0.218</v>
      </c>
      <c r="G53" s="7">
        <f>ROUND(17/E53,3)</f>
        <v>0.309</v>
      </c>
      <c r="H53" s="7">
        <f>ROUND(109/E53,3)</f>
        <v>1.982</v>
      </c>
      <c r="I53" s="7">
        <f>ROUND(28/E53,3)</f>
        <v>0.50900000000000001</v>
      </c>
      <c r="J53" s="7">
        <f>ROUND(25/E53,3)</f>
        <v>0.45500000000000002</v>
      </c>
      <c r="K53" s="7">
        <f t="shared" si="1"/>
        <v>6.2895000000000003</v>
      </c>
      <c r="L53" s="7">
        <f>ROUND(996/E53,3)</f>
        <v>18.109000000000002</v>
      </c>
      <c r="M53" s="7">
        <f>ROUND(16/E53,3)</f>
        <v>0.29099999999999998</v>
      </c>
      <c r="N53" s="7" t="s">
        <v>181</v>
      </c>
      <c r="O53" s="7" t="s">
        <v>865</v>
      </c>
      <c r="P53" s="7">
        <f>ROUND(184/E53,3)</f>
        <v>3.3450000000000002</v>
      </c>
      <c r="Q53" s="7">
        <f>ROUND(144/E53,3)</f>
        <v>2.6179999999999999</v>
      </c>
      <c r="R53" s="7">
        <f>ROUND(110/E53,3)</f>
        <v>2</v>
      </c>
      <c r="S53" s="7">
        <f>ROUND(47/E53,3)</f>
        <v>0.85499999999999998</v>
      </c>
      <c r="T53" s="7">
        <f>ROUND(11.22/E53,3)</f>
        <v>0.20399999999999999</v>
      </c>
      <c r="U53" s="7">
        <f>ROUND(34/E53,3)</f>
        <v>0.61799999999999999</v>
      </c>
      <c r="V53" s="7">
        <f>ROUND(41/E53,3)</f>
        <v>0.745</v>
      </c>
      <c r="W53" s="7">
        <f>ROUND(11.17/E53,3)</f>
        <v>0.20300000000000001</v>
      </c>
      <c r="X53" s="7">
        <v>0.54</v>
      </c>
      <c r="Y53" s="7">
        <v>0.56000000000000005</v>
      </c>
      <c r="Z53" s="7">
        <v>0.56000000000000005</v>
      </c>
      <c r="AA53" s="7">
        <f>ROUND(28.92/E53,3)</f>
        <v>0.52600000000000002</v>
      </c>
      <c r="AB53" s="7">
        <f>ROUND(10/E53,3)</f>
        <v>0.182</v>
      </c>
      <c r="AC53" s="7">
        <v>8484153</v>
      </c>
    </row>
    <row r="54" spans="1:29" ht="15" customHeight="1" x14ac:dyDescent="0.2">
      <c r="A54" s="7" t="s">
        <v>228</v>
      </c>
      <c r="B54" s="7" t="s">
        <v>60</v>
      </c>
      <c r="C54" s="7" t="s">
        <v>380</v>
      </c>
      <c r="D54" s="7">
        <v>23</v>
      </c>
      <c r="E54" s="7">
        <v>78</v>
      </c>
      <c r="F54" s="7">
        <f>ROUND(23/E54,3)</f>
        <v>0.29499999999999998</v>
      </c>
      <c r="G54" s="7">
        <f>ROUND(19/E54,3)</f>
        <v>0.24399999999999999</v>
      </c>
      <c r="H54" s="7">
        <f>ROUND(193/E54,3)</f>
        <v>2.4740000000000002</v>
      </c>
      <c r="I54" s="7">
        <f>ROUND(55/E54,3)</f>
        <v>0.70499999999999996</v>
      </c>
      <c r="J54" s="7">
        <f>ROUND(39/E54,3)</f>
        <v>0.5</v>
      </c>
      <c r="K54" s="7">
        <f t="shared" si="1"/>
        <v>7.1505000000000001</v>
      </c>
      <c r="L54" s="7">
        <f>ROUND(1280.2833333333/E54,3)</f>
        <v>16.414000000000001</v>
      </c>
      <c r="M54" s="7">
        <f>ROUND(14/E54,3)</f>
        <v>0.17899999999999999</v>
      </c>
      <c r="N54" s="7" t="s">
        <v>866</v>
      </c>
      <c r="O54" s="7" t="s">
        <v>867</v>
      </c>
      <c r="P54" s="7">
        <f>ROUND(359/E54,3)</f>
        <v>4.6029999999999998</v>
      </c>
      <c r="Q54" s="7">
        <f>ROUND(262/E54,3)</f>
        <v>3.359</v>
      </c>
      <c r="R54" s="7">
        <f>ROUND(193/E54,3)</f>
        <v>2.4740000000000002</v>
      </c>
      <c r="S54" s="7">
        <f>ROUND(60/E54,3)</f>
        <v>0.76900000000000002</v>
      </c>
      <c r="T54" s="7">
        <f>ROUND(19.1/E54,3)</f>
        <v>0.245</v>
      </c>
      <c r="U54" s="7">
        <f>ROUND(28/E54,3)</f>
        <v>0.35899999999999999</v>
      </c>
      <c r="V54" s="7">
        <f>ROUND(49/E54,3)</f>
        <v>0.628</v>
      </c>
      <c r="W54" s="7">
        <f>ROUND(19.48/E54,3)</f>
        <v>0.25</v>
      </c>
      <c r="X54" s="7">
        <v>0.52</v>
      </c>
      <c r="Y54" s="7">
        <v>0.55000000000000004</v>
      </c>
      <c r="Z54" s="7">
        <v>0.54</v>
      </c>
      <c r="AA54" s="7">
        <f>ROUND(44.76/E54,3)</f>
        <v>0.57399999999999995</v>
      </c>
      <c r="AB54" s="7">
        <f>ROUND(15/E54,3)</f>
        <v>0.192</v>
      </c>
      <c r="AC54" s="7">
        <v>8480893</v>
      </c>
    </row>
    <row r="55" spans="1:29" ht="15" customHeight="1" x14ac:dyDescent="0.2">
      <c r="A55" s="7" t="s">
        <v>229</v>
      </c>
      <c r="B55" s="7" t="s">
        <v>55</v>
      </c>
      <c r="C55" s="7" t="s">
        <v>230</v>
      </c>
      <c r="D55" s="7">
        <v>22</v>
      </c>
      <c r="E55" s="7">
        <v>31</v>
      </c>
      <c r="F55" s="7">
        <f>ROUND(6/E55,3)</f>
        <v>0.19400000000000001</v>
      </c>
      <c r="G55" s="7">
        <f>ROUND(9/E55,3)</f>
        <v>0.28999999999999998</v>
      </c>
      <c r="H55" s="7">
        <f>ROUND(73/E55,3)</f>
        <v>2.355</v>
      </c>
      <c r="I55" s="7">
        <f>ROUND(16/E55,3)</f>
        <v>0.51600000000000001</v>
      </c>
      <c r="J55" s="7">
        <f>ROUND(15/E55,3)</f>
        <v>0.48399999999999999</v>
      </c>
      <c r="K55" s="7">
        <f t="shared" si="1"/>
        <v>6.3890000000000002</v>
      </c>
      <c r="L55" s="7">
        <f>ROUND(529.73333333333/E55,3)</f>
        <v>17.088000000000001</v>
      </c>
      <c r="M55" s="7">
        <f>ROUND(30/E55,3)</f>
        <v>0.96799999999999997</v>
      </c>
      <c r="N55" s="7" t="s">
        <v>654</v>
      </c>
      <c r="O55" s="7" t="s">
        <v>868</v>
      </c>
      <c r="P55" s="7">
        <f>ROUND(135/E55,3)</f>
        <v>4.3550000000000004</v>
      </c>
      <c r="Q55" s="7">
        <f>ROUND(105/E55,3)</f>
        <v>3.387</v>
      </c>
      <c r="R55" s="7">
        <f>ROUND(69/E55,3)</f>
        <v>2.226</v>
      </c>
      <c r="S55" s="7">
        <f>ROUND(29/E55,3)</f>
        <v>0.93500000000000005</v>
      </c>
      <c r="T55" s="7">
        <f>ROUND(7.51/E55,3)</f>
        <v>0.24199999999999999</v>
      </c>
      <c r="U55" s="7">
        <f>ROUND(16/E55,3)</f>
        <v>0.51600000000000001</v>
      </c>
      <c r="V55" s="7">
        <f>ROUND(15/E55,3)</f>
        <v>0.48399999999999999</v>
      </c>
      <c r="W55" s="7">
        <f>ROUND(7.33/E55,3)</f>
        <v>0.23599999999999999</v>
      </c>
      <c r="X55" s="7">
        <v>0.56999999999999995</v>
      </c>
      <c r="Y55" s="7">
        <v>0.54</v>
      </c>
      <c r="Z55" s="7">
        <v>0.54</v>
      </c>
      <c r="AA55" s="7">
        <f>ROUND(12.85/E55,3)</f>
        <v>0.41499999999999998</v>
      </c>
      <c r="AB55" s="7">
        <f>ROUND(5/E55,3)</f>
        <v>0.161</v>
      </c>
      <c r="AC55" s="7">
        <v>8481533</v>
      </c>
    </row>
    <row r="56" spans="1:29" ht="15" customHeight="1" x14ac:dyDescent="0.2">
      <c r="A56" s="7" t="s">
        <v>233</v>
      </c>
      <c r="B56" s="7" t="s">
        <v>55</v>
      </c>
      <c r="C56" s="7" t="s">
        <v>61</v>
      </c>
      <c r="D56" s="7">
        <v>33</v>
      </c>
      <c r="E56" s="7">
        <v>79</v>
      </c>
      <c r="F56" s="7">
        <f>ROUND(40/E56,3)</f>
        <v>0.50600000000000001</v>
      </c>
      <c r="G56" s="7">
        <f>ROUND(41/E56,3)</f>
        <v>0.51900000000000002</v>
      </c>
      <c r="H56" s="7">
        <f>ROUND(262/E56,3)</f>
        <v>3.3159999999999998</v>
      </c>
      <c r="I56" s="7">
        <f>ROUND(78/E56,3)</f>
        <v>0.98699999999999999</v>
      </c>
      <c r="J56" s="7">
        <f>ROUND(43/E56,3)</f>
        <v>0.54400000000000004</v>
      </c>
      <c r="K56" s="7">
        <f t="shared" si="1"/>
        <v>11.515499999999999</v>
      </c>
      <c r="L56" s="7">
        <f>ROUND(1440.05/E56,3)</f>
        <v>18.228000000000002</v>
      </c>
      <c r="M56" s="7">
        <f>ROUND(34/E56,3)</f>
        <v>0.43</v>
      </c>
      <c r="N56" s="7" t="s">
        <v>185</v>
      </c>
      <c r="O56" s="7" t="s">
        <v>668</v>
      </c>
      <c r="P56" s="7">
        <f>ROUND(490/E56,3)</f>
        <v>6.2030000000000003</v>
      </c>
      <c r="Q56" s="7">
        <f>ROUND(370/E56,3)</f>
        <v>4.6840000000000002</v>
      </c>
      <c r="R56" s="7">
        <f>ROUND(258/E56,3)</f>
        <v>3.266</v>
      </c>
      <c r="S56" s="7">
        <f>ROUND(72/E56,3)</f>
        <v>0.91100000000000003</v>
      </c>
      <c r="T56" s="7">
        <f>ROUND(29.03/E56,3)</f>
        <v>0.36699999999999999</v>
      </c>
      <c r="U56" s="7">
        <f>ROUND(52/E56,3)</f>
        <v>0.65800000000000003</v>
      </c>
      <c r="V56" s="7">
        <f>ROUND(23/E56,3)</f>
        <v>0.29099999999999998</v>
      </c>
      <c r="W56" s="7">
        <f>ROUND(32.26/E56,3)</f>
        <v>0.40799999999999997</v>
      </c>
      <c r="X56" s="7">
        <v>0.57999999999999996</v>
      </c>
      <c r="Y56" s="7">
        <v>0.59</v>
      </c>
      <c r="Z56" s="7">
        <v>0.57999999999999996</v>
      </c>
      <c r="AA56" s="7">
        <f>ROUND(73.92/E56,3)</f>
        <v>0.93600000000000005</v>
      </c>
      <c r="AB56" s="7">
        <f>ROUND(27/E56,3)</f>
        <v>0.34200000000000003</v>
      </c>
      <c r="AC56" s="7">
        <v>8474564</v>
      </c>
    </row>
    <row r="57" spans="1:29" ht="15" customHeight="1" x14ac:dyDescent="0.2">
      <c r="A57" s="7" t="s">
        <v>236</v>
      </c>
      <c r="B57" s="7" t="s">
        <v>60</v>
      </c>
      <c r="C57" s="7" t="s">
        <v>138</v>
      </c>
      <c r="D57" s="7">
        <v>27</v>
      </c>
      <c r="E57" s="7">
        <v>75</v>
      </c>
      <c r="F57" s="7">
        <f>ROUND(22/E57,3)</f>
        <v>0.29299999999999998</v>
      </c>
      <c r="G57" s="7">
        <f>ROUND(37/E57,3)</f>
        <v>0.49299999999999999</v>
      </c>
      <c r="H57" s="7">
        <f>ROUND(192/E57,3)</f>
        <v>2.56</v>
      </c>
      <c r="I57" s="7">
        <f>ROUND(72/E57,3)</f>
        <v>0.96</v>
      </c>
      <c r="J57" s="7">
        <f>ROUND(82/E57,3)</f>
        <v>1.093</v>
      </c>
      <c r="K57" s="7">
        <f t="shared" si="1"/>
        <v>9.4350000000000005</v>
      </c>
      <c r="L57" s="7">
        <f>ROUND(1462.7833333333/E57,3)</f>
        <v>19.504000000000001</v>
      </c>
      <c r="M57" s="7">
        <f>ROUND(54/E57,3)</f>
        <v>0.72</v>
      </c>
      <c r="N57" s="7" t="s">
        <v>869</v>
      </c>
      <c r="O57" s="7" t="s">
        <v>870</v>
      </c>
      <c r="P57" s="7">
        <f>ROUND(356/E57,3)</f>
        <v>4.7469999999999999</v>
      </c>
      <c r="Q57" s="7">
        <f>ROUND(287/E57,3)</f>
        <v>3.827</v>
      </c>
      <c r="R57" s="7">
        <f>ROUND(195/E57,3)</f>
        <v>2.6</v>
      </c>
      <c r="S57" s="7">
        <f>ROUND(91/E57,3)</f>
        <v>1.2130000000000001</v>
      </c>
      <c r="T57" s="7">
        <f>ROUND(23.49/E57,3)</f>
        <v>0.313</v>
      </c>
      <c r="U57" s="7">
        <f>ROUND(31/E57,3)</f>
        <v>0.41299999999999998</v>
      </c>
      <c r="V57" s="7">
        <f>ROUND(82/E57,3)</f>
        <v>1.093</v>
      </c>
      <c r="W57" s="7">
        <f>ROUND(22.95/E57,3)</f>
        <v>0.30599999999999999</v>
      </c>
      <c r="X57" s="7">
        <v>0.52</v>
      </c>
      <c r="Y57" s="7">
        <v>0.55000000000000004</v>
      </c>
      <c r="Z57" s="7">
        <v>0.55000000000000004</v>
      </c>
      <c r="AA57" s="7">
        <f>ROUND(60.59/E57,3)</f>
        <v>0.80800000000000005</v>
      </c>
      <c r="AB57" s="7">
        <f>ROUND(30/E57,3)</f>
        <v>0.4</v>
      </c>
      <c r="AC57" s="7">
        <v>8477949</v>
      </c>
    </row>
    <row r="58" spans="1:29" ht="15" customHeight="1" x14ac:dyDescent="0.2">
      <c r="A58" s="7" t="s">
        <v>239</v>
      </c>
      <c r="B58" s="7" t="s">
        <v>55</v>
      </c>
      <c r="C58" s="7" t="s">
        <v>80</v>
      </c>
      <c r="D58" s="7">
        <v>21</v>
      </c>
      <c r="E58" s="7">
        <v>81</v>
      </c>
      <c r="F58" s="7">
        <f>ROUND(33/E58,3)</f>
        <v>0.40699999999999997</v>
      </c>
      <c r="G58" s="7">
        <f>ROUND(34/E58,3)</f>
        <v>0.42</v>
      </c>
      <c r="H58" s="7">
        <f>ROUND(178/E58,3)</f>
        <v>2.198</v>
      </c>
      <c r="I58" s="7">
        <f>ROUND(115/E58,3)</f>
        <v>1.42</v>
      </c>
      <c r="J58" s="7">
        <f>ROUND(52/E58,3)</f>
        <v>0.64200000000000002</v>
      </c>
      <c r="K58" s="7">
        <f t="shared" si="1"/>
        <v>9.3260000000000005</v>
      </c>
      <c r="L58" s="7">
        <f>ROUND(1518.75/E58,3)</f>
        <v>18.75</v>
      </c>
      <c r="M58" s="7">
        <f>ROUND(14/E58,3)</f>
        <v>0.17299999999999999</v>
      </c>
      <c r="N58" s="7" t="s">
        <v>871</v>
      </c>
      <c r="O58" s="7" t="s">
        <v>872</v>
      </c>
      <c r="P58" s="7">
        <f>ROUND(318/E58,3)</f>
        <v>3.9260000000000002</v>
      </c>
      <c r="Q58" s="7">
        <f>ROUND(261/E58,3)</f>
        <v>3.222</v>
      </c>
      <c r="R58" s="7">
        <f>ROUND(233/E58,3)</f>
        <v>2.8769999999999998</v>
      </c>
      <c r="S58" s="7">
        <f>ROUND(133/E58,3)</f>
        <v>1.6419999999999999</v>
      </c>
      <c r="T58" s="7">
        <f>ROUND(29.2/E58,3)</f>
        <v>0.36</v>
      </c>
      <c r="U58" s="7">
        <f>ROUND(42/E58,3)</f>
        <v>0.51900000000000002</v>
      </c>
      <c r="V58" s="7">
        <f>ROUND(43/E58,3)</f>
        <v>0.53100000000000003</v>
      </c>
      <c r="W58" s="7">
        <f>ROUND(33.43/E58,3)</f>
        <v>0.41299999999999998</v>
      </c>
      <c r="X58" s="7">
        <v>0.6</v>
      </c>
      <c r="Y58" s="7">
        <v>0.6</v>
      </c>
      <c r="Z58" s="7">
        <v>0.59</v>
      </c>
      <c r="AA58" s="7">
        <f>ROUND(84.72/E58,3)</f>
        <v>1.046</v>
      </c>
      <c r="AB58" s="7">
        <f>ROUND(48/E58,3)</f>
        <v>0.59299999999999997</v>
      </c>
      <c r="AC58" s="7">
        <v>8482093</v>
      </c>
    </row>
    <row r="59" spans="1:29" ht="15" customHeight="1" x14ac:dyDescent="0.2">
      <c r="A59" s="7" t="s">
        <v>243</v>
      </c>
      <c r="B59" s="7" t="s">
        <v>55</v>
      </c>
      <c r="C59" s="7" t="s">
        <v>153</v>
      </c>
      <c r="D59" s="7">
        <v>24</v>
      </c>
      <c r="E59" s="7">
        <v>71</v>
      </c>
      <c r="F59" s="7">
        <f>ROUND(27/E59,3)</f>
        <v>0.38</v>
      </c>
      <c r="G59" s="7">
        <f>ROUND(40/E59,3)</f>
        <v>0.56299999999999994</v>
      </c>
      <c r="H59" s="7">
        <f>ROUND(182/E59,3)</f>
        <v>2.5630000000000002</v>
      </c>
      <c r="I59" s="7">
        <f>ROUND(44/E59,3)</f>
        <v>0.62</v>
      </c>
      <c r="J59" s="7">
        <f>ROUND(42/E59,3)</f>
        <v>0.59199999999999997</v>
      </c>
      <c r="K59" s="7">
        <f t="shared" si="1"/>
        <v>9.8830000000000009</v>
      </c>
      <c r="L59" s="7">
        <f>ROUND(1383.2333333333/E59,3)</f>
        <v>19.481999999999999</v>
      </c>
      <c r="M59" s="7">
        <f>ROUND(12/E59,3)</f>
        <v>0.16900000000000001</v>
      </c>
      <c r="N59" s="7" t="s">
        <v>289</v>
      </c>
      <c r="O59" s="7" t="s">
        <v>873</v>
      </c>
      <c r="P59" s="7">
        <f>ROUND(328/E59,3)</f>
        <v>4.62</v>
      </c>
      <c r="Q59" s="7">
        <f>ROUND(259/E59,3)</f>
        <v>3.6480000000000001</v>
      </c>
      <c r="R59" s="7">
        <f>ROUND(232/E59,3)</f>
        <v>3.2679999999999998</v>
      </c>
      <c r="S59" s="7">
        <f>ROUND(129/E59,3)</f>
        <v>1.8169999999999999</v>
      </c>
      <c r="T59" s="7">
        <f>ROUND(28.99/E59,3)</f>
        <v>0.40799999999999997</v>
      </c>
      <c r="U59" s="7">
        <f>ROUND(28/E59,3)</f>
        <v>0.39400000000000002</v>
      </c>
      <c r="V59" s="7">
        <f>ROUND(55/E59,3)</f>
        <v>0.77500000000000002</v>
      </c>
      <c r="W59" s="7">
        <f>ROUND(28.57/E59,3)</f>
        <v>0.40200000000000002</v>
      </c>
      <c r="X59" s="7">
        <v>0.55000000000000004</v>
      </c>
      <c r="Y59" s="7">
        <v>0.57999999999999996</v>
      </c>
      <c r="Z59" s="7">
        <v>0.56000000000000005</v>
      </c>
      <c r="AA59" s="7">
        <f>ROUND(73.73/E59,3)</f>
        <v>1.038</v>
      </c>
      <c r="AB59" s="7">
        <f>ROUND(45/E59,3)</f>
        <v>0.63400000000000001</v>
      </c>
      <c r="AC59" s="7">
        <v>8480002</v>
      </c>
    </row>
    <row r="60" spans="1:29" ht="15" customHeight="1" x14ac:dyDescent="0.2">
      <c r="A60" s="7" t="s">
        <v>246</v>
      </c>
      <c r="B60" s="7" t="s">
        <v>92</v>
      </c>
      <c r="C60" s="7" t="s">
        <v>146</v>
      </c>
      <c r="D60" s="7">
        <v>20</v>
      </c>
      <c r="E60" s="7">
        <v>80</v>
      </c>
      <c r="F60" s="7">
        <f>ROUND(15/E60,3)</f>
        <v>0.188</v>
      </c>
      <c r="G60" s="7">
        <f>ROUND(20/E60,3)</f>
        <v>0.25</v>
      </c>
      <c r="H60" s="7">
        <f>ROUND(115/E60,3)</f>
        <v>1.4379999999999999</v>
      </c>
      <c r="I60" s="7">
        <f>ROUND(169/E60,3)</f>
        <v>2.113</v>
      </c>
      <c r="J60" s="7">
        <f>ROUND(30/E60,3)</f>
        <v>0.375</v>
      </c>
      <c r="K60" s="7">
        <f t="shared" si="1"/>
        <v>5.8734999999999999</v>
      </c>
      <c r="L60" s="7">
        <f>ROUND(1094.2/E60,3)</f>
        <v>13.678000000000001</v>
      </c>
      <c r="M60" s="7">
        <f>ROUND(45/E60,3)</f>
        <v>0.56299999999999994</v>
      </c>
      <c r="N60" s="7" t="s">
        <v>849</v>
      </c>
      <c r="O60" s="7" t="s">
        <v>874</v>
      </c>
      <c r="P60" s="7">
        <f>ROUND(188/E60,3)</f>
        <v>2.35</v>
      </c>
      <c r="Q60" s="7">
        <f>ROUND(161/E60,3)</f>
        <v>2.0129999999999999</v>
      </c>
      <c r="R60" s="7">
        <f>ROUND(126/E60,3)</f>
        <v>1.575</v>
      </c>
      <c r="S60" s="7">
        <f>ROUND(83/E60,3)</f>
        <v>1.038</v>
      </c>
      <c r="T60" s="7">
        <f>ROUND(13.71/E60,3)</f>
        <v>0.17100000000000001</v>
      </c>
      <c r="U60" s="7">
        <f>ROUND(29/E60,3)</f>
        <v>0.36299999999999999</v>
      </c>
      <c r="V60" s="7">
        <f>ROUND(38/E60,3)</f>
        <v>0.47499999999999998</v>
      </c>
      <c r="W60" s="7">
        <f>ROUND(14.71/E60,3)</f>
        <v>0.184</v>
      </c>
      <c r="X60" s="7">
        <v>0.5</v>
      </c>
      <c r="Y60" s="7">
        <v>0.5</v>
      </c>
      <c r="Z60" s="7">
        <v>0.5</v>
      </c>
      <c r="AA60" s="7">
        <f>ROUND(34.61/E60,3)</f>
        <v>0.433</v>
      </c>
      <c r="AB60" s="7">
        <f>ROUND(17/E60,3)</f>
        <v>0.21299999999999999</v>
      </c>
      <c r="AC60" s="7">
        <v>8482720</v>
      </c>
    </row>
    <row r="61" spans="1:29" ht="15" customHeight="1" x14ac:dyDescent="0.2">
      <c r="A61" s="7" t="s">
        <v>247</v>
      </c>
      <c r="B61" s="7" t="s">
        <v>55</v>
      </c>
      <c r="C61" s="7" t="s">
        <v>191</v>
      </c>
      <c r="D61" s="7">
        <v>31</v>
      </c>
      <c r="E61" s="7">
        <v>82</v>
      </c>
      <c r="F61" s="7">
        <f>ROUND(34/E61,3)</f>
        <v>0.41499999999999998</v>
      </c>
      <c r="G61" s="7">
        <f>ROUND(35/E61,3)</f>
        <v>0.42699999999999999</v>
      </c>
      <c r="H61" s="7">
        <f>ROUND(250/E61,3)</f>
        <v>3.0489999999999999</v>
      </c>
      <c r="I61" s="7">
        <f>ROUND(38/E61,3)</f>
        <v>0.46300000000000002</v>
      </c>
      <c r="J61" s="7">
        <f>ROUND(47/E61,3)</f>
        <v>0.57299999999999995</v>
      </c>
      <c r="K61" s="7">
        <f t="shared" si="1"/>
        <v>9.7355</v>
      </c>
      <c r="L61" s="7">
        <f>ROUND(1482.85/E61,3)</f>
        <v>18.084</v>
      </c>
      <c r="M61" s="7">
        <f>ROUND(28/E61,3)</f>
        <v>0.34100000000000003</v>
      </c>
      <c r="N61" s="7" t="s">
        <v>875</v>
      </c>
      <c r="O61" s="7" t="s">
        <v>876</v>
      </c>
      <c r="P61" s="7">
        <f>ROUND(419/E61,3)</f>
        <v>5.1100000000000003</v>
      </c>
      <c r="Q61" s="7">
        <f>ROUND(332/E61,3)</f>
        <v>4.0490000000000004</v>
      </c>
      <c r="R61" s="7">
        <f>ROUND(284/E61,3)</f>
        <v>3.4630000000000001</v>
      </c>
      <c r="S61" s="7">
        <f>ROUND(111/E61,3)</f>
        <v>1.3540000000000001</v>
      </c>
      <c r="T61" s="7">
        <f>ROUND(28/E61,3)</f>
        <v>0.34100000000000003</v>
      </c>
      <c r="U61" s="7">
        <f>ROUND(45/E61,3)</f>
        <v>0.54900000000000004</v>
      </c>
      <c r="V61" s="7">
        <f>ROUND(39/E61,3)</f>
        <v>0.47599999999999998</v>
      </c>
      <c r="W61" s="7">
        <f>ROUND(27.82/E61,3)</f>
        <v>0.33900000000000002</v>
      </c>
      <c r="X61" s="7">
        <v>0.54</v>
      </c>
      <c r="Y61" s="7">
        <v>0.54</v>
      </c>
      <c r="Z61" s="7">
        <v>0.54</v>
      </c>
      <c r="AA61" s="7">
        <f>ROUND(66.75/E61,3)</f>
        <v>0.81399999999999995</v>
      </c>
      <c r="AB61" s="7">
        <f>ROUND(31/E61,3)</f>
        <v>0.378</v>
      </c>
      <c r="AC61" s="7">
        <v>8475754</v>
      </c>
    </row>
    <row r="62" spans="1:29" ht="15" customHeight="1" x14ac:dyDescent="0.2">
      <c r="A62" s="7" t="s">
        <v>250</v>
      </c>
      <c r="B62" s="7" t="s">
        <v>55</v>
      </c>
      <c r="C62" s="7" t="s">
        <v>84</v>
      </c>
      <c r="D62" s="7">
        <v>26</v>
      </c>
      <c r="E62" s="7">
        <v>78</v>
      </c>
      <c r="F62" s="7">
        <f>ROUND(21/E62,3)</f>
        <v>0.26900000000000002</v>
      </c>
      <c r="G62" s="7">
        <f>ROUND(38/E62,3)</f>
        <v>0.48699999999999999</v>
      </c>
      <c r="H62" s="7">
        <f>ROUND(148/E62,3)</f>
        <v>1.897</v>
      </c>
      <c r="I62" s="7">
        <f>ROUND(106/E62,3)</f>
        <v>1.359</v>
      </c>
      <c r="J62" s="7">
        <f>ROUND(34/E62,3)</f>
        <v>0.436</v>
      </c>
      <c r="K62" s="7">
        <f t="shared" si="1"/>
        <v>8.0865000000000009</v>
      </c>
      <c r="L62" s="7">
        <f>ROUND(1412.2666666667/E62,3)</f>
        <v>18.106000000000002</v>
      </c>
      <c r="M62" s="7">
        <f>ROUND(18/E62,3)</f>
        <v>0.23100000000000001</v>
      </c>
      <c r="N62" s="7" t="s">
        <v>877</v>
      </c>
      <c r="O62" s="7" t="s">
        <v>878</v>
      </c>
      <c r="P62" s="7">
        <f>ROUND(258/E62,3)</f>
        <v>3.3079999999999998</v>
      </c>
      <c r="Q62" s="7">
        <f>ROUND(211/E62,3)</f>
        <v>2.7050000000000001</v>
      </c>
      <c r="R62" s="7">
        <f>ROUND(188/E62,3)</f>
        <v>2.41</v>
      </c>
      <c r="S62" s="7">
        <f>ROUND(97/E62,3)</f>
        <v>1.244</v>
      </c>
      <c r="T62" s="7">
        <f>ROUND(19.82/E62,3)</f>
        <v>0.254</v>
      </c>
      <c r="U62" s="7">
        <f>ROUND(35/E62,3)</f>
        <v>0.44900000000000001</v>
      </c>
      <c r="V62" s="7">
        <f>ROUND(28/E62,3)</f>
        <v>0.35899999999999999</v>
      </c>
      <c r="W62" s="7">
        <f>ROUND(18.46/E62,3)</f>
        <v>0.23699999999999999</v>
      </c>
      <c r="X62" s="7">
        <v>0.52</v>
      </c>
      <c r="Y62" s="7">
        <v>0.52</v>
      </c>
      <c r="Z62" s="7">
        <v>0.52</v>
      </c>
      <c r="AA62" s="7">
        <f>ROUND(53.17/E62,3)</f>
        <v>0.68200000000000005</v>
      </c>
      <c r="AB62" s="7">
        <f>ROUND(18/E62,3)</f>
        <v>0.23100000000000001</v>
      </c>
      <c r="AC62" s="7">
        <v>8478401</v>
      </c>
    </row>
    <row r="63" spans="1:29" ht="15" customHeight="1" x14ac:dyDescent="0.2">
      <c r="A63" s="7" t="s">
        <v>253</v>
      </c>
      <c r="B63" s="7" t="s">
        <v>60</v>
      </c>
      <c r="C63" s="7" t="s">
        <v>114</v>
      </c>
      <c r="D63" s="7">
        <v>31</v>
      </c>
      <c r="E63" s="7">
        <v>62</v>
      </c>
      <c r="F63" s="7">
        <f>ROUND(28/E63,3)</f>
        <v>0.45200000000000001</v>
      </c>
      <c r="G63" s="7">
        <f>ROUND(28/E63,3)</f>
        <v>0.45200000000000001</v>
      </c>
      <c r="H63" s="7">
        <f>ROUND(196/E63,3)</f>
        <v>3.161</v>
      </c>
      <c r="I63" s="7">
        <f>ROUND(47/E63,3)</f>
        <v>0.75800000000000001</v>
      </c>
      <c r="J63" s="7">
        <f>ROUND(51/E63,3)</f>
        <v>0.82299999999999995</v>
      </c>
      <c r="K63" s="7">
        <f t="shared" si="1"/>
        <v>10.691000000000001</v>
      </c>
      <c r="L63" s="7">
        <f>ROUND(1213.85/E63,3)</f>
        <v>19.577999999999999</v>
      </c>
      <c r="M63" s="7">
        <f>ROUND(20/E63,3)</f>
        <v>0.32300000000000001</v>
      </c>
      <c r="N63" s="7" t="s">
        <v>879</v>
      </c>
      <c r="O63" s="7" t="s">
        <v>100</v>
      </c>
      <c r="P63" s="7">
        <f>ROUND(343/E63,3)</f>
        <v>5.532</v>
      </c>
      <c r="Q63" s="7">
        <f>ROUND(286/E63,3)</f>
        <v>4.6130000000000004</v>
      </c>
      <c r="R63" s="7">
        <f>ROUND(222/E63,3)</f>
        <v>3.581</v>
      </c>
      <c r="S63" s="7">
        <f>ROUND(106/E63,3)</f>
        <v>1.71</v>
      </c>
      <c r="T63" s="7">
        <f>ROUND(25.96/E63,3)</f>
        <v>0.41899999999999998</v>
      </c>
      <c r="U63" s="7">
        <f>ROUND(34/E63,3)</f>
        <v>0.54800000000000004</v>
      </c>
      <c r="V63" s="7">
        <f>ROUND(29/E63,3)</f>
        <v>0.46800000000000003</v>
      </c>
      <c r="W63" s="7">
        <f>ROUND(24.25/E63,3)</f>
        <v>0.39100000000000001</v>
      </c>
      <c r="X63" s="7">
        <v>0.56999999999999995</v>
      </c>
      <c r="Y63" s="7">
        <v>0.55000000000000004</v>
      </c>
      <c r="Z63" s="7">
        <v>0.54</v>
      </c>
      <c r="AA63" s="7">
        <f>ROUND(62.41/E63,3)</f>
        <v>1.0069999999999999</v>
      </c>
      <c r="AB63" s="7">
        <f>ROUND(30/E63,3)</f>
        <v>0.48399999999999999</v>
      </c>
      <c r="AC63" s="7">
        <v>8475810</v>
      </c>
    </row>
    <row r="64" spans="1:29" ht="15" customHeight="1" x14ac:dyDescent="0.2">
      <c r="A64" s="7" t="s">
        <v>257</v>
      </c>
      <c r="B64" s="7" t="s">
        <v>60</v>
      </c>
      <c r="C64" s="7" t="s">
        <v>102</v>
      </c>
      <c r="D64" s="7">
        <v>22</v>
      </c>
      <c r="E64" s="7">
        <v>47</v>
      </c>
      <c r="F64" s="7">
        <f>ROUND(13/E64,3)</f>
        <v>0.27700000000000002</v>
      </c>
      <c r="G64" s="7">
        <f>ROUND(11/E64,3)</f>
        <v>0.23400000000000001</v>
      </c>
      <c r="H64" s="7">
        <f>ROUND(97/E64,3)</f>
        <v>2.0640000000000001</v>
      </c>
      <c r="I64" s="7">
        <f>ROUND(18/E64,3)</f>
        <v>0.38300000000000001</v>
      </c>
      <c r="J64" s="7">
        <f>ROUND(23/E64,3)</f>
        <v>0.48899999999999999</v>
      </c>
      <c r="K64" s="7">
        <f t="shared" si="1"/>
        <v>6.3644999999999996</v>
      </c>
      <c r="L64" s="7">
        <f>ROUND(624/E64,3)</f>
        <v>13.276999999999999</v>
      </c>
      <c r="M64" s="7">
        <f>ROUND(12/E64,3)</f>
        <v>0.255</v>
      </c>
      <c r="N64" s="7" t="s">
        <v>880</v>
      </c>
      <c r="O64" s="7" t="s">
        <v>881</v>
      </c>
      <c r="P64" s="7">
        <f>ROUND(174/E64,3)</f>
        <v>3.702</v>
      </c>
      <c r="Q64" s="7">
        <f>ROUND(141/E64,3)</f>
        <v>3</v>
      </c>
      <c r="R64" s="7">
        <f>ROUND(108/E64,3)</f>
        <v>2.298</v>
      </c>
      <c r="S64" s="7">
        <f>ROUND(51/E64,3)</f>
        <v>1.085</v>
      </c>
      <c r="T64" s="7">
        <f>ROUND(12.07/E64,3)</f>
        <v>0.25700000000000001</v>
      </c>
      <c r="U64" s="7">
        <f>ROUND(14/E64,3)</f>
        <v>0.29799999999999999</v>
      </c>
      <c r="V64" s="7">
        <f>ROUND(19/E64,3)</f>
        <v>0.40400000000000003</v>
      </c>
      <c r="W64" s="7">
        <f>ROUND(10.96/E64,3)</f>
        <v>0.23300000000000001</v>
      </c>
      <c r="X64" s="7">
        <v>0.55000000000000004</v>
      </c>
      <c r="Y64" s="7">
        <v>0.53</v>
      </c>
      <c r="Z64" s="7">
        <v>0.54</v>
      </c>
      <c r="AA64" s="7">
        <f>ROUND(28.07/E64,3)</f>
        <v>0.59699999999999998</v>
      </c>
      <c r="AB64" s="7">
        <f>ROUND(11/E64,3)</f>
        <v>0.23400000000000001</v>
      </c>
      <c r="AC64" s="7">
        <v>8481604</v>
      </c>
    </row>
    <row r="65" spans="1:29" ht="15" customHeight="1" x14ac:dyDescent="0.2">
      <c r="A65" s="7" t="s">
        <v>258</v>
      </c>
      <c r="B65" s="7" t="s">
        <v>60</v>
      </c>
      <c r="C65" s="7" t="s">
        <v>882</v>
      </c>
      <c r="D65" s="7">
        <v>29</v>
      </c>
      <c r="E65" s="7">
        <v>74</v>
      </c>
      <c r="F65" s="7">
        <f>ROUND(23/E65,3)</f>
        <v>0.311</v>
      </c>
      <c r="G65" s="7">
        <f>ROUND(21/E65,3)</f>
        <v>0.28399999999999997</v>
      </c>
      <c r="H65" s="7">
        <f>ROUND(113/E65,3)</f>
        <v>1.5269999999999999</v>
      </c>
      <c r="I65" s="7">
        <f>ROUND(55/E65,3)</f>
        <v>0.74299999999999999</v>
      </c>
      <c r="J65" s="7">
        <f>ROUND(31/E65,3)</f>
        <v>0.41899999999999998</v>
      </c>
      <c r="K65" s="7">
        <f t="shared" si="1"/>
        <v>6.5095000000000001</v>
      </c>
      <c r="L65" s="7">
        <f>ROUND(1052.5833333333/E65,3)</f>
        <v>14.224</v>
      </c>
      <c r="M65" s="7">
        <f>ROUND(25/E65,3)</f>
        <v>0.33800000000000002</v>
      </c>
      <c r="N65" s="7" t="s">
        <v>883</v>
      </c>
      <c r="O65" s="7" t="s">
        <v>884</v>
      </c>
      <c r="P65" s="7">
        <f>ROUND(219/E65,3)</f>
        <v>2.9590000000000001</v>
      </c>
      <c r="Q65" s="7">
        <f>ROUND(163/E65,3)</f>
        <v>2.2029999999999998</v>
      </c>
      <c r="R65" s="7">
        <f>ROUND(127/E65,3)</f>
        <v>1.716</v>
      </c>
      <c r="S65" s="7">
        <f>ROUND(69/E65,3)</f>
        <v>0.93200000000000005</v>
      </c>
      <c r="T65" s="7">
        <f>ROUND(13.97/E65,3)</f>
        <v>0.189</v>
      </c>
      <c r="U65" s="7">
        <f>ROUND(22/E65,3)</f>
        <v>0.29699999999999999</v>
      </c>
      <c r="V65" s="7">
        <f>ROUND(23/E65,3)</f>
        <v>0.311</v>
      </c>
      <c r="W65" s="7">
        <f>ROUND(13.92/E65,3)</f>
        <v>0.188</v>
      </c>
      <c r="X65" s="7">
        <v>0.59</v>
      </c>
      <c r="Y65" s="7">
        <v>0.56000000000000005</v>
      </c>
      <c r="Z65" s="7">
        <v>0.56999999999999995</v>
      </c>
      <c r="AA65" s="7">
        <f>ROUND(45.07/E65,3)</f>
        <v>0.60899999999999999</v>
      </c>
      <c r="AB65" s="7">
        <f>ROUND(17/E65,3)</f>
        <v>0.23</v>
      </c>
      <c r="AC65" s="7">
        <v>8477511</v>
      </c>
    </row>
    <row r="66" spans="1:29" ht="15" customHeight="1" x14ac:dyDescent="0.2">
      <c r="A66" s="7" t="s">
        <v>263</v>
      </c>
      <c r="B66" s="7" t="s">
        <v>92</v>
      </c>
      <c r="C66" s="7" t="s">
        <v>259</v>
      </c>
      <c r="D66" s="7">
        <v>38</v>
      </c>
      <c r="E66" s="7">
        <v>79</v>
      </c>
      <c r="F66" s="7">
        <f>ROUND(31/E66,3)</f>
        <v>0.39200000000000002</v>
      </c>
      <c r="G66" s="7">
        <f>ROUND(34/E66,3)</f>
        <v>0.43</v>
      </c>
      <c r="H66" s="7">
        <f>ROUND(272/E66,3)</f>
        <v>3.4430000000000001</v>
      </c>
      <c r="I66" s="7">
        <f>ROUND(164/E66,3)</f>
        <v>2.0760000000000001</v>
      </c>
      <c r="J66" s="7">
        <f>ROUND(27/E66,3)</f>
        <v>0.34200000000000003</v>
      </c>
      <c r="K66" s="7">
        <f t="shared" si="1"/>
        <v>10.539000000000001</v>
      </c>
      <c r="L66" s="7">
        <f>ROUND(1518.4666666667/E66,3)</f>
        <v>19.221</v>
      </c>
      <c r="M66" s="7">
        <f>ROUND(20/E66,3)</f>
        <v>0.253</v>
      </c>
      <c r="N66" s="7" t="s">
        <v>651</v>
      </c>
      <c r="O66" s="7" t="s">
        <v>670</v>
      </c>
      <c r="P66" s="7">
        <f>ROUND(605/E66,3)</f>
        <v>7.6580000000000004</v>
      </c>
      <c r="Q66" s="7">
        <f>ROUND(395/E66,3)</f>
        <v>5</v>
      </c>
      <c r="R66" s="7">
        <f>ROUND(245/E66,3)</f>
        <v>3.101</v>
      </c>
      <c r="S66" s="7">
        <f>ROUND(83/E66,3)</f>
        <v>1.0509999999999999</v>
      </c>
      <c r="T66" s="7">
        <f>ROUND(29.89/E66,3)</f>
        <v>0.378</v>
      </c>
      <c r="U66" s="7">
        <f>ROUND(35/E66,3)</f>
        <v>0.443</v>
      </c>
      <c r="V66" s="7">
        <f>ROUND(26/E66,3)</f>
        <v>0.32900000000000001</v>
      </c>
      <c r="W66" s="7">
        <f>ROUND(30.54/E66,3)</f>
        <v>0.38700000000000001</v>
      </c>
      <c r="X66" s="7">
        <v>0.57999999999999996</v>
      </c>
      <c r="Y66" s="7">
        <v>0.56999999999999995</v>
      </c>
      <c r="Z66" s="7">
        <v>0.56000000000000005</v>
      </c>
      <c r="AA66" s="7">
        <f>ROUND(59.38/E66,3)</f>
        <v>0.752</v>
      </c>
      <c r="AB66" s="7">
        <f>ROUND(30/E66,3)</f>
        <v>0.38</v>
      </c>
      <c r="AC66" s="7">
        <v>8471214</v>
      </c>
    </row>
    <row r="67" spans="1:29" ht="15" customHeight="1" x14ac:dyDescent="0.2">
      <c r="A67" s="7" t="s">
        <v>266</v>
      </c>
      <c r="B67" s="7" t="s">
        <v>55</v>
      </c>
      <c r="C67" s="7" t="s">
        <v>180</v>
      </c>
      <c r="D67" s="7">
        <v>24</v>
      </c>
      <c r="E67" s="7">
        <v>82</v>
      </c>
      <c r="F67" s="7">
        <f>ROUND(26/E67,3)</f>
        <v>0.317</v>
      </c>
      <c r="G67" s="7">
        <f>ROUND(60/E67,3)</f>
        <v>0.73199999999999998</v>
      </c>
      <c r="H67" s="7">
        <f>ROUND(170/E67,3)</f>
        <v>2.073</v>
      </c>
      <c r="I67" s="7">
        <f>ROUND(16/E67,3)</f>
        <v>0.19500000000000001</v>
      </c>
      <c r="J67" s="7">
        <f>ROUND(47/E67,3)</f>
        <v>0.57299999999999995</v>
      </c>
      <c r="K67" s="7">
        <f t="shared" si="1"/>
        <v>9.6715</v>
      </c>
      <c r="L67" s="7">
        <f>ROUND(1719.25/E67,3)</f>
        <v>20.966000000000001</v>
      </c>
      <c r="M67" s="7">
        <f>ROUND(48/E67,3)</f>
        <v>0.58499999999999996</v>
      </c>
      <c r="N67" s="7" t="s">
        <v>885</v>
      </c>
      <c r="O67" s="7" t="s">
        <v>886</v>
      </c>
      <c r="P67" s="7">
        <f>ROUND(326/E67,3)</f>
        <v>3.976</v>
      </c>
      <c r="Q67" s="7">
        <f>ROUND(243/E67,3)</f>
        <v>2.9630000000000001</v>
      </c>
      <c r="R67" s="7">
        <f>ROUND(199/E67,3)</f>
        <v>2.427</v>
      </c>
      <c r="S67" s="7">
        <f>ROUND(79/E67,3)</f>
        <v>0.96299999999999997</v>
      </c>
      <c r="T67" s="7">
        <f>ROUND(22.6/E67,3)</f>
        <v>0.27600000000000002</v>
      </c>
      <c r="U67" s="7">
        <f>ROUND(54/E67,3)</f>
        <v>0.65900000000000003</v>
      </c>
      <c r="V67" s="7">
        <f>ROUND(70/E67,3)</f>
        <v>0.85399999999999998</v>
      </c>
      <c r="W67" s="7">
        <f>ROUND(22.59/E67,3)</f>
        <v>0.27500000000000002</v>
      </c>
      <c r="X67" s="7">
        <v>0.52</v>
      </c>
      <c r="Y67" s="7">
        <v>0.53</v>
      </c>
      <c r="Z67" s="7">
        <v>0.52</v>
      </c>
      <c r="AA67" s="7">
        <f>ROUND(74.78/E67,3)</f>
        <v>0.91200000000000003</v>
      </c>
      <c r="AB67" s="7">
        <f>ROUND(26/E67,3)</f>
        <v>0.317</v>
      </c>
      <c r="AC67" s="7">
        <v>8480023</v>
      </c>
    </row>
    <row r="68" spans="1:29" ht="15" customHeight="1" x14ac:dyDescent="0.2">
      <c r="A68" s="7" t="s">
        <v>268</v>
      </c>
      <c r="B68" s="7" t="s">
        <v>60</v>
      </c>
      <c r="C68" s="7" t="s">
        <v>259</v>
      </c>
      <c r="D68" s="7">
        <v>29</v>
      </c>
      <c r="E68" s="7">
        <v>74</v>
      </c>
      <c r="F68" s="7">
        <f>ROUND(18/E68,3)</f>
        <v>0.24299999999999999</v>
      </c>
      <c r="G68" s="7">
        <f>ROUND(17/E68,3)</f>
        <v>0.23</v>
      </c>
      <c r="H68" s="7">
        <f>ROUND(169/E68,3)</f>
        <v>2.2839999999999998</v>
      </c>
      <c r="I68" s="7">
        <f>ROUND(228/E68,3)</f>
        <v>3.081</v>
      </c>
      <c r="J68" s="7">
        <f>ROUND(74/E68,3)</f>
        <v>1</v>
      </c>
      <c r="K68" s="7">
        <f t="shared" si="1"/>
        <v>8.1485000000000003</v>
      </c>
      <c r="L68" s="7">
        <f>ROUND(1339.55/E68,3)</f>
        <v>18.102</v>
      </c>
      <c r="M68" s="7">
        <f>ROUND(133/E68,3)</f>
        <v>1.7969999999999999</v>
      </c>
      <c r="N68" s="7" t="s">
        <v>887</v>
      </c>
      <c r="O68" s="7" t="s">
        <v>888</v>
      </c>
      <c r="P68" s="7">
        <f>ROUND(320/E68,3)</f>
        <v>4.3239999999999998</v>
      </c>
      <c r="Q68" s="7">
        <f>ROUND(243/E68,3)</f>
        <v>3.2839999999999998</v>
      </c>
      <c r="R68" s="7">
        <f>ROUND(197/E68,3)</f>
        <v>2.6619999999999999</v>
      </c>
      <c r="S68" s="7">
        <f>ROUND(109/E68,3)</f>
        <v>1.4730000000000001</v>
      </c>
      <c r="T68" s="7">
        <f>ROUND(25.47/E68,3)</f>
        <v>0.34399999999999997</v>
      </c>
      <c r="U68" s="7">
        <f>ROUND(50/E68,3)</f>
        <v>0.67600000000000005</v>
      </c>
      <c r="V68" s="7">
        <f>ROUND(46/E68,3)</f>
        <v>0.622</v>
      </c>
      <c r="W68" s="7">
        <f>ROUND(23.96/E68,3)</f>
        <v>0.32400000000000001</v>
      </c>
      <c r="X68" s="7">
        <v>0.51</v>
      </c>
      <c r="Y68" s="7">
        <v>0.51</v>
      </c>
      <c r="Z68" s="7">
        <v>0.5</v>
      </c>
      <c r="AA68" s="7">
        <f>ROUND(36.22/E68,3)</f>
        <v>0.48899999999999999</v>
      </c>
      <c r="AB68" s="7">
        <f>ROUND(24/E68,3)</f>
        <v>0.32400000000000001</v>
      </c>
      <c r="AC68" s="7">
        <v>8476880</v>
      </c>
    </row>
    <row r="69" spans="1:29" ht="15" customHeight="1" x14ac:dyDescent="0.2">
      <c r="A69" s="7" t="s">
        <v>272</v>
      </c>
      <c r="B69" s="7" t="s">
        <v>60</v>
      </c>
      <c r="D69" s="7">
        <v>17</v>
      </c>
      <c r="K69" s="7"/>
      <c r="AC69" s="7">
        <v>8484984</v>
      </c>
    </row>
    <row r="70" spans="1:29" ht="15" customHeight="1" x14ac:dyDescent="0.2">
      <c r="A70" s="7" t="s">
        <v>273</v>
      </c>
      <c r="B70" s="7" t="s">
        <v>55</v>
      </c>
      <c r="C70" s="7" t="s">
        <v>274</v>
      </c>
      <c r="D70" s="7">
        <v>27</v>
      </c>
      <c r="E70" s="7">
        <v>82</v>
      </c>
      <c r="F70" s="7">
        <f>ROUND(57/E70,3)</f>
        <v>0.69499999999999995</v>
      </c>
      <c r="G70" s="7">
        <f>ROUND(37/E70,3)</f>
        <v>0.45100000000000001</v>
      </c>
      <c r="H70" s="7">
        <f>ROUND(233/E70,3)</f>
        <v>2.8410000000000002</v>
      </c>
      <c r="I70" s="7">
        <f>ROUND(78/E70,3)</f>
        <v>0.95099999999999996</v>
      </c>
      <c r="J70" s="7">
        <f>ROUND(66/E70,3)</f>
        <v>0.80500000000000005</v>
      </c>
      <c r="K70" s="7">
        <f>8*F70+6*G70+1*H70+1*J70+0.5*I70</f>
        <v>12.387499999999999</v>
      </c>
      <c r="L70" s="7">
        <f>ROUND(1664.5833333333/E70,3)</f>
        <v>20.3</v>
      </c>
      <c r="M70" s="7">
        <f>ROUND(31/E70,3)</f>
        <v>0.378</v>
      </c>
      <c r="N70" s="7" t="s">
        <v>889</v>
      </c>
      <c r="O70" s="7" t="s">
        <v>890</v>
      </c>
      <c r="P70" s="7">
        <f>ROUND(446/E70,3)</f>
        <v>5.4390000000000001</v>
      </c>
      <c r="Q70" s="7">
        <f>ROUND(358/E70,3)</f>
        <v>4.3659999999999997</v>
      </c>
      <c r="R70" s="7">
        <f>ROUND(298/E70,3)</f>
        <v>3.6339999999999999</v>
      </c>
      <c r="S70" s="7">
        <f>ROUND(156/E70,3)</f>
        <v>1.9019999999999999</v>
      </c>
      <c r="T70" s="7">
        <f>ROUND(39.61/E70,3)</f>
        <v>0.48299999999999998</v>
      </c>
      <c r="U70" s="7">
        <f>ROUND(35/E70,3)</f>
        <v>0.42699999999999999</v>
      </c>
      <c r="V70" s="7">
        <f>ROUND(40/E70,3)</f>
        <v>0.48799999999999999</v>
      </c>
      <c r="W70" s="7">
        <f>ROUND(44.25/E70,3)</f>
        <v>0.54</v>
      </c>
      <c r="X70" s="7">
        <v>0.66</v>
      </c>
      <c r="Y70" s="7">
        <v>0.62</v>
      </c>
      <c r="Z70" s="7">
        <v>0.61</v>
      </c>
      <c r="AA70" s="7">
        <f>ROUND(106.15/E70,3)</f>
        <v>1.2949999999999999</v>
      </c>
      <c r="AB70" s="7">
        <f>ROUND(58/E70,3)</f>
        <v>0.70699999999999996</v>
      </c>
      <c r="AC70" s="7">
        <v>8477933</v>
      </c>
    </row>
    <row r="71" spans="1:29" ht="15" customHeight="1" x14ac:dyDescent="0.2">
      <c r="A71" s="7" t="s">
        <v>277</v>
      </c>
      <c r="B71" s="7" t="s">
        <v>92</v>
      </c>
      <c r="C71" s="7" t="s">
        <v>102</v>
      </c>
      <c r="D71" s="7">
        <v>27</v>
      </c>
      <c r="E71" s="7">
        <v>82</v>
      </c>
      <c r="F71" s="7">
        <f>ROUND(19/E71,3)</f>
        <v>0.23200000000000001</v>
      </c>
      <c r="G71" s="7">
        <f>ROUND(26/E71,3)</f>
        <v>0.317</v>
      </c>
      <c r="H71" s="7">
        <f>ROUND(122/E71,3)</f>
        <v>1.488</v>
      </c>
      <c r="I71" s="7">
        <f>ROUND(180/E71,3)</f>
        <v>2.1949999999999998</v>
      </c>
      <c r="J71" s="7">
        <f>ROUND(44/E71,3)</f>
        <v>0.53700000000000003</v>
      </c>
      <c r="K71" s="7">
        <f>8*F71+6*G71+1*H71+1*J71+0.5*I71</f>
        <v>6.8805000000000005</v>
      </c>
      <c r="L71" s="7">
        <f>ROUND(1321.2833333333/E71,3)</f>
        <v>16.113</v>
      </c>
      <c r="M71" s="7">
        <f>ROUND(42/E71,3)</f>
        <v>0.51200000000000001</v>
      </c>
      <c r="N71" s="7" t="s">
        <v>629</v>
      </c>
      <c r="O71" s="7" t="s">
        <v>891</v>
      </c>
      <c r="P71" s="7">
        <f>ROUND(236/E71,3)</f>
        <v>2.8780000000000001</v>
      </c>
      <c r="Q71" s="7">
        <f>ROUND(180/E71,3)</f>
        <v>2.1949999999999998</v>
      </c>
      <c r="R71" s="7">
        <f>ROUND(180/E71,3)</f>
        <v>2.1949999999999998</v>
      </c>
      <c r="S71" s="7">
        <f>ROUND(82/E71,3)</f>
        <v>1</v>
      </c>
      <c r="T71" s="7">
        <f>ROUND(17.18/E71,3)</f>
        <v>0.21</v>
      </c>
      <c r="U71" s="7">
        <f>ROUND(37/E71,3)</f>
        <v>0.45100000000000001</v>
      </c>
      <c r="V71" s="7">
        <f>ROUND(28/E71,3)</f>
        <v>0.34100000000000003</v>
      </c>
      <c r="W71" s="7">
        <f>ROUND(18.39/E71,3)</f>
        <v>0.224</v>
      </c>
      <c r="X71" s="7">
        <v>0.55000000000000004</v>
      </c>
      <c r="Y71" s="7">
        <v>0.51</v>
      </c>
      <c r="Z71" s="7">
        <v>0.53</v>
      </c>
      <c r="AA71" s="7">
        <f>ROUND(40.92/E71,3)</f>
        <v>0.499</v>
      </c>
      <c r="AB71" s="7">
        <f>ROUND(22/E71,3)</f>
        <v>0.26800000000000002</v>
      </c>
      <c r="AC71" s="7">
        <v>8477964</v>
      </c>
    </row>
    <row r="72" spans="1:29" ht="15" customHeight="1" x14ac:dyDescent="0.2">
      <c r="A72" s="7" t="s">
        <v>279</v>
      </c>
      <c r="B72" s="7" t="s">
        <v>55</v>
      </c>
      <c r="C72" s="7" t="s">
        <v>114</v>
      </c>
      <c r="D72" s="7">
        <v>37</v>
      </c>
      <c r="E72" s="7">
        <v>82</v>
      </c>
      <c r="F72" s="7">
        <f>ROUND(27/E72,3)</f>
        <v>0.32900000000000001</v>
      </c>
      <c r="G72" s="7">
        <f>ROUND(40/E72,3)</f>
        <v>0.48799999999999999</v>
      </c>
      <c r="H72" s="7">
        <f>ROUND(199/E72,3)</f>
        <v>2.427</v>
      </c>
      <c r="I72" s="7">
        <f>ROUND(29/E72,3)</f>
        <v>0.35399999999999998</v>
      </c>
      <c r="J72" s="7">
        <f>ROUND(42/E72,3)</f>
        <v>0.51200000000000001</v>
      </c>
      <c r="K72" s="7">
        <f>8*F72+6*G72+1*H72+1*J72+0.5*I72</f>
        <v>8.6760000000000002</v>
      </c>
      <c r="L72" s="7">
        <f>ROUND(1523.9333333333/E72,3)</f>
        <v>18.585000000000001</v>
      </c>
      <c r="M72" s="7">
        <f>ROUND(70/E72,3)</f>
        <v>0.85399999999999998</v>
      </c>
      <c r="N72" s="7" t="s">
        <v>892</v>
      </c>
      <c r="O72" s="7" t="s">
        <v>893</v>
      </c>
      <c r="P72" s="7">
        <f>ROUND(401/E72,3)</f>
        <v>4.8899999999999997</v>
      </c>
      <c r="Q72" s="7">
        <f>ROUND(280/E72,3)</f>
        <v>3.415</v>
      </c>
      <c r="R72" s="7">
        <f>ROUND(218/E72,3)</f>
        <v>2.6589999999999998</v>
      </c>
      <c r="S72" s="7">
        <f>ROUND(82/E72,3)</f>
        <v>1</v>
      </c>
      <c r="T72" s="7">
        <f>ROUND(23.72/E72,3)</f>
        <v>0.28899999999999998</v>
      </c>
      <c r="U72" s="7">
        <f>ROUND(56/E72,3)</f>
        <v>0.68300000000000005</v>
      </c>
      <c r="V72" s="7">
        <f>ROUND(90/E72,3)</f>
        <v>1.0980000000000001</v>
      </c>
      <c r="W72" s="7">
        <f>ROUND(25.18/E72,3)</f>
        <v>0.307</v>
      </c>
      <c r="X72" s="7">
        <v>0.6</v>
      </c>
      <c r="Y72" s="7">
        <v>0.6</v>
      </c>
      <c r="Z72" s="7">
        <v>0.57999999999999996</v>
      </c>
      <c r="AA72" s="7">
        <f>ROUND(68.69/E72,3)</f>
        <v>0.83799999999999997</v>
      </c>
      <c r="AB72" s="7">
        <f>ROUND(26/E72,3)</f>
        <v>0.317</v>
      </c>
      <c r="AC72" s="7">
        <v>8471215</v>
      </c>
    </row>
    <row r="73" spans="1:29" ht="15" customHeight="1" x14ac:dyDescent="0.2">
      <c r="A73" s="7" t="s">
        <v>282</v>
      </c>
      <c r="B73" s="7" t="s">
        <v>60</v>
      </c>
      <c r="D73" s="7">
        <v>17</v>
      </c>
      <c r="K73" s="7"/>
      <c r="AC73" s="7">
        <v>8484762</v>
      </c>
    </row>
    <row r="74" spans="1:29" ht="15" customHeight="1" x14ac:dyDescent="0.2">
      <c r="A74" s="7" t="s">
        <v>283</v>
      </c>
      <c r="B74" s="7" t="s">
        <v>55</v>
      </c>
      <c r="C74" s="7" t="s">
        <v>138</v>
      </c>
      <c r="D74" s="7">
        <v>22</v>
      </c>
      <c r="E74" s="7">
        <v>79</v>
      </c>
      <c r="F74" s="7">
        <f>ROUND(18/E74,3)</f>
        <v>0.22800000000000001</v>
      </c>
      <c r="G74" s="7">
        <f>ROUND(29/E74,3)</f>
        <v>0.36699999999999999</v>
      </c>
      <c r="H74" s="7">
        <f>ROUND(200/E74,3)</f>
        <v>2.532</v>
      </c>
      <c r="I74" s="7">
        <f>ROUND(107/E74,3)</f>
        <v>1.3540000000000001</v>
      </c>
      <c r="J74" s="7">
        <f>ROUND(27/E74,3)</f>
        <v>0.34200000000000003</v>
      </c>
      <c r="K74" s="7">
        <f>8*F74+6*G74+1*H74+1*J74+0.5*I74</f>
        <v>7.577</v>
      </c>
      <c r="L74" s="7">
        <f>ROUND(1360.8166666667/E74,3)</f>
        <v>17.225999999999999</v>
      </c>
      <c r="M74" s="7">
        <f>ROUND(42/E74,3)</f>
        <v>0.53200000000000003</v>
      </c>
      <c r="N74" s="7" t="s">
        <v>894</v>
      </c>
      <c r="O74" s="7" t="s">
        <v>895</v>
      </c>
      <c r="P74" s="7">
        <f>ROUND(367/E74,3)</f>
        <v>4.6459999999999999</v>
      </c>
      <c r="Q74" s="7">
        <f>ROUND(262/E74,3)</f>
        <v>3.3159999999999998</v>
      </c>
      <c r="R74" s="7">
        <f>ROUND(203/E74,3)</f>
        <v>2.57</v>
      </c>
      <c r="S74" s="7">
        <f>ROUND(82/E74,3)</f>
        <v>1.038</v>
      </c>
      <c r="T74" s="7">
        <f>ROUND(22.75/E74,3)</f>
        <v>0.28799999999999998</v>
      </c>
      <c r="U74" s="7">
        <f>ROUND(36/E74,3)</f>
        <v>0.45600000000000002</v>
      </c>
      <c r="V74" s="7">
        <f>ROUND(28/E74,3)</f>
        <v>0.35399999999999998</v>
      </c>
      <c r="W74" s="7">
        <f>ROUND(23.41/E74,3)</f>
        <v>0.29599999999999999</v>
      </c>
      <c r="X74" s="7">
        <v>0.5</v>
      </c>
      <c r="Y74" s="7">
        <v>0.52</v>
      </c>
      <c r="Z74" s="7">
        <v>0.52</v>
      </c>
      <c r="AA74" s="7">
        <f>ROUND(49.98/E74,3)</f>
        <v>0.63300000000000001</v>
      </c>
      <c r="AB74" s="7">
        <f>ROUND(28/E74,3)</f>
        <v>0.35399999999999998</v>
      </c>
      <c r="AC74" s="7">
        <v>8481528</v>
      </c>
    </row>
    <row r="75" spans="1:29" ht="15" customHeight="1" x14ac:dyDescent="0.2">
      <c r="A75" s="7" t="s">
        <v>286</v>
      </c>
      <c r="B75" s="7" t="s">
        <v>55</v>
      </c>
      <c r="C75" s="7" t="s">
        <v>380</v>
      </c>
      <c r="D75" s="7">
        <v>18</v>
      </c>
      <c r="E75" s="7">
        <v>49</v>
      </c>
      <c r="F75" s="7">
        <f>ROUND(12/E75,3)</f>
        <v>0.245</v>
      </c>
      <c r="G75" s="7">
        <f>ROUND(15/E75,3)</f>
        <v>0.30599999999999999</v>
      </c>
      <c r="H75" s="7">
        <f>ROUND(115/E75,3)</f>
        <v>2.347</v>
      </c>
      <c r="I75" s="7">
        <f>ROUND(63/E75,3)</f>
        <v>1.286</v>
      </c>
      <c r="J75" s="7">
        <f>ROUND(25/E75,3)</f>
        <v>0.51</v>
      </c>
      <c r="K75" s="7">
        <f>8*F75+6*G75+1*H75+1*J75+0.5*I75</f>
        <v>7.2959999999999994</v>
      </c>
      <c r="L75" s="7">
        <f>ROUND(769.8/E75,3)</f>
        <v>15.71</v>
      </c>
      <c r="M75" s="7">
        <f>ROUND(16/E75,3)</f>
        <v>0.32700000000000001</v>
      </c>
      <c r="N75" s="7" t="s">
        <v>262</v>
      </c>
      <c r="O75" s="7" t="s">
        <v>896</v>
      </c>
      <c r="P75" s="7">
        <f>ROUND(247/E75,3)</f>
        <v>5.0410000000000004</v>
      </c>
      <c r="Q75" s="7">
        <f>ROUND(170/E75,3)</f>
        <v>3.4689999999999999</v>
      </c>
      <c r="R75" s="7">
        <f>ROUND(121/E75,3)</f>
        <v>2.4689999999999999</v>
      </c>
      <c r="S75" s="7">
        <f>ROUND(31/E75,3)</f>
        <v>0.63300000000000001</v>
      </c>
      <c r="T75" s="7">
        <f>ROUND(12.42/E75,3)</f>
        <v>0.253</v>
      </c>
      <c r="U75" s="7">
        <f>ROUND(15/E75,3)</f>
        <v>0.30599999999999999</v>
      </c>
      <c r="V75" s="7">
        <f>ROUND(18/E75,3)</f>
        <v>0.36699999999999999</v>
      </c>
      <c r="W75" s="7">
        <f>ROUND(11.23/E75,3)</f>
        <v>0.22900000000000001</v>
      </c>
      <c r="X75" s="7">
        <v>0.5</v>
      </c>
      <c r="Y75" s="7">
        <v>0.54</v>
      </c>
      <c r="Z75" s="7">
        <v>0.52</v>
      </c>
      <c r="AA75" s="7">
        <f>ROUND(21.77/E75,3)</f>
        <v>0.44400000000000001</v>
      </c>
      <c r="AB75" s="7">
        <f>ROUND(11/E75,3)</f>
        <v>0.224</v>
      </c>
      <c r="AC75" s="7">
        <v>8484166</v>
      </c>
    </row>
    <row r="76" spans="1:29" ht="15" customHeight="1" x14ac:dyDescent="0.2">
      <c r="A76" s="7" t="s">
        <v>287</v>
      </c>
      <c r="B76" s="7" t="s">
        <v>55</v>
      </c>
      <c r="D76" s="7">
        <v>18</v>
      </c>
      <c r="K76" s="7"/>
      <c r="AC76" s="7">
        <v>8484227</v>
      </c>
    </row>
    <row r="77" spans="1:29" ht="15" customHeight="1" x14ac:dyDescent="0.2">
      <c r="A77" s="7" t="s">
        <v>288</v>
      </c>
      <c r="B77" s="7" t="s">
        <v>92</v>
      </c>
      <c r="C77" s="7" t="s">
        <v>135</v>
      </c>
      <c r="D77" s="7">
        <v>24</v>
      </c>
      <c r="E77" s="7">
        <v>81</v>
      </c>
      <c r="F77" s="7">
        <f>ROUND(37/E77,3)</f>
        <v>0.45700000000000002</v>
      </c>
      <c r="G77" s="7">
        <f>ROUND(37/E77,3)</f>
        <v>0.45700000000000002</v>
      </c>
      <c r="H77" s="7">
        <f>ROUND(357/E77,3)</f>
        <v>4.407</v>
      </c>
      <c r="I77" s="7">
        <f>ROUND(294/E77,3)</f>
        <v>3.63</v>
      </c>
      <c r="J77" s="7">
        <f>ROUND(34/E77,3)</f>
        <v>0.42</v>
      </c>
      <c r="K77" s="7">
        <f t="shared" ref="K77:K90" si="2">8*F77+6*G77+1*H77+1*J77+0.5*I77</f>
        <v>13.04</v>
      </c>
      <c r="L77" s="7">
        <f>ROUND(1550.5166666667/E77,3)</f>
        <v>19.141999999999999</v>
      </c>
      <c r="M77" s="7">
        <f>ROUND(134/E77,3)</f>
        <v>1.6539999999999999</v>
      </c>
      <c r="N77" s="7" t="s">
        <v>897</v>
      </c>
      <c r="O77" s="7" t="s">
        <v>898</v>
      </c>
      <c r="P77" s="7">
        <f>ROUND(574/E77,3)</f>
        <v>7.0860000000000003</v>
      </c>
      <c r="Q77" s="7">
        <f>ROUND(485/E77,3)</f>
        <v>5.9880000000000004</v>
      </c>
      <c r="R77" s="7">
        <f>ROUND(350/E77,3)</f>
        <v>4.3209999999999997</v>
      </c>
      <c r="S77" s="7">
        <f>ROUND(167/E77,3)</f>
        <v>2.0619999999999998</v>
      </c>
      <c r="T77" s="7">
        <f>ROUND(44.52/E77,3)</f>
        <v>0.55000000000000004</v>
      </c>
      <c r="U77" s="7">
        <f>ROUND(49/E77,3)</f>
        <v>0.60499999999999998</v>
      </c>
      <c r="V77" s="7">
        <f>ROUND(48/E77,3)</f>
        <v>0.59299999999999997</v>
      </c>
      <c r="W77" s="7">
        <f>ROUND(40.94/E77,3)</f>
        <v>0.505</v>
      </c>
      <c r="X77" s="7">
        <v>0.64</v>
      </c>
      <c r="Y77" s="7">
        <v>0.62</v>
      </c>
      <c r="Z77" s="7">
        <v>0.63</v>
      </c>
      <c r="AA77" s="7">
        <f>ROUND(98.72/E77,3)</f>
        <v>1.2190000000000001</v>
      </c>
      <c r="AB77" s="7">
        <f>ROUND(63/E77,3)</f>
        <v>0.77800000000000002</v>
      </c>
      <c r="AC77" s="7">
        <v>8480801</v>
      </c>
    </row>
    <row r="78" spans="1:29" ht="15" customHeight="1" x14ac:dyDescent="0.2">
      <c r="A78" s="7" t="s">
        <v>291</v>
      </c>
      <c r="B78" s="7" t="s">
        <v>92</v>
      </c>
      <c r="C78" s="7" t="s">
        <v>146</v>
      </c>
      <c r="D78" s="7">
        <v>28</v>
      </c>
      <c r="E78" s="7">
        <v>80</v>
      </c>
      <c r="F78" s="7">
        <f>ROUND(21/E78,3)</f>
        <v>0.26300000000000001</v>
      </c>
      <c r="G78" s="7">
        <f>ROUND(22/E78,3)</f>
        <v>0.27500000000000002</v>
      </c>
      <c r="H78" s="7">
        <f>ROUND(160/E78,3)</f>
        <v>2</v>
      </c>
      <c r="I78" s="7">
        <f>ROUND(98/E78,3)</f>
        <v>1.2250000000000001</v>
      </c>
      <c r="J78" s="7">
        <f>ROUND(44/E78,3)</f>
        <v>0.55000000000000004</v>
      </c>
      <c r="K78" s="7">
        <f t="shared" si="2"/>
        <v>6.9165000000000001</v>
      </c>
      <c r="L78" s="7">
        <f>ROUND(1283.65/E78,3)</f>
        <v>16.045999999999999</v>
      </c>
      <c r="M78" s="7">
        <f>ROUND(53/E78,3)</f>
        <v>0.66300000000000003</v>
      </c>
      <c r="N78" s="7" t="s">
        <v>899</v>
      </c>
      <c r="O78" s="7" t="s">
        <v>900</v>
      </c>
      <c r="P78" s="7">
        <f>ROUND(307/E78,3)</f>
        <v>3.8380000000000001</v>
      </c>
      <c r="Q78" s="7">
        <f>ROUND(239/E78,3)</f>
        <v>2.988</v>
      </c>
      <c r="R78" s="7">
        <f>ROUND(202/E78,3)</f>
        <v>2.5249999999999999</v>
      </c>
      <c r="S78" s="7">
        <f>ROUND(124/E78,3)</f>
        <v>1.55</v>
      </c>
      <c r="T78" s="7">
        <f>ROUND(24.55/E78,3)</f>
        <v>0.307</v>
      </c>
      <c r="U78" s="7">
        <f>ROUND(47/E78,3)</f>
        <v>0.58799999999999997</v>
      </c>
      <c r="V78" s="7">
        <f>ROUND(44/E78,3)</f>
        <v>0.55000000000000004</v>
      </c>
      <c r="W78" s="7">
        <f>ROUND(28.25/E78,3)</f>
        <v>0.35299999999999998</v>
      </c>
      <c r="X78" s="7">
        <v>0.6</v>
      </c>
      <c r="Y78" s="7">
        <v>0.56999999999999995</v>
      </c>
      <c r="Z78" s="7">
        <v>0.56000000000000005</v>
      </c>
      <c r="AA78" s="7">
        <f>ROUND(54.75/E78,3)</f>
        <v>0.68400000000000005</v>
      </c>
      <c r="AB78" s="7">
        <f>ROUND(45/E78,3)</f>
        <v>0.56299999999999994</v>
      </c>
      <c r="AC78" s="7">
        <v>8477479</v>
      </c>
    </row>
    <row r="79" spans="1:29" ht="15" customHeight="1" x14ac:dyDescent="0.2">
      <c r="A79" s="7" t="s">
        <v>293</v>
      </c>
      <c r="B79" s="7" t="s">
        <v>55</v>
      </c>
      <c r="C79" s="7" t="s">
        <v>274</v>
      </c>
      <c r="D79" s="7">
        <v>27</v>
      </c>
      <c r="E79" s="7">
        <v>69</v>
      </c>
      <c r="F79" s="7">
        <f>ROUND(20/E79,3)</f>
        <v>0.28999999999999998</v>
      </c>
      <c r="G79" s="7">
        <f>ROUND(21/E79,3)</f>
        <v>0.30399999999999999</v>
      </c>
      <c r="H79" s="7">
        <f>ROUND(171/E79,3)</f>
        <v>2.4780000000000002</v>
      </c>
      <c r="I79" s="7">
        <f>ROUND(173/E79,3)</f>
        <v>2.5070000000000001</v>
      </c>
      <c r="J79" s="7">
        <f>ROUND(43/E79,3)</f>
        <v>0.623</v>
      </c>
      <c r="K79" s="7">
        <f t="shared" si="2"/>
        <v>8.4984999999999999</v>
      </c>
      <c r="L79" s="7">
        <f>ROUND(1146.0833333333/E79,3)</f>
        <v>16.61</v>
      </c>
      <c r="M79" s="7">
        <f>ROUND(100/E79,3)</f>
        <v>1.4490000000000001</v>
      </c>
      <c r="N79" s="7" t="s">
        <v>901</v>
      </c>
      <c r="O79" s="7" t="s">
        <v>902</v>
      </c>
      <c r="P79" s="7">
        <f>ROUND(352/E79,3)</f>
        <v>5.101</v>
      </c>
      <c r="Q79" s="7">
        <f>ROUND(248/E79,3)</f>
        <v>3.5939999999999999</v>
      </c>
      <c r="R79" s="7">
        <f>ROUND(222/E79,3)</f>
        <v>3.2170000000000001</v>
      </c>
      <c r="S79" s="7">
        <f>ROUND(94/E79,3)</f>
        <v>1.3620000000000001</v>
      </c>
      <c r="T79" s="7">
        <f>ROUND(22.31/E79,3)</f>
        <v>0.32300000000000001</v>
      </c>
      <c r="U79" s="7">
        <f>ROUND(27/E79,3)</f>
        <v>0.39100000000000001</v>
      </c>
      <c r="V79" s="7">
        <f>ROUND(40/E79,3)</f>
        <v>0.57999999999999996</v>
      </c>
      <c r="W79" s="7">
        <f>ROUND(25.01/E79,3)</f>
        <v>0.36199999999999999</v>
      </c>
      <c r="X79" s="7">
        <v>0.64</v>
      </c>
      <c r="Y79" s="7">
        <v>0.62</v>
      </c>
      <c r="Z79" s="7">
        <v>0.6</v>
      </c>
      <c r="AA79" s="7">
        <f>ROUND(58.59/E79,3)</f>
        <v>0.84899999999999998</v>
      </c>
      <c r="AB79" s="7">
        <f>ROUND(28/E79,3)</f>
        <v>0.40600000000000003</v>
      </c>
      <c r="AC79" s="7">
        <v>8477935</v>
      </c>
    </row>
    <row r="80" spans="1:29" ht="15" customHeight="1" x14ac:dyDescent="0.2">
      <c r="A80" s="7" t="s">
        <v>296</v>
      </c>
      <c r="B80" s="7" t="s">
        <v>55</v>
      </c>
      <c r="C80" s="7" t="s">
        <v>904</v>
      </c>
      <c r="D80" s="7">
        <v>29</v>
      </c>
      <c r="E80" s="7">
        <v>54</v>
      </c>
      <c r="F80" s="7">
        <f>ROUND(17/E80,3)</f>
        <v>0.315</v>
      </c>
      <c r="G80" s="7">
        <f>ROUND(21/E80,3)</f>
        <v>0.38900000000000001</v>
      </c>
      <c r="H80" s="7">
        <f>ROUND(124/E80,3)</f>
        <v>2.2959999999999998</v>
      </c>
      <c r="I80" s="7">
        <f>ROUND(59/E80,3)</f>
        <v>1.093</v>
      </c>
      <c r="J80" s="7">
        <f>ROUND(49/E80,3)</f>
        <v>0.90700000000000003</v>
      </c>
      <c r="K80" s="7">
        <f t="shared" si="2"/>
        <v>8.6035000000000004</v>
      </c>
      <c r="L80" s="7">
        <f>ROUND(1106.4333333333/E80,3)</f>
        <v>20.49</v>
      </c>
      <c r="M80" s="7">
        <f>ROUND(22/E80,3)</f>
        <v>0.40699999999999997</v>
      </c>
      <c r="N80" s="7" t="s">
        <v>905</v>
      </c>
      <c r="O80" s="7" t="s">
        <v>906</v>
      </c>
      <c r="P80" s="7">
        <f>ROUND(237/E80,3)</f>
        <v>4.3890000000000002</v>
      </c>
      <c r="Q80" s="7">
        <f>ROUND(177/E80,3)</f>
        <v>3.278</v>
      </c>
      <c r="R80" s="7">
        <f>ROUND(134/E80,3)</f>
        <v>2.4809999999999999</v>
      </c>
      <c r="S80" s="7">
        <f>ROUND(72/E80,3)</f>
        <v>1.333</v>
      </c>
      <c r="T80" s="7">
        <f>ROUND(17.06/E80,3)</f>
        <v>0.316</v>
      </c>
      <c r="U80" s="7">
        <f>ROUND(13/E80,3)</f>
        <v>0.24099999999999999</v>
      </c>
      <c r="V80" s="7">
        <f>ROUND(37/E80,3)</f>
        <v>0.68500000000000005</v>
      </c>
      <c r="W80" s="7">
        <f>ROUND(17.23/E80,3)</f>
        <v>0.31900000000000001</v>
      </c>
      <c r="X80" s="7">
        <v>0.45</v>
      </c>
      <c r="Y80" s="7">
        <v>0.49</v>
      </c>
      <c r="Z80" s="7">
        <v>0.49</v>
      </c>
      <c r="AA80" s="7">
        <f>ROUND(32.27/E80,3)</f>
        <v>0.59799999999999998</v>
      </c>
      <c r="AB80" s="7">
        <f>ROUND(23/E80,3)</f>
        <v>0.42599999999999999</v>
      </c>
      <c r="AC80" s="7">
        <v>8476881</v>
      </c>
    </row>
    <row r="81" spans="1:29" ht="15" customHeight="1" x14ac:dyDescent="0.2">
      <c r="A81" s="7" t="s">
        <v>300</v>
      </c>
      <c r="B81" s="7" t="s">
        <v>55</v>
      </c>
      <c r="C81" s="7" t="s">
        <v>84</v>
      </c>
      <c r="D81" s="7">
        <v>31</v>
      </c>
      <c r="E81" s="7">
        <v>82</v>
      </c>
      <c r="F81" s="7">
        <f>ROUND(25/E81,3)</f>
        <v>0.30499999999999999</v>
      </c>
      <c r="G81" s="7">
        <f>ROUND(35/E81,3)</f>
        <v>0.42699999999999999</v>
      </c>
      <c r="H81" s="7">
        <f>ROUND(146/E81,3)</f>
        <v>1.78</v>
      </c>
      <c r="I81" s="7">
        <f>ROUND(131/E81,3)</f>
        <v>1.5980000000000001</v>
      </c>
      <c r="J81" s="7">
        <f>ROUND(60/E81,3)</f>
        <v>0.73199999999999998</v>
      </c>
      <c r="K81" s="7">
        <f t="shared" si="2"/>
        <v>8.3130000000000006</v>
      </c>
      <c r="L81" s="7">
        <f>ROUND(1481.45/E81,3)</f>
        <v>18.065999999999999</v>
      </c>
      <c r="M81" s="7">
        <f>ROUND(38/E81,3)</f>
        <v>0.46300000000000002</v>
      </c>
      <c r="N81" s="7" t="s">
        <v>262</v>
      </c>
      <c r="O81" s="7" t="s">
        <v>907</v>
      </c>
      <c r="P81" s="7">
        <f>ROUND(254/E81,3)</f>
        <v>3.0979999999999999</v>
      </c>
      <c r="Q81" s="7">
        <f>ROUND(209/E81,3)</f>
        <v>2.5489999999999999</v>
      </c>
      <c r="R81" s="7">
        <f>ROUND(168/E81,3)</f>
        <v>2.0489999999999999</v>
      </c>
      <c r="S81" s="7">
        <f>ROUND(104/E81,3)</f>
        <v>1.268</v>
      </c>
      <c r="T81" s="7">
        <f>ROUND(20.08/E81,3)</f>
        <v>0.245</v>
      </c>
      <c r="U81" s="7">
        <f>ROUND(36/E81,3)</f>
        <v>0.439</v>
      </c>
      <c r="V81" s="7">
        <f>ROUND(53/E81,3)</f>
        <v>0.64600000000000002</v>
      </c>
      <c r="W81" s="7">
        <f>ROUND(22.41/E81,3)</f>
        <v>0.27300000000000002</v>
      </c>
      <c r="X81" s="7">
        <v>0.47</v>
      </c>
      <c r="Y81" s="7">
        <v>0.45</v>
      </c>
      <c r="Z81" s="7">
        <v>0.45</v>
      </c>
      <c r="AA81" s="7">
        <f>ROUND(45.95/E81,3)</f>
        <v>0.56000000000000005</v>
      </c>
      <c r="AB81" s="7">
        <f>ROUND(32/E81,3)</f>
        <v>0.39</v>
      </c>
      <c r="AC81" s="7">
        <v>8475745</v>
      </c>
    </row>
    <row r="82" spans="1:29" ht="15" customHeight="1" x14ac:dyDescent="0.2">
      <c r="A82" s="7" t="s">
        <v>303</v>
      </c>
      <c r="B82" s="7" t="s">
        <v>55</v>
      </c>
      <c r="C82" s="7" t="s">
        <v>259</v>
      </c>
      <c r="D82" s="7">
        <v>26</v>
      </c>
      <c r="E82" s="7">
        <v>82</v>
      </c>
      <c r="F82" s="7">
        <f>ROUND(27/E82,3)</f>
        <v>0.32900000000000001</v>
      </c>
      <c r="G82" s="7">
        <f>ROUND(40/E82,3)</f>
        <v>0.48799999999999999</v>
      </c>
      <c r="H82" s="7">
        <f>ROUND(169/E82,3)</f>
        <v>2.0609999999999999</v>
      </c>
      <c r="I82" s="7">
        <f>ROUND(12/E82,3)</f>
        <v>0.14599999999999999</v>
      </c>
      <c r="J82" s="7">
        <f>ROUND(61/E82,3)</f>
        <v>0.74399999999999999</v>
      </c>
      <c r="K82" s="7">
        <f t="shared" si="2"/>
        <v>8.4380000000000006</v>
      </c>
      <c r="L82" s="7">
        <f>ROUND(1471.9/E82,3)</f>
        <v>17.95</v>
      </c>
      <c r="M82" s="7">
        <f>ROUND(22/E82,3)</f>
        <v>0.26800000000000002</v>
      </c>
      <c r="N82" s="7" t="s">
        <v>908</v>
      </c>
      <c r="O82" s="7" t="s">
        <v>909</v>
      </c>
      <c r="P82" s="7">
        <f>ROUND(309/E82,3)</f>
        <v>3.7679999999999998</v>
      </c>
      <c r="Q82" s="7">
        <f>ROUND(241/E82,3)</f>
        <v>2.9390000000000001</v>
      </c>
      <c r="R82" s="7">
        <f>ROUND(207/E82,3)</f>
        <v>2.524</v>
      </c>
      <c r="S82" s="7">
        <f>ROUND(110/E82,3)</f>
        <v>1.341</v>
      </c>
      <c r="T82" s="7">
        <f>ROUND(24.62/E82,3)</f>
        <v>0.3</v>
      </c>
      <c r="U82" s="7">
        <f>ROUND(35/E82,3)</f>
        <v>0.42699999999999999</v>
      </c>
      <c r="V82" s="7">
        <f>ROUND(41/E82,3)</f>
        <v>0.5</v>
      </c>
      <c r="W82" s="7">
        <f>ROUND(23.05/E82,3)</f>
        <v>0.28100000000000003</v>
      </c>
      <c r="X82" s="7">
        <v>0.59</v>
      </c>
      <c r="Y82" s="7">
        <v>0.56999999999999995</v>
      </c>
      <c r="Z82" s="7">
        <v>0.56999999999999995</v>
      </c>
      <c r="AA82" s="7">
        <f>ROUND(64.62/E82,3)</f>
        <v>0.78800000000000003</v>
      </c>
      <c r="AB82" s="7">
        <f>ROUND(29/E82,3)</f>
        <v>0.35399999999999998</v>
      </c>
      <c r="AC82" s="7">
        <v>8478440</v>
      </c>
    </row>
    <row r="83" spans="1:29" ht="15" customHeight="1" x14ac:dyDescent="0.2">
      <c r="A83" s="7" t="s">
        <v>306</v>
      </c>
      <c r="B83" s="7" t="s">
        <v>55</v>
      </c>
      <c r="C83" s="7" t="s">
        <v>191</v>
      </c>
      <c r="D83" s="7">
        <v>28</v>
      </c>
      <c r="E83" s="7">
        <v>81</v>
      </c>
      <c r="F83" s="7">
        <f>ROUND(33/E83,3)</f>
        <v>0.40699999999999997</v>
      </c>
      <c r="G83" s="7">
        <f>ROUND(35/E83,3)</f>
        <v>0.432</v>
      </c>
      <c r="H83" s="7">
        <f>ROUND(248/E83,3)</f>
        <v>3.0619999999999998</v>
      </c>
      <c r="I83" s="7">
        <f>ROUND(61/E83,3)</f>
        <v>0.753</v>
      </c>
      <c r="J83" s="7">
        <f>ROUND(42/E83,3)</f>
        <v>0.51900000000000002</v>
      </c>
      <c r="K83" s="7">
        <f t="shared" si="2"/>
        <v>9.8055000000000003</v>
      </c>
      <c r="L83" s="7">
        <f>ROUND(1595.2/E83,3)</f>
        <v>19.693999999999999</v>
      </c>
      <c r="M83" s="7">
        <f>ROUND(39/E83,3)</f>
        <v>0.48099999999999998</v>
      </c>
      <c r="N83" s="7" t="s">
        <v>910</v>
      </c>
      <c r="O83" s="7" t="s">
        <v>911</v>
      </c>
      <c r="P83" s="7">
        <f>ROUND(430/E83,3)</f>
        <v>5.3090000000000002</v>
      </c>
      <c r="Q83" s="7">
        <f>ROUND(339/E83,3)</f>
        <v>4.1849999999999996</v>
      </c>
      <c r="R83" s="7">
        <f>ROUND(273/E83,3)</f>
        <v>3.37</v>
      </c>
      <c r="S83" s="7">
        <f>ROUND(100/E83,3)</f>
        <v>1.2350000000000001</v>
      </c>
      <c r="T83" s="7">
        <f>ROUND(25.1/E83,3)</f>
        <v>0.31</v>
      </c>
      <c r="U83" s="7">
        <f>ROUND(44/E83,3)</f>
        <v>0.54300000000000004</v>
      </c>
      <c r="V83" s="7">
        <f>ROUND(35/E83,3)</f>
        <v>0.432</v>
      </c>
      <c r="W83" s="7">
        <f>ROUND(23.4/E83,3)</f>
        <v>0.28899999999999998</v>
      </c>
      <c r="X83" s="7">
        <v>0.53</v>
      </c>
      <c r="Y83" s="7">
        <v>0.55000000000000004</v>
      </c>
      <c r="Z83" s="7">
        <v>0.56000000000000005</v>
      </c>
      <c r="AA83" s="7">
        <f>ROUND(75.16/E83,3)</f>
        <v>0.92800000000000005</v>
      </c>
      <c r="AB83" s="7">
        <f>ROUND(22/E83,3)</f>
        <v>0.27200000000000002</v>
      </c>
      <c r="AC83" s="7">
        <v>8477500</v>
      </c>
    </row>
    <row r="84" spans="1:29" ht="15" customHeight="1" x14ac:dyDescent="0.2">
      <c r="A84" s="7" t="s">
        <v>310</v>
      </c>
      <c r="B84" s="7" t="s">
        <v>92</v>
      </c>
      <c r="C84" s="7" t="s">
        <v>131</v>
      </c>
      <c r="D84" s="7">
        <v>21</v>
      </c>
      <c r="E84" s="7">
        <v>82</v>
      </c>
      <c r="F84" s="7">
        <f>ROUND(28/E84,3)</f>
        <v>0.34100000000000003</v>
      </c>
      <c r="G84" s="7">
        <f>ROUND(29/E84,3)</f>
        <v>0.35399999999999998</v>
      </c>
      <c r="H84" s="7">
        <f>ROUND(217/E84,3)</f>
        <v>2.6459999999999999</v>
      </c>
      <c r="I84" s="7">
        <f>ROUND(73/E84,3)</f>
        <v>0.89</v>
      </c>
      <c r="J84" s="7">
        <f>ROUND(21/E84,3)</f>
        <v>0.25600000000000001</v>
      </c>
      <c r="K84" s="7">
        <f t="shared" si="2"/>
        <v>8.1989999999999998</v>
      </c>
      <c r="L84" s="7">
        <f>ROUND(1415.9/E84,3)</f>
        <v>17.266999999999999</v>
      </c>
      <c r="M84" s="7">
        <f>ROUND(40/E84,3)</f>
        <v>0.48799999999999999</v>
      </c>
      <c r="N84" s="7" t="s">
        <v>161</v>
      </c>
      <c r="O84" s="7" t="s">
        <v>912</v>
      </c>
      <c r="P84" s="7">
        <f>ROUND(400/E84,3)</f>
        <v>4.8780000000000001</v>
      </c>
      <c r="Q84" s="7">
        <f>ROUND(318/E84,3)</f>
        <v>3.8780000000000001</v>
      </c>
      <c r="R84" s="7">
        <f>ROUND(255/E84,3)</f>
        <v>3.11</v>
      </c>
      <c r="S84" s="7">
        <f>ROUND(117/E84,3)</f>
        <v>1.427</v>
      </c>
      <c r="T84" s="7">
        <f>ROUND(24.95/E84,3)</f>
        <v>0.30399999999999999</v>
      </c>
      <c r="U84" s="7">
        <f>ROUND(27/E84,3)</f>
        <v>0.32900000000000001</v>
      </c>
      <c r="V84" s="7">
        <f>ROUND(45/E84,3)</f>
        <v>0.54900000000000004</v>
      </c>
      <c r="W84" s="7">
        <f>ROUND(26.9/E84,3)</f>
        <v>0.32800000000000001</v>
      </c>
      <c r="X84" s="7">
        <v>0.54</v>
      </c>
      <c r="Y84" s="7">
        <v>0.57999999999999996</v>
      </c>
      <c r="Z84" s="7">
        <v>0.56999999999999995</v>
      </c>
      <c r="AA84" s="7">
        <f>ROUND(73.75/E84,3)</f>
        <v>0.89900000000000002</v>
      </c>
      <c r="AB84" s="7">
        <f>ROUND(31/E84,3)</f>
        <v>0.378</v>
      </c>
      <c r="AC84" s="7">
        <v>8482109</v>
      </c>
    </row>
    <row r="85" spans="1:29" ht="15" customHeight="1" x14ac:dyDescent="0.2">
      <c r="A85" s="7" t="s">
        <v>313</v>
      </c>
      <c r="B85" s="7" t="s">
        <v>60</v>
      </c>
      <c r="C85" s="7" t="s">
        <v>230</v>
      </c>
      <c r="D85" s="7">
        <v>26</v>
      </c>
      <c r="E85" s="7">
        <v>76</v>
      </c>
      <c r="F85" s="7">
        <f>ROUND(20/E85,3)</f>
        <v>0.26300000000000001</v>
      </c>
      <c r="G85" s="7">
        <f>ROUND(34/E85,3)</f>
        <v>0.44700000000000001</v>
      </c>
      <c r="H85" s="7">
        <f>ROUND(172/E85,3)</f>
        <v>2.2629999999999999</v>
      </c>
      <c r="I85" s="7">
        <f>ROUND(17/E85,3)</f>
        <v>0.224</v>
      </c>
      <c r="J85" s="7">
        <f>ROUND(30/E85,3)</f>
        <v>0.39500000000000002</v>
      </c>
      <c r="K85" s="7">
        <f t="shared" si="2"/>
        <v>7.5559999999999992</v>
      </c>
      <c r="L85" s="7">
        <f>ROUND(1389.8833333333/E85,3)</f>
        <v>18.288</v>
      </c>
      <c r="M85" s="7">
        <f>ROUND(24/E85,3)</f>
        <v>0.316</v>
      </c>
      <c r="N85" s="7" t="s">
        <v>824</v>
      </c>
      <c r="O85" s="7" t="s">
        <v>913</v>
      </c>
      <c r="P85" s="7">
        <f>ROUND(354/E85,3)</f>
        <v>4.6580000000000004</v>
      </c>
      <c r="Q85" s="7">
        <f>ROUND(267/E85,3)</f>
        <v>3.5129999999999999</v>
      </c>
      <c r="R85" s="7">
        <f>ROUND(175/E85,3)</f>
        <v>2.3029999999999999</v>
      </c>
      <c r="S85" s="7">
        <f>ROUND(56/E85,3)</f>
        <v>0.73699999999999999</v>
      </c>
      <c r="T85" s="7">
        <f>ROUND(17.39/E85,3)</f>
        <v>0.22900000000000001</v>
      </c>
      <c r="U85" s="7">
        <f>ROUND(44/E85,3)</f>
        <v>0.57899999999999996</v>
      </c>
      <c r="V85" s="7">
        <f>ROUND(45/E85,3)</f>
        <v>0.59199999999999997</v>
      </c>
      <c r="W85" s="7">
        <f>ROUND(18.27/E85,3)</f>
        <v>0.24</v>
      </c>
      <c r="X85" s="7">
        <v>0.54</v>
      </c>
      <c r="Y85" s="7">
        <v>0.55000000000000004</v>
      </c>
      <c r="Z85" s="7">
        <v>0.55000000000000004</v>
      </c>
      <c r="AA85" s="7">
        <f>ROUND(50.19/E85,3)</f>
        <v>0.66</v>
      </c>
      <c r="AB85" s="7">
        <f>ROUND(19/E85,3)</f>
        <v>0.25</v>
      </c>
      <c r="AC85" s="7">
        <v>8478873</v>
      </c>
    </row>
    <row r="86" spans="1:29" ht="15" customHeight="1" x14ac:dyDescent="0.2">
      <c r="A86" s="7" t="s">
        <v>317</v>
      </c>
      <c r="B86" s="7" t="s">
        <v>60</v>
      </c>
      <c r="C86" s="7" t="s">
        <v>160</v>
      </c>
      <c r="D86" s="7">
        <v>34</v>
      </c>
      <c r="E86" s="7">
        <v>50</v>
      </c>
      <c r="F86" s="7">
        <f>ROUND(20/E86,3)</f>
        <v>0.4</v>
      </c>
      <c r="G86" s="7">
        <f>ROUND(27/E86,3)</f>
        <v>0.54</v>
      </c>
      <c r="H86" s="7">
        <f>ROUND(147/E86,3)</f>
        <v>2.94</v>
      </c>
      <c r="I86" s="7">
        <f>ROUND(14/E86,3)</f>
        <v>0.28000000000000003</v>
      </c>
      <c r="J86" s="7">
        <f>ROUND(13/E86,3)</f>
        <v>0.26</v>
      </c>
      <c r="K86" s="7">
        <f t="shared" si="2"/>
        <v>9.7800000000000011</v>
      </c>
      <c r="L86" s="7">
        <f>ROUND(918.81666666667/E86,3)</f>
        <v>18.376000000000001</v>
      </c>
      <c r="M86" s="7">
        <f>ROUND(16/E86,3)</f>
        <v>0.32</v>
      </c>
      <c r="N86" s="7" t="s">
        <v>914</v>
      </c>
      <c r="O86" s="7" t="s">
        <v>915</v>
      </c>
      <c r="P86" s="7">
        <f>ROUND(266/E86,3)</f>
        <v>5.32</v>
      </c>
      <c r="Q86" s="7">
        <f>ROUND(194/E86,3)</f>
        <v>3.88</v>
      </c>
      <c r="R86" s="7">
        <f>ROUND(132/E86,3)</f>
        <v>2.64</v>
      </c>
      <c r="S86" s="7">
        <f>ROUND(41/E86,3)</f>
        <v>0.82</v>
      </c>
      <c r="T86" s="7">
        <f>ROUND(12.53/E86,3)</f>
        <v>0.251</v>
      </c>
      <c r="U86" s="7">
        <f>ROUND(30/E86,3)</f>
        <v>0.6</v>
      </c>
      <c r="V86" s="7">
        <f>ROUND(14/E86,3)</f>
        <v>0.28000000000000003</v>
      </c>
      <c r="W86" s="7">
        <f>ROUND(11.69/E86,3)</f>
        <v>0.23400000000000001</v>
      </c>
      <c r="X86" s="7">
        <v>0.56000000000000005</v>
      </c>
      <c r="Y86" s="7">
        <v>0.55000000000000004</v>
      </c>
      <c r="Z86" s="7">
        <v>0.55000000000000004</v>
      </c>
      <c r="AA86" s="7">
        <f>ROUND(41.18/E86,3)</f>
        <v>0.82399999999999995</v>
      </c>
      <c r="AB86" s="7">
        <f>ROUND(8/E86,3)</f>
        <v>0.16</v>
      </c>
      <c r="AC86" s="7">
        <v>8474141</v>
      </c>
    </row>
    <row r="87" spans="1:29" ht="15" customHeight="1" x14ac:dyDescent="0.2">
      <c r="A87" s="7" t="s">
        <v>320</v>
      </c>
      <c r="B87" s="7" t="s">
        <v>55</v>
      </c>
      <c r="C87" s="7" t="s">
        <v>56</v>
      </c>
      <c r="D87" s="7">
        <v>30</v>
      </c>
      <c r="E87" s="7">
        <v>80</v>
      </c>
      <c r="F87" s="7">
        <f>ROUND(18/E87,3)</f>
        <v>0.22500000000000001</v>
      </c>
      <c r="G87" s="7">
        <f>ROUND(49/E87,3)</f>
        <v>0.61299999999999999</v>
      </c>
      <c r="H87" s="7">
        <f>ROUND(183/E87,3)</f>
        <v>2.2879999999999998</v>
      </c>
      <c r="I87" s="7">
        <f>ROUND(62/E87,3)</f>
        <v>0.77500000000000002</v>
      </c>
      <c r="J87" s="7">
        <f>ROUND(34/E87,3)</f>
        <v>0.42499999999999999</v>
      </c>
      <c r="K87" s="7">
        <f t="shared" si="2"/>
        <v>8.5785</v>
      </c>
      <c r="L87" s="7">
        <f>ROUND(1569.9333333333/E87,3)</f>
        <v>19.623999999999999</v>
      </c>
      <c r="M87" s="7">
        <f>ROUND(36/E87,3)</f>
        <v>0.45</v>
      </c>
      <c r="N87" s="7" t="s">
        <v>916</v>
      </c>
      <c r="O87" s="7" t="s">
        <v>917</v>
      </c>
      <c r="P87" s="7">
        <f>ROUND(369/E87,3)</f>
        <v>4.6130000000000004</v>
      </c>
      <c r="Q87" s="7">
        <f>ROUND(264/E87,3)</f>
        <v>3.3</v>
      </c>
      <c r="R87" s="7">
        <f>ROUND(239/E87,3)</f>
        <v>2.988</v>
      </c>
      <c r="S87" s="7">
        <f>ROUND(105/E87,3)</f>
        <v>1.3129999999999999</v>
      </c>
      <c r="T87" s="7">
        <f>ROUND(24.47/E87,3)</f>
        <v>0.30599999999999999</v>
      </c>
      <c r="U87" s="7">
        <f>ROUND(34/E87,3)</f>
        <v>0.42499999999999999</v>
      </c>
      <c r="V87" s="7">
        <f>ROUND(61/E87,3)</f>
        <v>0.76300000000000001</v>
      </c>
      <c r="W87" s="7">
        <f>ROUND(24.4/E87,3)</f>
        <v>0.30499999999999999</v>
      </c>
      <c r="X87" s="7">
        <v>0.62</v>
      </c>
      <c r="Y87" s="7">
        <v>0.6</v>
      </c>
      <c r="Z87" s="7">
        <v>0.6</v>
      </c>
      <c r="AA87" s="7">
        <f>ROUND(76.37/E87,3)</f>
        <v>0.95499999999999996</v>
      </c>
      <c r="AB87" s="7">
        <f>ROUND(33/E87,3)</f>
        <v>0.41299999999999998</v>
      </c>
      <c r="AC87" s="7">
        <v>8476454</v>
      </c>
    </row>
    <row r="88" spans="1:29" ht="15" customHeight="1" x14ac:dyDescent="0.2">
      <c r="A88" s="7" t="s">
        <v>323</v>
      </c>
      <c r="B88" s="7" t="s">
        <v>60</v>
      </c>
      <c r="C88" s="7" t="s">
        <v>164</v>
      </c>
      <c r="D88" s="7">
        <v>21</v>
      </c>
      <c r="E88" s="7">
        <v>80</v>
      </c>
      <c r="F88" s="7">
        <f>ROUND(16/E88,3)</f>
        <v>0.2</v>
      </c>
      <c r="G88" s="7">
        <f>ROUND(23/E88,3)</f>
        <v>0.28799999999999998</v>
      </c>
      <c r="H88" s="7">
        <f>ROUND(172/E88,3)</f>
        <v>2.15</v>
      </c>
      <c r="I88" s="7">
        <f>ROUND(30/E88,3)</f>
        <v>0.375</v>
      </c>
      <c r="J88" s="7">
        <f>ROUND(23/E88,3)</f>
        <v>0.28799999999999998</v>
      </c>
      <c r="K88" s="7">
        <f t="shared" si="2"/>
        <v>5.9535</v>
      </c>
      <c r="L88" s="7">
        <f>ROUND(1116.4333333333/E88,3)</f>
        <v>13.955</v>
      </c>
      <c r="M88" s="7">
        <f>ROUND(18/E88,3)</f>
        <v>0.22500000000000001</v>
      </c>
      <c r="N88" s="7" t="s">
        <v>918</v>
      </c>
      <c r="O88" s="7" t="s">
        <v>716</v>
      </c>
      <c r="P88" s="7">
        <f>ROUND(278/E88,3)</f>
        <v>3.4750000000000001</v>
      </c>
      <c r="Q88" s="7">
        <f>ROUND(222/E88,3)</f>
        <v>2.7749999999999999</v>
      </c>
      <c r="R88" s="7">
        <f>ROUND(170/E88,3)</f>
        <v>2.125</v>
      </c>
      <c r="S88" s="7">
        <f>ROUND(85/E88,3)</f>
        <v>1.0629999999999999</v>
      </c>
      <c r="T88" s="7">
        <f>ROUND(18.83/E88,3)</f>
        <v>0.23499999999999999</v>
      </c>
      <c r="U88" s="7">
        <f>ROUND(46/E88,3)</f>
        <v>0.57499999999999996</v>
      </c>
      <c r="V88" s="7">
        <f>ROUND(38/E88,3)</f>
        <v>0.47499999999999998</v>
      </c>
      <c r="W88" s="7">
        <f>ROUND(16.45/E88,3)</f>
        <v>0.20599999999999999</v>
      </c>
      <c r="X88" s="7">
        <v>0.6</v>
      </c>
      <c r="Y88" s="7">
        <v>0.6</v>
      </c>
      <c r="Z88" s="7">
        <v>0.6</v>
      </c>
      <c r="AA88" s="7">
        <f>ROUND(52.13/E88,3)</f>
        <v>0.65200000000000002</v>
      </c>
      <c r="AB88" s="7">
        <f>ROUND(22/E88,3)</f>
        <v>0.27500000000000002</v>
      </c>
      <c r="AC88" s="7">
        <v>8482146</v>
      </c>
    </row>
    <row r="89" spans="1:29" ht="15" customHeight="1" x14ac:dyDescent="0.2">
      <c r="A89" s="7" t="s">
        <v>324</v>
      </c>
      <c r="B89" s="7" t="s">
        <v>60</v>
      </c>
      <c r="C89" s="7" t="s">
        <v>213</v>
      </c>
      <c r="D89" s="7">
        <v>33</v>
      </c>
      <c r="E89" s="7">
        <v>78</v>
      </c>
      <c r="F89" s="7">
        <f>ROUND(17/E89,3)</f>
        <v>0.218</v>
      </c>
      <c r="G89" s="7">
        <f>ROUND(27/E89,3)</f>
        <v>0.34599999999999997</v>
      </c>
      <c r="H89" s="7">
        <f>ROUND(168/E89,3)</f>
        <v>2.1539999999999999</v>
      </c>
      <c r="I89" s="7">
        <f>ROUND(30/E89,3)</f>
        <v>0.38500000000000001</v>
      </c>
      <c r="J89" s="7">
        <f>ROUND(23/E89,3)</f>
        <v>0.29499999999999998</v>
      </c>
      <c r="K89" s="7">
        <f t="shared" si="2"/>
        <v>6.4614999999999991</v>
      </c>
      <c r="L89" s="7">
        <f>ROUND(1360.7/E89,3)</f>
        <v>17.445</v>
      </c>
      <c r="M89" s="7">
        <f>ROUND(17/E89,3)</f>
        <v>0.218</v>
      </c>
      <c r="N89" s="7" t="s">
        <v>919</v>
      </c>
      <c r="O89" s="7" t="s">
        <v>920</v>
      </c>
      <c r="P89" s="7">
        <f>ROUND(313/E89,3)</f>
        <v>4.0129999999999999</v>
      </c>
      <c r="Q89" s="7">
        <f>ROUND(243/E89,3)</f>
        <v>3.1150000000000002</v>
      </c>
      <c r="R89" s="7">
        <f>ROUND(187/E89,3)</f>
        <v>2.3969999999999998</v>
      </c>
      <c r="S89" s="7">
        <f>ROUND(103/E89,3)</f>
        <v>1.321</v>
      </c>
      <c r="T89" s="7">
        <f>ROUND(22.95/E89,3)</f>
        <v>0.29399999999999998</v>
      </c>
      <c r="U89" s="7">
        <f>ROUND(20/E89,3)</f>
        <v>0.25600000000000001</v>
      </c>
      <c r="V89" s="7">
        <f>ROUND(59/E89,3)</f>
        <v>0.75600000000000001</v>
      </c>
      <c r="W89" s="7">
        <f>ROUND(22.4/E89,3)</f>
        <v>0.28699999999999998</v>
      </c>
      <c r="X89" s="7">
        <v>0.6</v>
      </c>
      <c r="Y89" s="7">
        <v>0.6</v>
      </c>
      <c r="Z89" s="7">
        <v>0.57999999999999996</v>
      </c>
      <c r="AA89" s="7">
        <f>ROUND(55.59/E89,3)</f>
        <v>0.71299999999999997</v>
      </c>
      <c r="AB89" s="7">
        <f>ROUND(27/E89,3)</f>
        <v>0.34599999999999997</v>
      </c>
      <c r="AC89" s="7">
        <v>8474586</v>
      </c>
    </row>
    <row r="90" spans="1:29" ht="15" customHeight="1" x14ac:dyDescent="0.2">
      <c r="A90" s="7" t="s">
        <v>328</v>
      </c>
      <c r="B90" s="7" t="s">
        <v>55</v>
      </c>
      <c r="C90" s="7" t="s">
        <v>274</v>
      </c>
      <c r="D90" s="7">
        <v>28</v>
      </c>
      <c r="E90" s="7">
        <v>76</v>
      </c>
      <c r="F90" s="7">
        <f>ROUND(34/E90,3)</f>
        <v>0.44700000000000001</v>
      </c>
      <c r="G90" s="7">
        <f>ROUND(38/E90,3)</f>
        <v>0.5</v>
      </c>
      <c r="H90" s="7">
        <f>ROUND(246/E90,3)</f>
        <v>3.2370000000000001</v>
      </c>
      <c r="I90" s="7">
        <f>ROUND(63/E90,3)</f>
        <v>0.82899999999999996</v>
      </c>
      <c r="J90" s="7">
        <f>ROUND(20/E90,3)</f>
        <v>0.26300000000000001</v>
      </c>
      <c r="K90" s="7">
        <f t="shared" si="2"/>
        <v>10.490500000000001</v>
      </c>
      <c r="L90" s="7">
        <f>ROUND(1365.15/E90,3)</f>
        <v>17.963000000000001</v>
      </c>
      <c r="M90" s="7">
        <f>ROUND(36/E90,3)</f>
        <v>0.47399999999999998</v>
      </c>
      <c r="N90" s="7" t="s">
        <v>921</v>
      </c>
      <c r="O90" s="7" t="s">
        <v>922</v>
      </c>
      <c r="P90" s="7">
        <f>ROUND(500/E90,3)</f>
        <v>6.5789999999999997</v>
      </c>
      <c r="Q90" s="7">
        <f>ROUND(338/E90,3)</f>
        <v>4.4470000000000001</v>
      </c>
      <c r="R90" s="7">
        <f>ROUND(278/E90,3)</f>
        <v>3.6579999999999999</v>
      </c>
      <c r="S90" s="7">
        <f>ROUND(101/E90,3)</f>
        <v>1.329</v>
      </c>
      <c r="T90" s="7">
        <f>ROUND(28.96/E90,3)</f>
        <v>0.38100000000000001</v>
      </c>
      <c r="U90" s="7">
        <f>ROUND(39/E90,3)</f>
        <v>0.51300000000000001</v>
      </c>
      <c r="V90" s="7">
        <f>ROUND(39/E90,3)</f>
        <v>0.51300000000000001</v>
      </c>
      <c r="W90" s="7">
        <f>ROUND(31.15/E90,3)</f>
        <v>0.41</v>
      </c>
      <c r="X90" s="7">
        <v>0.69</v>
      </c>
      <c r="Y90" s="7">
        <v>0.65</v>
      </c>
      <c r="Z90" s="7">
        <v>0.62</v>
      </c>
      <c r="AA90" s="7">
        <f>ROUND(87.15/E90,3)</f>
        <v>1.147</v>
      </c>
      <c r="AB90" s="7">
        <f>ROUND(43/E90,3)</f>
        <v>0.56599999999999995</v>
      </c>
      <c r="AC90" s="7">
        <v>8477409</v>
      </c>
    </row>
    <row r="91" spans="1:29" ht="15" customHeight="1" x14ac:dyDescent="0.2">
      <c r="A91" s="7" t="s">
        <v>331</v>
      </c>
      <c r="B91" s="7" t="s">
        <v>55</v>
      </c>
      <c r="D91" s="7">
        <v>29</v>
      </c>
      <c r="K91" s="7"/>
      <c r="W91" s="7">
        <v>12.36</v>
      </c>
      <c r="X91" s="7">
        <v>0.45</v>
      </c>
      <c r="Y91" s="7">
        <v>0.46</v>
      </c>
      <c r="Z91" s="7">
        <v>0.46</v>
      </c>
      <c r="AA91" s="7">
        <v>30.24</v>
      </c>
      <c r="AB91" s="7">
        <v>21</v>
      </c>
      <c r="AC91" s="7">
        <v>8477505</v>
      </c>
    </row>
    <row r="92" spans="1:29" ht="15" customHeight="1" x14ac:dyDescent="0.2">
      <c r="A92" s="7" t="s">
        <v>332</v>
      </c>
      <c r="B92" s="7" t="s">
        <v>92</v>
      </c>
      <c r="C92" s="7" t="s">
        <v>84</v>
      </c>
      <c r="D92" s="7">
        <v>35</v>
      </c>
      <c r="E92" s="7">
        <v>82</v>
      </c>
      <c r="F92" s="7">
        <f>ROUND(29/E92,3)</f>
        <v>0.35399999999999998</v>
      </c>
      <c r="G92" s="7">
        <f>ROUND(38/E92,3)</f>
        <v>0.46300000000000002</v>
      </c>
      <c r="H92" s="7">
        <f>ROUND(207/E92,3)</f>
        <v>2.524</v>
      </c>
      <c r="I92" s="7">
        <f>ROUND(115/E92,3)</f>
        <v>1.4019999999999999</v>
      </c>
      <c r="J92" s="7">
        <f>ROUND(35/E92,3)</f>
        <v>0.42699999999999999</v>
      </c>
      <c r="K92" s="7">
        <f t="shared" ref="K92:K106" si="3">8*F92+6*G92+1*H92+1*J92+0.5*I92</f>
        <v>9.2620000000000005</v>
      </c>
      <c r="L92" s="7">
        <f>ROUND(1566.35/E92,3)</f>
        <v>19.102</v>
      </c>
      <c r="M92" s="7">
        <f>ROUND(78/E92,3)</f>
        <v>0.95099999999999996</v>
      </c>
      <c r="N92" s="7" t="s">
        <v>289</v>
      </c>
      <c r="O92" s="7" t="s">
        <v>923</v>
      </c>
      <c r="P92" s="7">
        <f>ROUND(389/E92,3)</f>
        <v>4.7439999999999998</v>
      </c>
      <c r="Q92" s="7">
        <f>ROUND(294/E92,3)</f>
        <v>3.585</v>
      </c>
      <c r="R92" s="7">
        <f>ROUND(213/E92,3)</f>
        <v>2.5979999999999999</v>
      </c>
      <c r="S92" s="7">
        <f>ROUND(89/E92,3)</f>
        <v>1.085</v>
      </c>
      <c r="T92" s="7">
        <f>ROUND(25.28/E92,3)</f>
        <v>0.308</v>
      </c>
      <c r="U92" s="7">
        <f>ROUND(80/E92,3)</f>
        <v>0.97599999999999998</v>
      </c>
      <c r="V92" s="7">
        <f>ROUND(48/E92,3)</f>
        <v>0.58499999999999996</v>
      </c>
      <c r="W92" s="7">
        <f>ROUND(26.84/E92,3)</f>
        <v>0.32700000000000001</v>
      </c>
      <c r="X92" s="7">
        <v>0.56000000000000005</v>
      </c>
      <c r="Y92" s="7">
        <v>0.54</v>
      </c>
      <c r="Z92" s="7">
        <v>0.53</v>
      </c>
      <c r="AA92" s="7">
        <f>ROUND(63.56/E92,3)</f>
        <v>0.77500000000000002</v>
      </c>
      <c r="AB92" s="7">
        <f>ROUND(31/E92,3)</f>
        <v>0.378</v>
      </c>
      <c r="AC92" s="7">
        <v>8473419</v>
      </c>
    </row>
    <row r="93" spans="1:29" ht="15" customHeight="1" x14ac:dyDescent="0.2">
      <c r="A93" s="7" t="s">
        <v>335</v>
      </c>
      <c r="B93" s="7" t="s">
        <v>92</v>
      </c>
      <c r="C93" s="7" t="s">
        <v>184</v>
      </c>
      <c r="D93" s="7">
        <v>30</v>
      </c>
      <c r="E93" s="7">
        <v>18</v>
      </c>
      <c r="F93" s="7">
        <f>ROUND(6/E93,3)</f>
        <v>0.33300000000000002</v>
      </c>
      <c r="G93" s="7">
        <f>ROUND(9/E93,3)</f>
        <v>0.5</v>
      </c>
      <c r="H93" s="7">
        <f>ROUND(59/E93,3)</f>
        <v>3.278</v>
      </c>
      <c r="I93" s="7">
        <f>ROUND(8/E93,3)</f>
        <v>0.44400000000000001</v>
      </c>
      <c r="J93" s="7">
        <f>ROUND(18/E93,3)</f>
        <v>1</v>
      </c>
      <c r="K93" s="7">
        <f t="shared" si="3"/>
        <v>10.164</v>
      </c>
      <c r="L93" s="7">
        <f>ROUND(300.45/E93,3)</f>
        <v>16.692</v>
      </c>
      <c r="M93" s="7">
        <f>ROUND(14/E93,3)</f>
        <v>0.77800000000000002</v>
      </c>
      <c r="N93" s="7" t="s">
        <v>654</v>
      </c>
      <c r="O93" s="7" t="s">
        <v>924</v>
      </c>
      <c r="P93" s="7">
        <f>ROUND(100/E93,3)</f>
        <v>5.556</v>
      </c>
      <c r="Q93" s="7">
        <f>ROUND(81/E93,3)</f>
        <v>4.5</v>
      </c>
      <c r="R93" s="7">
        <f>ROUND(46/E93,3)</f>
        <v>2.556</v>
      </c>
      <c r="S93" s="7">
        <f>ROUND(17/E93,3)</f>
        <v>0.94399999999999995</v>
      </c>
      <c r="T93" s="7">
        <f>ROUND(6.09/E93,3)</f>
        <v>0.33800000000000002</v>
      </c>
      <c r="U93" s="7">
        <f>ROUND(5/E93,3)</f>
        <v>0.27800000000000002</v>
      </c>
      <c r="V93" s="7">
        <f>ROUND(8/E93,3)</f>
        <v>0.44400000000000001</v>
      </c>
      <c r="W93" s="7">
        <f>ROUND(6.22/E93,3)</f>
        <v>0.34599999999999997</v>
      </c>
      <c r="X93" s="7">
        <v>0.6</v>
      </c>
      <c r="Y93" s="7">
        <v>0.6</v>
      </c>
      <c r="Z93" s="7">
        <v>0.62</v>
      </c>
      <c r="AA93" s="7">
        <f>ROUND(17.24/E93,3)</f>
        <v>0.95799999999999996</v>
      </c>
      <c r="AB93" s="7">
        <f>ROUND(6/E93,3)</f>
        <v>0.33300000000000002</v>
      </c>
      <c r="AC93" s="7">
        <v>8478042</v>
      </c>
    </row>
    <row r="94" spans="1:29" ht="15" customHeight="1" x14ac:dyDescent="0.2">
      <c r="A94" s="7" t="s">
        <v>338</v>
      </c>
      <c r="B94" s="7" t="s">
        <v>60</v>
      </c>
      <c r="C94" s="7" t="s">
        <v>106</v>
      </c>
      <c r="D94" s="7">
        <v>36</v>
      </c>
      <c r="E94" s="7">
        <v>69</v>
      </c>
      <c r="F94" s="7">
        <f>ROUND(12/E94,3)</f>
        <v>0.17399999999999999</v>
      </c>
      <c r="G94" s="7">
        <f>ROUND(51/E94,3)</f>
        <v>0.73899999999999999</v>
      </c>
      <c r="H94" s="7">
        <f>ROUND(173/E94,3)</f>
        <v>2.5070000000000001</v>
      </c>
      <c r="I94" s="7">
        <f>ROUND(26/E94,3)</f>
        <v>0.377</v>
      </c>
      <c r="J94" s="7">
        <f>ROUND(50/E94,3)</f>
        <v>0.72499999999999998</v>
      </c>
      <c r="K94" s="7">
        <f t="shared" si="3"/>
        <v>9.2464999999999993</v>
      </c>
      <c r="L94" s="7">
        <f>ROUND(1303.5833333333/E94,3)</f>
        <v>18.893000000000001</v>
      </c>
      <c r="M94" s="7">
        <f>ROUND(30/E94,3)</f>
        <v>0.435</v>
      </c>
      <c r="N94" s="7" t="s">
        <v>665</v>
      </c>
      <c r="O94" s="7" t="s">
        <v>417</v>
      </c>
      <c r="P94" s="7">
        <f>ROUND(334/E94,3)</f>
        <v>4.8410000000000002</v>
      </c>
      <c r="Q94" s="7">
        <f>ROUND(247/E94,3)</f>
        <v>3.58</v>
      </c>
      <c r="R94" s="7">
        <f>ROUND(153/E94,3)</f>
        <v>2.2170000000000001</v>
      </c>
      <c r="S94" s="7">
        <f>ROUND(44/E94,3)</f>
        <v>0.63800000000000001</v>
      </c>
      <c r="T94" s="7">
        <f>ROUND(16.13/E94,3)</f>
        <v>0.23400000000000001</v>
      </c>
      <c r="U94" s="7">
        <f>ROUND(38/E94,3)</f>
        <v>0.55100000000000005</v>
      </c>
      <c r="V94" s="7">
        <f>ROUND(38/E94,3)</f>
        <v>0.55100000000000005</v>
      </c>
      <c r="W94" s="7">
        <f>ROUND(15.12/E94,3)</f>
        <v>0.219</v>
      </c>
      <c r="X94" s="7">
        <v>0.67</v>
      </c>
      <c r="Y94" s="7">
        <v>0.62</v>
      </c>
      <c r="Z94" s="7">
        <v>0.63</v>
      </c>
      <c r="AA94" s="7">
        <f>ROUND(59.09/E94,3)</f>
        <v>0.85599999999999998</v>
      </c>
      <c r="AB94" s="7">
        <f>ROUND(12/E94,3)</f>
        <v>0.17399999999999999</v>
      </c>
      <c r="AC94" s="7">
        <v>8475692</v>
      </c>
    </row>
    <row r="95" spans="1:29" ht="15" customHeight="1" x14ac:dyDescent="0.2">
      <c r="A95" s="7" t="s">
        <v>341</v>
      </c>
      <c r="B95" s="7" t="s">
        <v>55</v>
      </c>
      <c r="C95" s="7" t="s">
        <v>56</v>
      </c>
      <c r="D95" s="7">
        <v>24</v>
      </c>
      <c r="E95" s="7">
        <v>81</v>
      </c>
      <c r="F95" s="7">
        <f>ROUND(12/E95,3)</f>
        <v>0.14799999999999999</v>
      </c>
      <c r="G95" s="7">
        <f>ROUND(18/E95,3)</f>
        <v>0.222</v>
      </c>
      <c r="H95" s="7">
        <f>ROUND(106/E95,3)</f>
        <v>1.3089999999999999</v>
      </c>
      <c r="I95" s="7">
        <f>ROUND(65/E95,3)</f>
        <v>0.80200000000000005</v>
      </c>
      <c r="J95" s="7">
        <f>ROUND(34/E95,3)</f>
        <v>0.42</v>
      </c>
      <c r="K95" s="7">
        <f t="shared" si="3"/>
        <v>4.6459999999999999</v>
      </c>
      <c r="L95" s="7">
        <f>ROUND(1153.6833333333/E95,3)</f>
        <v>14.243</v>
      </c>
      <c r="M95" s="7">
        <f>ROUND(10/E95,3)</f>
        <v>0.123</v>
      </c>
      <c r="N95" s="7" t="s">
        <v>188</v>
      </c>
      <c r="O95" s="7" t="s">
        <v>588</v>
      </c>
      <c r="P95" s="7">
        <f>ROUND(196/E95,3)</f>
        <v>2.42</v>
      </c>
      <c r="Q95" s="7">
        <f>ROUND(160/E95,3)</f>
        <v>1.9750000000000001</v>
      </c>
      <c r="R95" s="7">
        <f>ROUND(114/E95,3)</f>
        <v>1.407</v>
      </c>
      <c r="S95" s="7">
        <f>ROUND(57/E95,3)</f>
        <v>0.70399999999999996</v>
      </c>
      <c r="T95" s="7">
        <f>ROUND(13.3/E95,3)</f>
        <v>0.16400000000000001</v>
      </c>
      <c r="U95" s="7">
        <f>ROUND(48/E95,3)</f>
        <v>0.59299999999999997</v>
      </c>
      <c r="V95" s="7">
        <f>ROUND(66/E95,3)</f>
        <v>0.81499999999999995</v>
      </c>
      <c r="W95" s="7">
        <f>ROUND(13.2/E95,3)</f>
        <v>0.16300000000000001</v>
      </c>
      <c r="X95" s="7">
        <v>0.56999999999999995</v>
      </c>
      <c r="Y95" s="7">
        <v>0.55000000000000004</v>
      </c>
      <c r="Z95" s="7">
        <v>0.55000000000000004</v>
      </c>
      <c r="AA95" s="7">
        <f>ROUND(45.47/E95,3)</f>
        <v>0.56100000000000005</v>
      </c>
      <c r="AB95" s="7">
        <f>ROUND(14/E95,3)</f>
        <v>0.17299999999999999</v>
      </c>
      <c r="AC95" s="7">
        <v>8480802</v>
      </c>
    </row>
    <row r="96" spans="1:29" ht="15" customHeight="1" x14ac:dyDescent="0.2">
      <c r="A96" s="7" t="s">
        <v>343</v>
      </c>
      <c r="B96" s="7" t="s">
        <v>55</v>
      </c>
      <c r="C96" s="7" t="s">
        <v>146</v>
      </c>
      <c r="D96" s="7">
        <v>26</v>
      </c>
      <c r="E96" s="7">
        <v>81</v>
      </c>
      <c r="F96" s="7">
        <f>ROUND(69/E96,3)</f>
        <v>0.85199999999999998</v>
      </c>
      <c r="G96" s="7">
        <f>ROUND(38/E96,3)</f>
        <v>0.46899999999999997</v>
      </c>
      <c r="H96" s="7">
        <f>ROUND(369/E96,3)</f>
        <v>4.556</v>
      </c>
      <c r="I96" s="7">
        <f>ROUND(89/E96,3)</f>
        <v>1.099</v>
      </c>
      <c r="J96" s="7">
        <f>ROUND(93/E96,3)</f>
        <v>1.1479999999999999</v>
      </c>
      <c r="K96" s="7">
        <f t="shared" si="3"/>
        <v>15.8835</v>
      </c>
      <c r="L96" s="7">
        <f>ROUND(1698.2833333333/E96,3)</f>
        <v>20.966000000000001</v>
      </c>
      <c r="M96" s="7">
        <f>ROUND(20/E96,3)</f>
        <v>0.247</v>
      </c>
      <c r="N96" s="7" t="s">
        <v>925</v>
      </c>
      <c r="O96" s="7" t="s">
        <v>175</v>
      </c>
      <c r="P96" s="7">
        <f>ROUND(694/E96,3)</f>
        <v>8.5679999999999996</v>
      </c>
      <c r="Q96" s="7">
        <f>ROUND(534/E96,3)</f>
        <v>6.593</v>
      </c>
      <c r="R96" s="7">
        <f>ROUND(440/E96,3)</f>
        <v>5.4320000000000004</v>
      </c>
      <c r="S96" s="7">
        <f>ROUND(194/E96,3)</f>
        <v>2.395</v>
      </c>
      <c r="T96" s="7">
        <f>ROUND(44.73/E96,3)</f>
        <v>0.55200000000000005</v>
      </c>
      <c r="U96" s="7">
        <f>ROUND(54/E96,3)</f>
        <v>0.66700000000000004</v>
      </c>
      <c r="V96" s="7">
        <f>ROUND(85/E96,3)</f>
        <v>1.0489999999999999</v>
      </c>
      <c r="W96" s="7">
        <f>ROUND(50.77/E96,3)</f>
        <v>0.627</v>
      </c>
      <c r="X96" s="7">
        <v>0.65</v>
      </c>
      <c r="Y96" s="7">
        <v>0.6</v>
      </c>
      <c r="Z96" s="7">
        <v>0.62</v>
      </c>
      <c r="AA96" s="7">
        <f>ROUND(127.04/E96,3)</f>
        <v>1.5680000000000001</v>
      </c>
      <c r="AB96" s="7">
        <f>ROUND(57/E96,3)</f>
        <v>0.70399999999999996</v>
      </c>
      <c r="AC96" s="7">
        <v>8479318</v>
      </c>
    </row>
    <row r="97" spans="1:29" ht="15" customHeight="1" x14ac:dyDescent="0.2">
      <c r="A97" s="7" t="s">
        <v>346</v>
      </c>
      <c r="B97" s="7" t="s">
        <v>60</v>
      </c>
      <c r="C97" s="7" t="s">
        <v>80</v>
      </c>
      <c r="D97" s="7">
        <v>20</v>
      </c>
      <c r="E97" s="7">
        <v>1</v>
      </c>
      <c r="F97" s="7">
        <f>ROUND(0/E97,3)</f>
        <v>0</v>
      </c>
      <c r="G97" s="7">
        <f>ROUND(0/E97,3)</f>
        <v>0</v>
      </c>
      <c r="H97" s="7">
        <f>ROUND(2/E97,3)</f>
        <v>2</v>
      </c>
      <c r="I97" s="7">
        <f>ROUND(0/E97,3)</f>
        <v>0</v>
      </c>
      <c r="J97" s="7">
        <f>ROUND(0/E97,3)</f>
        <v>0</v>
      </c>
      <c r="K97" s="7">
        <f t="shared" si="3"/>
        <v>2</v>
      </c>
      <c r="L97" s="7">
        <f>ROUND(15.3/E97,3)</f>
        <v>15.3</v>
      </c>
      <c r="M97" s="7">
        <f>ROUND(0/E97,3)</f>
        <v>0</v>
      </c>
      <c r="N97" s="7" t="s">
        <v>96</v>
      </c>
      <c r="O97" s="7" t="s">
        <v>207</v>
      </c>
      <c r="P97" s="7">
        <f>ROUND(4/E97,3)</f>
        <v>4</v>
      </c>
      <c r="Q97" s="7">
        <f>ROUND(3/E97,3)</f>
        <v>3</v>
      </c>
      <c r="R97" s="7">
        <f>ROUND(3/E97,3)</f>
        <v>3</v>
      </c>
      <c r="S97" s="7">
        <f>ROUND(1/E97,3)</f>
        <v>1</v>
      </c>
      <c r="T97" s="7">
        <f>ROUND(0.43/E97,3)</f>
        <v>0.43</v>
      </c>
      <c r="U97" s="7">
        <f>ROUND(1/E97,3)</f>
        <v>1</v>
      </c>
      <c r="V97" s="7">
        <f>ROUND(0/E97,3)</f>
        <v>0</v>
      </c>
      <c r="W97" s="7">
        <f>ROUND(0.11/E97,3)</f>
        <v>0.11</v>
      </c>
      <c r="X97" s="7">
        <v>0.49</v>
      </c>
      <c r="Y97" s="7">
        <v>0.6</v>
      </c>
      <c r="Z97" s="7">
        <v>0.61</v>
      </c>
      <c r="AA97" s="7">
        <f>ROUND(-0.15/E97,3)</f>
        <v>-0.15</v>
      </c>
      <c r="AB97" s="7">
        <f>ROUND(0/E97,3)</f>
        <v>0</v>
      </c>
      <c r="AC97" s="7">
        <v>8482809</v>
      </c>
    </row>
    <row r="98" spans="1:29" ht="15" customHeight="1" x14ac:dyDescent="0.2">
      <c r="A98" s="7" t="s">
        <v>347</v>
      </c>
      <c r="B98" s="7" t="s">
        <v>55</v>
      </c>
      <c r="C98" s="7" t="s">
        <v>307</v>
      </c>
      <c r="D98" s="7">
        <v>30</v>
      </c>
      <c r="E98" s="7">
        <v>81</v>
      </c>
      <c r="F98" s="7">
        <f>ROUND(37/E98,3)</f>
        <v>0.45700000000000002</v>
      </c>
      <c r="G98" s="7">
        <f>ROUND(66/E98,3)</f>
        <v>0.81499999999999995</v>
      </c>
      <c r="H98" s="7">
        <f>ROUND(194/E98,3)</f>
        <v>2.395</v>
      </c>
      <c r="I98" s="7">
        <f>ROUND(218/E98,3)</f>
        <v>2.6909999999999998</v>
      </c>
      <c r="J98" s="7">
        <f>ROUND(61/E98,3)</f>
        <v>0.753</v>
      </c>
      <c r="K98" s="7">
        <f t="shared" si="3"/>
        <v>13.039499999999999</v>
      </c>
      <c r="L98" s="7">
        <f>ROUND(1578.6833333333/E98,3)</f>
        <v>19.489999999999998</v>
      </c>
      <c r="M98" s="7">
        <f>ROUND(58/E98,3)</f>
        <v>0.71599999999999997</v>
      </c>
      <c r="N98" s="7" t="s">
        <v>926</v>
      </c>
      <c r="O98" s="7" t="s">
        <v>927</v>
      </c>
      <c r="P98" s="7">
        <f>ROUND(376/E98,3)</f>
        <v>4.6420000000000003</v>
      </c>
      <c r="Q98" s="7">
        <f>ROUND(304/E98,3)</f>
        <v>3.7530000000000001</v>
      </c>
      <c r="R98" s="7">
        <f>ROUND(233/E98,3)</f>
        <v>2.8769999999999998</v>
      </c>
      <c r="S98" s="7">
        <f>ROUND(113/E98,3)</f>
        <v>1.395</v>
      </c>
      <c r="T98" s="7">
        <f>ROUND(28.27/E98,3)</f>
        <v>0.34899999999999998</v>
      </c>
      <c r="U98" s="7">
        <f>ROUND(50/E98,3)</f>
        <v>0.61699999999999999</v>
      </c>
      <c r="V98" s="7">
        <f>ROUND(36/E98,3)</f>
        <v>0.44400000000000001</v>
      </c>
      <c r="W98" s="7">
        <f>ROUND(28.31/E98,3)</f>
        <v>0.35</v>
      </c>
      <c r="X98" s="7">
        <v>0.57999999999999996</v>
      </c>
      <c r="Y98" s="7">
        <v>0.56999999999999995</v>
      </c>
      <c r="Z98" s="7">
        <v>0.56000000000000005</v>
      </c>
      <c r="AA98" s="7">
        <f>ROUND(95.5/E98,3)</f>
        <v>1.179</v>
      </c>
      <c r="AB98" s="7">
        <f>ROUND(40/E98,3)</f>
        <v>0.49399999999999999</v>
      </c>
      <c r="AC98" s="7">
        <v>8476468</v>
      </c>
    </row>
    <row r="99" spans="1:29" ht="15" customHeight="1" x14ac:dyDescent="0.2">
      <c r="A99" s="7" t="s">
        <v>350</v>
      </c>
      <c r="B99" s="7" t="s">
        <v>55</v>
      </c>
      <c r="C99" s="7" t="s">
        <v>131</v>
      </c>
      <c r="D99" s="7">
        <v>30</v>
      </c>
      <c r="E99" s="7">
        <v>82</v>
      </c>
      <c r="F99" s="7">
        <f>ROUND(25/E99,3)</f>
        <v>0.30499999999999999</v>
      </c>
      <c r="G99" s="7">
        <f>ROUND(52/E99,3)</f>
        <v>0.63400000000000001</v>
      </c>
      <c r="H99" s="7">
        <f>ROUND(215/E99,3)</f>
        <v>2.6219999999999999</v>
      </c>
      <c r="I99" s="7">
        <f>ROUND(175/E99,3)</f>
        <v>2.1339999999999999</v>
      </c>
      <c r="J99" s="7">
        <f>ROUND(86/E99,3)</f>
        <v>1.0489999999999999</v>
      </c>
      <c r="K99" s="7">
        <f t="shared" si="3"/>
        <v>10.981999999999999</v>
      </c>
      <c r="L99" s="7">
        <f>ROUND(1759.2833333333/E99,3)</f>
        <v>21.454999999999998</v>
      </c>
      <c r="M99" s="7">
        <f>ROUND(55/E99,3)</f>
        <v>0.67100000000000004</v>
      </c>
      <c r="N99" s="7" t="s">
        <v>928</v>
      </c>
      <c r="O99" s="7" t="s">
        <v>913</v>
      </c>
      <c r="P99" s="7">
        <f>ROUND(446/E99,3)</f>
        <v>5.4390000000000001</v>
      </c>
      <c r="Q99" s="7">
        <f>ROUND(362/E99,3)</f>
        <v>4.415</v>
      </c>
      <c r="R99" s="7">
        <f>ROUND(305/E99,3)</f>
        <v>3.72</v>
      </c>
      <c r="S99" s="7">
        <f>ROUND(138/E99,3)</f>
        <v>1.6830000000000001</v>
      </c>
      <c r="T99" s="7">
        <f>ROUND(33.65/E99,3)</f>
        <v>0.41</v>
      </c>
      <c r="U99" s="7">
        <f>ROUND(36/E99,3)</f>
        <v>0.439</v>
      </c>
      <c r="V99" s="7">
        <f>ROUND(50/E99,3)</f>
        <v>0.61</v>
      </c>
      <c r="W99" s="7">
        <f>ROUND(33.38/E99,3)</f>
        <v>0.40699999999999997</v>
      </c>
      <c r="X99" s="7">
        <v>0.59</v>
      </c>
      <c r="Y99" s="7">
        <v>0.59</v>
      </c>
      <c r="Z99" s="7">
        <v>0.59</v>
      </c>
      <c r="AA99" s="7">
        <f>ROUND(86.39/E99,3)</f>
        <v>1.054</v>
      </c>
      <c r="AB99" s="7">
        <f>ROUND(38/E99,3)</f>
        <v>0.46300000000000002</v>
      </c>
      <c r="AC99" s="7">
        <v>8476389</v>
      </c>
    </row>
    <row r="100" spans="1:29" ht="15" customHeight="1" x14ac:dyDescent="0.2">
      <c r="A100" s="7" t="s">
        <v>352</v>
      </c>
      <c r="B100" s="7" t="s">
        <v>92</v>
      </c>
      <c r="C100" s="7" t="s">
        <v>297</v>
      </c>
      <c r="D100" s="7">
        <v>20</v>
      </c>
      <c r="E100" s="7">
        <v>80</v>
      </c>
      <c r="F100" s="7">
        <f>ROUND(16/E100,3)</f>
        <v>0.2</v>
      </c>
      <c r="G100" s="7">
        <f>ROUND(29/E100,3)</f>
        <v>0.36299999999999999</v>
      </c>
      <c r="H100" s="7">
        <f>ROUND(128/E100,3)</f>
        <v>1.6</v>
      </c>
      <c r="I100" s="7">
        <f>ROUND(39/E100,3)</f>
        <v>0.48799999999999999</v>
      </c>
      <c r="J100" s="7">
        <f>ROUND(72/E100,3)</f>
        <v>0.9</v>
      </c>
      <c r="K100" s="7">
        <f t="shared" si="3"/>
        <v>6.5220000000000002</v>
      </c>
      <c r="L100" s="7">
        <f>ROUND(1492.9666666667/E100,3)</f>
        <v>18.661999999999999</v>
      </c>
      <c r="M100" s="7">
        <f>ROUND(28/E100,3)</f>
        <v>0.35</v>
      </c>
      <c r="N100" s="7" t="s">
        <v>929</v>
      </c>
      <c r="O100" s="7" t="s">
        <v>162</v>
      </c>
      <c r="P100" s="7">
        <f>ROUND(272/E100,3)</f>
        <v>3.4</v>
      </c>
      <c r="Q100" s="7">
        <f>ROUND(205/E100,3)</f>
        <v>2.5630000000000002</v>
      </c>
      <c r="R100" s="7">
        <f>ROUND(164/E100,3)</f>
        <v>2.0499999999999998</v>
      </c>
      <c r="S100" s="7">
        <f>ROUND(79/E100,3)</f>
        <v>0.98799999999999999</v>
      </c>
      <c r="T100" s="7">
        <f>ROUND(19.5/E100,3)</f>
        <v>0.24399999999999999</v>
      </c>
      <c r="U100" s="7">
        <f>ROUND(23/E100,3)</f>
        <v>0.28799999999999998</v>
      </c>
      <c r="V100" s="7">
        <f>ROUND(24/E100,3)</f>
        <v>0.3</v>
      </c>
      <c r="W100" s="7">
        <f>ROUND(18/E100,3)</f>
        <v>0.22500000000000001</v>
      </c>
      <c r="X100" s="7">
        <v>0.48</v>
      </c>
      <c r="Y100" s="7">
        <v>0.49</v>
      </c>
      <c r="Z100" s="7">
        <v>0.49</v>
      </c>
      <c r="AA100" s="7">
        <f>ROUND(27.59/E100,3)</f>
        <v>0.34499999999999997</v>
      </c>
      <c r="AB100" s="7">
        <f>ROUND(24/E100,3)</f>
        <v>0.3</v>
      </c>
      <c r="AC100" s="7">
        <v>8482667</v>
      </c>
    </row>
    <row r="101" spans="1:29" ht="15" customHeight="1" x14ac:dyDescent="0.2">
      <c r="A101" s="7" t="s">
        <v>353</v>
      </c>
      <c r="B101" s="7" t="s">
        <v>92</v>
      </c>
      <c r="C101" s="7" t="s">
        <v>56</v>
      </c>
      <c r="D101" s="7">
        <v>31</v>
      </c>
      <c r="E101" s="7">
        <v>80</v>
      </c>
      <c r="F101" s="7">
        <f>ROUND(54/E101,3)</f>
        <v>0.67500000000000004</v>
      </c>
      <c r="G101" s="7">
        <f>ROUND(23/E101,3)</f>
        <v>0.28799999999999998</v>
      </c>
      <c r="H101" s="7">
        <f>ROUND(290/E101,3)</f>
        <v>3.625</v>
      </c>
      <c r="I101" s="7">
        <f>ROUND(87/E101,3)</f>
        <v>1.0880000000000001</v>
      </c>
      <c r="J101" s="7">
        <f>ROUND(37/E101,3)</f>
        <v>0.46300000000000002</v>
      </c>
      <c r="K101" s="7">
        <f t="shared" si="3"/>
        <v>11.76</v>
      </c>
      <c r="L101" s="7">
        <f>ROUND(1560.0333333333/E101,3)</f>
        <v>19.5</v>
      </c>
      <c r="M101" s="7">
        <f>ROUND(48/E101,3)</f>
        <v>0.6</v>
      </c>
      <c r="N101" s="7" t="s">
        <v>930</v>
      </c>
      <c r="O101" s="7" t="s">
        <v>931</v>
      </c>
      <c r="P101" s="7">
        <f>ROUND(489/E101,3)</f>
        <v>6.1130000000000004</v>
      </c>
      <c r="Q101" s="7">
        <f>ROUND(404/E101,3)</f>
        <v>5.05</v>
      </c>
      <c r="R101" s="7">
        <f>ROUND(377/E101,3)</f>
        <v>4.7130000000000001</v>
      </c>
      <c r="S101" s="7">
        <f>ROUND(255/E101,3)</f>
        <v>3.1880000000000002</v>
      </c>
      <c r="T101" s="7">
        <f>ROUND(50.44/E101,3)</f>
        <v>0.63100000000000001</v>
      </c>
      <c r="U101" s="7">
        <f>ROUND(19/E101,3)</f>
        <v>0.23799999999999999</v>
      </c>
      <c r="V101" s="7">
        <f>ROUND(35/E101,3)</f>
        <v>0.438</v>
      </c>
      <c r="W101" s="7">
        <f>ROUND(52.51/E101,3)</f>
        <v>0.65600000000000003</v>
      </c>
      <c r="X101" s="7">
        <v>0.69</v>
      </c>
      <c r="Y101" s="7">
        <v>0.65</v>
      </c>
      <c r="Z101" s="7">
        <v>0.66</v>
      </c>
      <c r="AA101" s="7">
        <f>ROUND(107.98/E101,3)</f>
        <v>1.35</v>
      </c>
      <c r="AB101" s="7">
        <f>ROUND(81/E101,3)</f>
        <v>1.0129999999999999</v>
      </c>
      <c r="AC101" s="7">
        <v>8475786</v>
      </c>
    </row>
    <row r="102" spans="1:29" ht="15" customHeight="1" x14ac:dyDescent="0.2">
      <c r="A102" s="7" t="s">
        <v>355</v>
      </c>
      <c r="B102" s="7" t="s">
        <v>60</v>
      </c>
      <c r="C102" s="7" t="s">
        <v>118</v>
      </c>
      <c r="D102" s="7">
        <v>21</v>
      </c>
      <c r="E102" s="7">
        <v>11</v>
      </c>
      <c r="F102" s="7">
        <f>ROUND(5/E102,3)</f>
        <v>0.45500000000000002</v>
      </c>
      <c r="G102" s="7">
        <f>ROUND(4/E102,3)</f>
        <v>0.36399999999999999</v>
      </c>
      <c r="H102" s="7">
        <f>ROUND(23/E102,3)</f>
        <v>2.0910000000000002</v>
      </c>
      <c r="I102" s="7">
        <f>ROUND(7/E102,3)</f>
        <v>0.63600000000000001</v>
      </c>
      <c r="J102" s="7">
        <f>ROUND(7/E102,3)</f>
        <v>0.63600000000000001</v>
      </c>
      <c r="K102" s="7">
        <f t="shared" si="3"/>
        <v>8.8689999999999998</v>
      </c>
      <c r="L102" s="7">
        <f>ROUND(135.4/E102,3)</f>
        <v>12.308999999999999</v>
      </c>
      <c r="M102" s="7">
        <f>ROUND(0/E102,3)</f>
        <v>0</v>
      </c>
      <c r="N102" s="7" t="s">
        <v>932</v>
      </c>
      <c r="O102" s="7" t="s">
        <v>933</v>
      </c>
      <c r="P102" s="7">
        <f>ROUND(37/E102,3)</f>
        <v>3.3639999999999999</v>
      </c>
      <c r="Q102" s="7">
        <f>ROUND(31/E102,3)</f>
        <v>2.8180000000000001</v>
      </c>
      <c r="R102" s="7">
        <f>ROUND(31/E102,3)</f>
        <v>2.8180000000000001</v>
      </c>
      <c r="S102" s="7">
        <f>ROUND(22/E102,3)</f>
        <v>2</v>
      </c>
      <c r="T102" s="7">
        <f>ROUND(3.81/E102,3)</f>
        <v>0.34599999999999997</v>
      </c>
      <c r="U102" s="7">
        <f>ROUND(1/E102,3)</f>
        <v>9.0999999999999998E-2</v>
      </c>
      <c r="V102" s="7">
        <f>ROUND(9/E102,3)</f>
        <v>0.81799999999999995</v>
      </c>
      <c r="W102" s="7">
        <f>ROUND(4.22/E102,3)</f>
        <v>0.38400000000000001</v>
      </c>
      <c r="X102" s="7">
        <v>0.63</v>
      </c>
      <c r="Y102" s="7">
        <v>0.51</v>
      </c>
      <c r="Z102" s="7">
        <v>0.51</v>
      </c>
      <c r="AA102" s="7">
        <f>ROUND(9.55/E102,3)</f>
        <v>0.86799999999999999</v>
      </c>
      <c r="AB102" s="7">
        <f>ROUND(11/E102,3)</f>
        <v>1</v>
      </c>
      <c r="AC102" s="7">
        <v>8482659</v>
      </c>
    </row>
    <row r="103" spans="1:29" ht="15" customHeight="1" x14ac:dyDescent="0.2">
      <c r="A103" s="7" t="s">
        <v>356</v>
      </c>
      <c r="B103" s="7" t="s">
        <v>357</v>
      </c>
      <c r="C103" s="7" t="s">
        <v>259</v>
      </c>
      <c r="D103" s="7">
        <v>22</v>
      </c>
      <c r="E103" s="7">
        <v>78</v>
      </c>
      <c r="F103" s="7">
        <f>ROUND(6/E103,3)</f>
        <v>7.6999999999999999E-2</v>
      </c>
      <c r="G103" s="7">
        <f>ROUND(23/E103,3)</f>
        <v>0.29499999999999998</v>
      </c>
      <c r="H103" s="7">
        <f>ROUND(113/E103,3)</f>
        <v>1.4490000000000001</v>
      </c>
      <c r="I103" s="7">
        <f>ROUND(34/E103,3)</f>
        <v>0.436</v>
      </c>
      <c r="J103" s="7">
        <f>ROUND(49/E103,3)</f>
        <v>0.628</v>
      </c>
      <c r="K103" s="7">
        <f t="shared" si="3"/>
        <v>4.681</v>
      </c>
      <c r="L103" s="7">
        <f>ROUND(1072.2/E103,3)</f>
        <v>13.746</v>
      </c>
      <c r="M103" s="7">
        <f>ROUND(8/E103,3)</f>
        <v>0.10299999999999999</v>
      </c>
      <c r="N103" s="7" t="s">
        <v>934</v>
      </c>
      <c r="O103" s="7" t="s">
        <v>935</v>
      </c>
      <c r="P103" s="7">
        <f>ROUND(203/E103,3)</f>
        <v>2.6030000000000002</v>
      </c>
      <c r="Q103" s="7">
        <f>ROUND(167/E103,3)</f>
        <v>2.141</v>
      </c>
      <c r="R103" s="7">
        <f>ROUND(110/E103,3)</f>
        <v>1.41</v>
      </c>
      <c r="S103" s="7">
        <f>ROUND(57/E103,3)</f>
        <v>0.73099999999999998</v>
      </c>
      <c r="T103" s="7">
        <f>ROUND(13.49/E103,3)</f>
        <v>0.17299999999999999</v>
      </c>
      <c r="U103" s="7">
        <f>ROUND(33/E103,3)</f>
        <v>0.42299999999999999</v>
      </c>
      <c r="V103" s="7">
        <f>ROUND(44/E103,3)</f>
        <v>0.56399999999999995</v>
      </c>
      <c r="W103" s="7">
        <f>ROUND(13.36/E103,3)</f>
        <v>0.17100000000000001</v>
      </c>
      <c r="X103" s="7">
        <v>0.48</v>
      </c>
      <c r="Y103" s="7">
        <v>0.46</v>
      </c>
      <c r="Z103" s="7">
        <v>0.46</v>
      </c>
      <c r="AA103" s="7">
        <f>ROUND(28.23/E103,3)</f>
        <v>0.36199999999999999</v>
      </c>
      <c r="AB103" s="7">
        <f>ROUND(17/E103,3)</f>
        <v>0.218</v>
      </c>
      <c r="AC103" s="7">
        <v>8481656</v>
      </c>
    </row>
    <row r="104" spans="1:29" ht="15" customHeight="1" x14ac:dyDescent="0.2">
      <c r="A104" s="7" t="s">
        <v>360</v>
      </c>
      <c r="B104" s="7" t="s">
        <v>55</v>
      </c>
      <c r="C104" s="7" t="s">
        <v>61</v>
      </c>
      <c r="D104" s="7">
        <v>26</v>
      </c>
      <c r="E104" s="7">
        <v>79</v>
      </c>
      <c r="F104" s="7">
        <f>ROUND(20/E104,3)</f>
        <v>0.253</v>
      </c>
      <c r="G104" s="7">
        <f>ROUND(25/E104,3)</f>
        <v>0.316</v>
      </c>
      <c r="H104" s="7">
        <f>ROUND(129/E104,3)</f>
        <v>1.633</v>
      </c>
      <c r="I104" s="7">
        <f>ROUND(65/E104,3)</f>
        <v>0.82299999999999995</v>
      </c>
      <c r="J104" s="7">
        <f>ROUND(75/E104,3)</f>
        <v>0.94899999999999995</v>
      </c>
      <c r="K104" s="7">
        <f t="shared" si="3"/>
        <v>6.9135</v>
      </c>
      <c r="L104" s="7">
        <f>ROUND(1462.9833333333/E104,3)</f>
        <v>18.518999999999998</v>
      </c>
      <c r="M104" s="7">
        <f>ROUND(38/E104,3)</f>
        <v>0.48099999999999998</v>
      </c>
      <c r="N104" s="7" t="s">
        <v>936</v>
      </c>
      <c r="O104" s="7" t="s">
        <v>281</v>
      </c>
      <c r="P104" s="7">
        <f>ROUND(241/E104,3)</f>
        <v>3.0510000000000002</v>
      </c>
      <c r="Q104" s="7">
        <f>ROUND(188/E104,3)</f>
        <v>2.38</v>
      </c>
      <c r="R104" s="7">
        <f>ROUND(151/E104,3)</f>
        <v>1.911</v>
      </c>
      <c r="S104" s="7">
        <f>ROUND(88/E104,3)</f>
        <v>1.1140000000000001</v>
      </c>
      <c r="T104" s="7">
        <f>ROUND(17.72/E104,3)</f>
        <v>0.224</v>
      </c>
      <c r="U104" s="7">
        <f>ROUND(24/E104,3)</f>
        <v>0.30399999999999999</v>
      </c>
      <c r="V104" s="7">
        <f>ROUND(48/E104,3)</f>
        <v>0.60799999999999998</v>
      </c>
      <c r="W104" s="7">
        <f>ROUND(18.81/E104,3)</f>
        <v>0.23799999999999999</v>
      </c>
      <c r="X104" s="7">
        <v>0.48</v>
      </c>
      <c r="Y104" s="7">
        <v>0.51</v>
      </c>
      <c r="Z104" s="7">
        <v>0.5</v>
      </c>
      <c r="AA104" s="7">
        <f>ROUND(50.48/E104,3)</f>
        <v>0.63900000000000001</v>
      </c>
      <c r="AB104" s="7">
        <f>ROUND(24/E104,3)</f>
        <v>0.30399999999999999</v>
      </c>
      <c r="AC104" s="7">
        <v>8478519</v>
      </c>
    </row>
    <row r="105" spans="1:29" ht="15" customHeight="1" x14ac:dyDescent="0.2">
      <c r="A105" s="7" t="s">
        <v>363</v>
      </c>
      <c r="B105" s="7" t="s">
        <v>60</v>
      </c>
      <c r="C105" s="7" t="s">
        <v>220</v>
      </c>
      <c r="D105" s="7">
        <v>24</v>
      </c>
      <c r="E105" s="7">
        <v>78</v>
      </c>
      <c r="F105" s="7">
        <f>ROUND(28/E105,3)</f>
        <v>0.35899999999999999</v>
      </c>
      <c r="G105" s="7">
        <f>ROUND(25/E105,3)</f>
        <v>0.32100000000000001</v>
      </c>
      <c r="H105" s="7">
        <f>ROUND(289/E105,3)</f>
        <v>3.7050000000000001</v>
      </c>
      <c r="I105" s="7">
        <f>ROUND(148/E105,3)</f>
        <v>1.897</v>
      </c>
      <c r="J105" s="7">
        <f>ROUND(47/E105,3)</f>
        <v>0.60299999999999998</v>
      </c>
      <c r="K105" s="7">
        <f t="shared" si="3"/>
        <v>10.054499999999999</v>
      </c>
      <c r="L105" s="7">
        <f>ROUND(1293.7166666667/E105,3)</f>
        <v>16.585999999999999</v>
      </c>
      <c r="M105" s="7">
        <f>ROUND(12/E105,3)</f>
        <v>0.154</v>
      </c>
      <c r="N105" s="7" t="s">
        <v>845</v>
      </c>
      <c r="O105" s="7" t="s">
        <v>937</v>
      </c>
      <c r="P105" s="7">
        <f>ROUND(544/E105,3)</f>
        <v>6.9740000000000002</v>
      </c>
      <c r="Q105" s="7">
        <f>ROUND(402/E105,3)</f>
        <v>5.1539999999999999</v>
      </c>
      <c r="R105" s="7">
        <f>ROUND(239/E105,3)</f>
        <v>3.0640000000000001</v>
      </c>
      <c r="S105" s="7">
        <f>ROUND(84/E105,3)</f>
        <v>1.077</v>
      </c>
      <c r="T105" s="7">
        <f>ROUND(24.63/E105,3)</f>
        <v>0.316</v>
      </c>
      <c r="U105" s="7">
        <f>ROUND(25/E105,3)</f>
        <v>0.32100000000000001</v>
      </c>
      <c r="V105" s="7">
        <f>ROUND(33/E105,3)</f>
        <v>0.42299999999999999</v>
      </c>
      <c r="W105" s="7">
        <f>ROUND(24.24/E105,3)</f>
        <v>0.311</v>
      </c>
      <c r="X105" s="7">
        <v>0.56000000000000005</v>
      </c>
      <c r="Y105" s="7">
        <v>0.57999999999999996</v>
      </c>
      <c r="Z105" s="7">
        <v>0.6</v>
      </c>
      <c r="AA105" s="7">
        <f>ROUND(66.31/E105,3)</f>
        <v>0.85</v>
      </c>
      <c r="AB105" s="7">
        <f>ROUND(22/E105,3)</f>
        <v>0.28199999999999997</v>
      </c>
      <c r="AC105" s="7">
        <v>8480015</v>
      </c>
    </row>
    <row r="106" spans="1:29" ht="15" customHeight="1" x14ac:dyDescent="0.2">
      <c r="A106" s="7" t="s">
        <v>367</v>
      </c>
      <c r="B106" s="7" t="s">
        <v>92</v>
      </c>
      <c r="C106" s="7" t="s">
        <v>56</v>
      </c>
      <c r="D106" s="7">
        <v>22</v>
      </c>
      <c r="E106" s="7">
        <v>38</v>
      </c>
      <c r="F106" s="7">
        <f>ROUND(6/E106,3)</f>
        <v>0.158</v>
      </c>
      <c r="G106" s="7">
        <f>ROUND(3/E106,3)</f>
        <v>7.9000000000000001E-2</v>
      </c>
      <c r="H106" s="7">
        <f>ROUND(56/E106,3)</f>
        <v>1.474</v>
      </c>
      <c r="I106" s="7">
        <f>ROUND(91/E106,3)</f>
        <v>2.395</v>
      </c>
      <c r="J106" s="7">
        <f>ROUND(14/E106,3)</f>
        <v>0.36799999999999999</v>
      </c>
      <c r="K106" s="7">
        <f t="shared" si="3"/>
        <v>4.7774999999999999</v>
      </c>
      <c r="L106" s="7">
        <f>ROUND(432.11666666667/E106,3)</f>
        <v>11.371</v>
      </c>
      <c r="M106" s="7">
        <f>ROUND(29/E106,3)</f>
        <v>0.76300000000000001</v>
      </c>
      <c r="N106" s="7" t="s">
        <v>547</v>
      </c>
      <c r="O106" s="7" t="s">
        <v>938</v>
      </c>
      <c r="P106" s="7">
        <f>ROUND(109/E106,3)</f>
        <v>2.8679999999999999</v>
      </c>
      <c r="Q106" s="7">
        <f>ROUND(78/E106,3)</f>
        <v>2.0529999999999999</v>
      </c>
      <c r="R106" s="7">
        <f>ROUND(58/E106,3)</f>
        <v>1.526</v>
      </c>
      <c r="S106" s="7">
        <f>ROUND(33/E106,3)</f>
        <v>0.86799999999999999</v>
      </c>
      <c r="T106" s="7">
        <f>ROUND(5.88/E106,3)</f>
        <v>0.155</v>
      </c>
      <c r="U106" s="7">
        <f>ROUND(9/E106,3)</f>
        <v>0.23699999999999999</v>
      </c>
      <c r="V106" s="7">
        <f>ROUND(14/E106,3)</f>
        <v>0.36799999999999999</v>
      </c>
      <c r="W106" s="7">
        <f>ROUND(6.27/E106,3)</f>
        <v>0.16500000000000001</v>
      </c>
      <c r="X106" s="7">
        <v>0.57999999999999996</v>
      </c>
      <c r="Y106" s="7">
        <v>0.59</v>
      </c>
      <c r="Z106" s="7">
        <v>0.56000000000000005</v>
      </c>
      <c r="AA106" s="7">
        <f>ROUND(18.37/E106,3)</f>
        <v>0.48299999999999998</v>
      </c>
      <c r="AB106" s="7">
        <f>ROUND(8/E106,3)</f>
        <v>0.21099999999999999</v>
      </c>
      <c r="AC106" s="7">
        <v>8482077</v>
      </c>
    </row>
    <row r="107" spans="1:29" ht="15" customHeight="1" x14ac:dyDescent="0.2">
      <c r="A107" s="7" t="s">
        <v>368</v>
      </c>
      <c r="B107" s="7" t="s">
        <v>60</v>
      </c>
      <c r="D107" s="7">
        <v>19</v>
      </c>
      <c r="K107" s="7"/>
      <c r="AC107" s="7">
        <v>8483516</v>
      </c>
    </row>
    <row r="108" spans="1:29" ht="15" customHeight="1" x14ac:dyDescent="0.2">
      <c r="A108" s="7" t="s">
        <v>369</v>
      </c>
      <c r="B108" s="7" t="s">
        <v>60</v>
      </c>
      <c r="C108" s="7" t="s">
        <v>138</v>
      </c>
      <c r="D108" s="7">
        <v>22</v>
      </c>
      <c r="E108" s="7">
        <v>27</v>
      </c>
      <c r="F108" s="7">
        <f>ROUND(9/E108,3)</f>
        <v>0.33300000000000002</v>
      </c>
      <c r="G108" s="7">
        <f>ROUND(10/E108,3)</f>
        <v>0.37</v>
      </c>
      <c r="H108" s="7">
        <f>ROUND(56/E108,3)</f>
        <v>2.0739999999999998</v>
      </c>
      <c r="I108" s="7">
        <f>ROUND(31/E108,3)</f>
        <v>1.1479999999999999</v>
      </c>
      <c r="J108" s="7">
        <f>ROUND(12/E108,3)</f>
        <v>0.44400000000000001</v>
      </c>
      <c r="K108" s="7">
        <f>8*F108+6*G108+1*H108+1*J108+0.5*I108</f>
        <v>7.976</v>
      </c>
      <c r="L108" s="7">
        <f>ROUND(422.31666666667/E108,3)</f>
        <v>15.641</v>
      </c>
      <c r="M108" s="7">
        <f>ROUND(8/E108,3)</f>
        <v>0.29599999999999999</v>
      </c>
      <c r="N108" s="7" t="s">
        <v>939</v>
      </c>
      <c r="O108" s="7" t="s">
        <v>940</v>
      </c>
      <c r="P108" s="7">
        <f>ROUND(109/E108,3)</f>
        <v>4.0369999999999999</v>
      </c>
      <c r="Q108" s="7">
        <f>ROUND(85/E108,3)</f>
        <v>3.1480000000000001</v>
      </c>
      <c r="R108" s="7">
        <f>ROUND(58/E108,3)</f>
        <v>2.1480000000000001</v>
      </c>
      <c r="S108" s="7">
        <f>ROUND(21/E108,3)</f>
        <v>0.77800000000000002</v>
      </c>
      <c r="T108" s="7">
        <f>ROUND(8.34/E108,3)</f>
        <v>0.309</v>
      </c>
      <c r="U108" s="7">
        <f>ROUND(7/E108,3)</f>
        <v>0.25900000000000001</v>
      </c>
      <c r="V108" s="7">
        <f>ROUND(9/E108,3)</f>
        <v>0.33300000000000002</v>
      </c>
      <c r="W108" s="7">
        <f>ROUND(7.78/E108,3)</f>
        <v>0.28799999999999998</v>
      </c>
      <c r="X108" s="7">
        <v>0.52</v>
      </c>
      <c r="Y108" s="7">
        <v>0.53</v>
      </c>
      <c r="Z108" s="7">
        <v>0.52</v>
      </c>
      <c r="AA108" s="7">
        <f>ROUND(19.27/E108,3)</f>
        <v>0.71399999999999997</v>
      </c>
      <c r="AB108" s="7">
        <f>ROUND(8/E108,3)</f>
        <v>0.29599999999999999</v>
      </c>
      <c r="AC108" s="7">
        <v>8482097</v>
      </c>
    </row>
    <row r="109" spans="1:29" ht="15" customHeight="1" x14ac:dyDescent="0.2">
      <c r="A109" s="7" t="s">
        <v>370</v>
      </c>
      <c r="B109" s="7" t="s">
        <v>60</v>
      </c>
      <c r="D109" s="7">
        <v>18</v>
      </c>
      <c r="K109" s="7"/>
      <c r="AC109" s="7">
        <v>8484387</v>
      </c>
    </row>
    <row r="110" spans="1:29" ht="15" customHeight="1" x14ac:dyDescent="0.2">
      <c r="A110" s="7" t="s">
        <v>371</v>
      </c>
      <c r="B110" s="7" t="s">
        <v>55</v>
      </c>
      <c r="C110" s="7" t="s">
        <v>274</v>
      </c>
      <c r="D110" s="7">
        <v>28</v>
      </c>
      <c r="E110" s="7">
        <v>73</v>
      </c>
      <c r="F110" s="7">
        <f>ROUND(23/E110,3)</f>
        <v>0.315</v>
      </c>
      <c r="G110" s="7">
        <f>ROUND(57/E110,3)</f>
        <v>0.78100000000000003</v>
      </c>
      <c r="H110" s="7">
        <f>ROUND(194/E110,3)</f>
        <v>2.6579999999999999</v>
      </c>
      <c r="I110" s="7">
        <f>ROUND(104/E110,3)</f>
        <v>1.425</v>
      </c>
      <c r="J110" s="7">
        <f>ROUND(50/E110,3)</f>
        <v>0.68500000000000005</v>
      </c>
      <c r="K110" s="7">
        <f>8*F110+6*G110+1*H110+1*J110+0.5*I110</f>
        <v>11.2615</v>
      </c>
      <c r="L110" s="7">
        <f>ROUND(1433.4833333333/E110,3)</f>
        <v>19.637</v>
      </c>
      <c r="M110" s="7">
        <f>ROUND(24/E110,3)</f>
        <v>0.32900000000000001</v>
      </c>
      <c r="N110" s="7" t="s">
        <v>941</v>
      </c>
      <c r="O110" s="7" t="s">
        <v>942</v>
      </c>
      <c r="P110" s="7">
        <f>ROUND(373/E110,3)</f>
        <v>5.1100000000000003</v>
      </c>
      <c r="Q110" s="7">
        <f>ROUND(285/E110,3)</f>
        <v>3.9039999999999999</v>
      </c>
      <c r="R110" s="7">
        <f>ROUND(219/E110,3)</f>
        <v>3</v>
      </c>
      <c r="S110" s="7">
        <f>ROUND(90/E110,3)</f>
        <v>1.2330000000000001</v>
      </c>
      <c r="T110" s="7">
        <f>ROUND(24.32/E110,3)</f>
        <v>0.33300000000000002</v>
      </c>
      <c r="U110" s="7">
        <f>ROUND(31/E110,3)</f>
        <v>0.42499999999999999</v>
      </c>
      <c r="V110" s="7">
        <f>ROUND(61/E110,3)</f>
        <v>0.83599999999999997</v>
      </c>
      <c r="W110" s="7">
        <f>ROUND(27.93/E110,3)</f>
        <v>0.38300000000000001</v>
      </c>
      <c r="X110" s="7">
        <v>0.66</v>
      </c>
      <c r="Y110" s="7">
        <v>0.62</v>
      </c>
      <c r="Z110" s="7">
        <v>0.62</v>
      </c>
      <c r="AA110" s="7">
        <f>ROUND(93.6/E110,3)</f>
        <v>1.282</v>
      </c>
      <c r="AB110" s="7">
        <f>ROUND(33/E110,3)</f>
        <v>0.45200000000000001</v>
      </c>
      <c r="AC110" s="7">
        <v>8477493</v>
      </c>
    </row>
    <row r="112" spans="1:29" ht="15" customHeight="1" x14ac:dyDescent="0.2">
      <c r="A112" s="4" t="s">
        <v>374</v>
      </c>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spans="1:29" ht="15" customHeight="1" x14ac:dyDescent="0.2">
      <c r="A113" s="6" t="s">
        <v>25</v>
      </c>
      <c r="B113" s="6" t="s">
        <v>26</v>
      </c>
      <c r="C113" s="6" t="s">
        <v>27</v>
      </c>
      <c r="D113" s="6" t="s">
        <v>28</v>
      </c>
      <c r="E113" s="6" t="s">
        <v>29</v>
      </c>
      <c r="F113" s="6" t="s">
        <v>30</v>
      </c>
      <c r="G113" s="6" t="s">
        <v>31</v>
      </c>
      <c r="H113" s="6" t="s">
        <v>32</v>
      </c>
      <c r="I113" s="6" t="s">
        <v>33</v>
      </c>
      <c r="J113" s="6" t="s">
        <v>34</v>
      </c>
      <c r="K113" s="6" t="s">
        <v>35</v>
      </c>
      <c r="L113" s="6" t="s">
        <v>36</v>
      </c>
      <c r="M113" s="6" t="s">
        <v>37</v>
      </c>
      <c r="N113" s="6" t="s">
        <v>38</v>
      </c>
      <c r="O113" s="6" t="s">
        <v>39</v>
      </c>
      <c r="P113" s="6" t="s">
        <v>40</v>
      </c>
      <c r="Q113" s="6" t="s">
        <v>41</v>
      </c>
      <c r="R113" s="6" t="s">
        <v>42</v>
      </c>
      <c r="S113" s="6" t="s">
        <v>43</v>
      </c>
      <c r="T113" s="6" t="s">
        <v>44</v>
      </c>
      <c r="U113" s="6" t="s">
        <v>45</v>
      </c>
      <c r="V113" s="6" t="s">
        <v>46</v>
      </c>
      <c r="W113" s="6" t="s">
        <v>47</v>
      </c>
      <c r="X113" s="6" t="s">
        <v>48</v>
      </c>
      <c r="Y113" s="6" t="s">
        <v>49</v>
      </c>
      <c r="Z113" s="6" t="s">
        <v>50</v>
      </c>
      <c r="AA113" s="6" t="s">
        <v>51</v>
      </c>
      <c r="AB113" s="6" t="s">
        <v>52</v>
      </c>
      <c r="AC113" s="6" t="s">
        <v>53</v>
      </c>
    </row>
    <row r="114" spans="1:29" ht="15" customHeight="1" x14ac:dyDescent="0.2">
      <c r="A114" s="7" t="s">
        <v>375</v>
      </c>
      <c r="B114" s="7" t="s">
        <v>376</v>
      </c>
      <c r="C114" s="7" t="s">
        <v>56</v>
      </c>
      <c r="D114" s="7">
        <v>23</v>
      </c>
      <c r="E114" s="7">
        <v>81</v>
      </c>
      <c r="F114" s="7">
        <f>ROUND(18/E114,3)</f>
        <v>0.222</v>
      </c>
      <c r="G114" s="7">
        <f>ROUND(64/E114,3)</f>
        <v>0.79</v>
      </c>
      <c r="H114" s="7">
        <f>ROUND(220/E114,3)</f>
        <v>2.7160000000000002</v>
      </c>
      <c r="I114" s="7">
        <f>ROUND(71/E114,3)</f>
        <v>0.877</v>
      </c>
      <c r="J114" s="7">
        <f>ROUND(105/E114,3)</f>
        <v>1.296</v>
      </c>
      <c r="K114" s="7">
        <f t="shared" ref="K114:K126" si="4">8*F114+6*G114+1*H114+1*J114+0.5*I114</f>
        <v>10.966499999999998</v>
      </c>
      <c r="L114" s="7">
        <f>ROUND(1862.7666666667/E114,3)</f>
        <v>22.997</v>
      </c>
      <c r="M114" s="7">
        <f>ROUND(32/E114,3)</f>
        <v>0.39500000000000002</v>
      </c>
      <c r="N114" s="7" t="s">
        <v>943</v>
      </c>
      <c r="O114" s="7" t="s">
        <v>944</v>
      </c>
      <c r="P114" s="7">
        <f>ROUND(488/E114,3)</f>
        <v>6.0250000000000004</v>
      </c>
      <c r="Q114" s="7">
        <f>ROUND(303/E114,3)</f>
        <v>3.7410000000000001</v>
      </c>
      <c r="R114" s="7">
        <f>ROUND(134/E114,3)</f>
        <v>1.6539999999999999</v>
      </c>
      <c r="S114" s="7">
        <f>ROUND(14/E114,3)</f>
        <v>0.17299999999999999</v>
      </c>
      <c r="T114" s="7">
        <f>ROUND(12.45/E114,3)</f>
        <v>0.154</v>
      </c>
      <c r="U114" s="7">
        <f>ROUND(82/E114,3)</f>
        <v>1.012</v>
      </c>
      <c r="V114" s="7">
        <f>ROUND(59/E114,3)</f>
        <v>0.72799999999999998</v>
      </c>
      <c r="W114" s="7">
        <f>ROUND(12.12/E114,3)</f>
        <v>0.15</v>
      </c>
      <c r="X114" s="7">
        <v>0.67</v>
      </c>
      <c r="Y114" s="7">
        <v>0.65</v>
      </c>
      <c r="Z114" s="7">
        <v>0.65</v>
      </c>
      <c r="AA114" s="7">
        <f>ROUND(108.05/E114,3)</f>
        <v>1.3340000000000001</v>
      </c>
      <c r="AB114" s="7">
        <f>ROUND(8/E114,3)</f>
        <v>9.9000000000000005E-2</v>
      </c>
      <c r="AC114" s="7">
        <v>8480803</v>
      </c>
    </row>
    <row r="115" spans="1:29" ht="15" customHeight="1" x14ac:dyDescent="0.2">
      <c r="A115" s="7" t="s">
        <v>379</v>
      </c>
      <c r="B115" s="7" t="s">
        <v>376</v>
      </c>
      <c r="C115" s="7" t="s">
        <v>380</v>
      </c>
      <c r="D115" s="7">
        <v>26</v>
      </c>
      <c r="E115" s="7">
        <v>70</v>
      </c>
      <c r="F115" s="7">
        <f>ROUND(11/E115,3)</f>
        <v>0.157</v>
      </c>
      <c r="G115" s="7">
        <f>ROUND(46/E115,3)</f>
        <v>0.65700000000000003</v>
      </c>
      <c r="H115" s="7">
        <f>ROUND(202/E115,3)</f>
        <v>2.8860000000000001</v>
      </c>
      <c r="I115" s="7">
        <f>ROUND(23/E115,3)</f>
        <v>0.32900000000000001</v>
      </c>
      <c r="J115" s="7">
        <f>ROUND(130/E115,3)</f>
        <v>1.857</v>
      </c>
      <c r="K115" s="7">
        <f t="shared" si="4"/>
        <v>10.105499999999999</v>
      </c>
      <c r="L115" s="7">
        <f>ROUND(1711.6/E115,3)</f>
        <v>24.451000000000001</v>
      </c>
      <c r="M115" s="7">
        <f>ROUND(22/E115,3)</f>
        <v>0.314</v>
      </c>
      <c r="N115" s="7" t="s">
        <v>945</v>
      </c>
      <c r="O115" s="7" t="s">
        <v>946</v>
      </c>
      <c r="P115" s="7">
        <f>ROUND(442/E115,3)</f>
        <v>6.3140000000000001</v>
      </c>
      <c r="Q115" s="7">
        <f>ROUND(285/E115,3)</f>
        <v>4.0709999999999997</v>
      </c>
      <c r="R115" s="7">
        <f>ROUND(138/E115,3)</f>
        <v>1.9710000000000001</v>
      </c>
      <c r="S115" s="7">
        <f>ROUND(29/E115,3)</f>
        <v>0.41399999999999998</v>
      </c>
      <c r="T115" s="7">
        <f>ROUND(11.39/E115,3)</f>
        <v>0.16300000000000001</v>
      </c>
      <c r="U115" s="7">
        <f>ROUND(26/E115,3)</f>
        <v>0.371</v>
      </c>
      <c r="V115" s="7">
        <f>ROUND(35/E115,3)</f>
        <v>0.5</v>
      </c>
      <c r="W115" s="7">
        <f>ROUND(13.89/E115,3)</f>
        <v>0.19800000000000001</v>
      </c>
      <c r="X115" s="7">
        <v>0.5</v>
      </c>
      <c r="Y115" s="7">
        <v>0.52</v>
      </c>
      <c r="Z115" s="7">
        <v>0.51</v>
      </c>
      <c r="AA115" s="7">
        <f>ROUND(54.95/E115,3)</f>
        <v>0.78500000000000003</v>
      </c>
      <c r="AB115" s="7">
        <f>ROUND(15/E115,3)</f>
        <v>0.214</v>
      </c>
      <c r="AC115" s="7">
        <v>8478460</v>
      </c>
    </row>
    <row r="116" spans="1:29" ht="15" customHeight="1" x14ac:dyDescent="0.2">
      <c r="A116" s="7" t="s">
        <v>383</v>
      </c>
      <c r="B116" s="7" t="s">
        <v>376</v>
      </c>
      <c r="C116" s="7" t="s">
        <v>66</v>
      </c>
      <c r="D116" s="7">
        <v>24</v>
      </c>
      <c r="E116" s="7">
        <v>77</v>
      </c>
      <c r="F116" s="7">
        <f>ROUND(21/E116,3)</f>
        <v>0.27300000000000002</v>
      </c>
      <c r="G116" s="7">
        <f>ROUND(69/E116,3)</f>
        <v>0.89600000000000002</v>
      </c>
      <c r="H116" s="7">
        <f>ROUND(231/E116,3)</f>
        <v>3</v>
      </c>
      <c r="I116" s="7">
        <f>ROUND(37/E116,3)</f>
        <v>0.48099999999999998</v>
      </c>
      <c r="J116" s="7">
        <f>ROUND(148/E116,3)</f>
        <v>1.9219999999999999</v>
      </c>
      <c r="K116" s="7">
        <f t="shared" si="4"/>
        <v>12.722500000000002</v>
      </c>
      <c r="L116" s="7">
        <f>ROUND(1907.2666666667/E116,3)</f>
        <v>24.77</v>
      </c>
      <c r="M116" s="7">
        <f>ROUND(16/E116,3)</f>
        <v>0.20799999999999999</v>
      </c>
      <c r="N116" s="7" t="s">
        <v>947</v>
      </c>
      <c r="O116" s="7" t="s">
        <v>600</v>
      </c>
      <c r="P116" s="7">
        <f>ROUND(539/E116,3)</f>
        <v>7</v>
      </c>
      <c r="Q116" s="7">
        <f>ROUND(352/E116,3)</f>
        <v>4.5709999999999997</v>
      </c>
      <c r="R116" s="7">
        <f>ROUND(178/E116,3)</f>
        <v>2.3119999999999998</v>
      </c>
      <c r="S116" s="7">
        <f>ROUND(23/E116,3)</f>
        <v>0.29899999999999999</v>
      </c>
      <c r="T116" s="7">
        <f>ROUND(15.59/E116,3)</f>
        <v>0.20200000000000001</v>
      </c>
      <c r="U116" s="7">
        <f>ROUND(42/E116,3)</f>
        <v>0.54500000000000004</v>
      </c>
      <c r="V116" s="7">
        <f>ROUND(70/E116,3)</f>
        <v>0.90900000000000003</v>
      </c>
      <c r="W116" s="7">
        <f>ROUND(16.43/E116,3)</f>
        <v>0.21299999999999999</v>
      </c>
      <c r="X116" s="7">
        <v>0.55000000000000004</v>
      </c>
      <c r="Y116" s="7">
        <v>0.55000000000000004</v>
      </c>
      <c r="Z116" s="7">
        <v>0.54</v>
      </c>
      <c r="AA116" s="7">
        <f>ROUND(94.33/E116,3)</f>
        <v>1.2250000000000001</v>
      </c>
      <c r="AB116" s="7">
        <f>ROUND(15/E116,3)</f>
        <v>0.19500000000000001</v>
      </c>
      <c r="AC116" s="7">
        <v>8480069</v>
      </c>
    </row>
    <row r="117" spans="1:29" ht="15" customHeight="1" x14ac:dyDescent="0.2">
      <c r="A117" s="7" t="s">
        <v>386</v>
      </c>
      <c r="B117" s="7" t="s">
        <v>376</v>
      </c>
      <c r="C117" s="7" t="s">
        <v>76</v>
      </c>
      <c r="D117" s="7">
        <v>19</v>
      </c>
      <c r="E117" s="7">
        <v>2</v>
      </c>
      <c r="F117" s="7">
        <f>ROUND(0/E117,3)</f>
        <v>0</v>
      </c>
      <c r="G117" s="7">
        <f>ROUND(2/E117,3)</f>
        <v>1</v>
      </c>
      <c r="H117" s="7">
        <f>ROUND(3/E117,3)</f>
        <v>1.5</v>
      </c>
      <c r="I117" s="7">
        <f>ROUND(1/E117,3)</f>
        <v>0.5</v>
      </c>
      <c r="J117" s="7">
        <f>ROUND(0/E117,3)</f>
        <v>0</v>
      </c>
      <c r="K117" s="7">
        <f t="shared" si="4"/>
        <v>7.75</v>
      </c>
      <c r="L117" s="7">
        <f>ROUND(45.433333333333/E117,3)</f>
        <v>22.716999999999999</v>
      </c>
      <c r="M117" s="7">
        <f>ROUND(0/E117,3)</f>
        <v>0</v>
      </c>
      <c r="N117" s="7" t="s">
        <v>64</v>
      </c>
      <c r="O117" s="7" t="s">
        <v>207</v>
      </c>
      <c r="P117" s="7">
        <f>ROUND(6/E117,3)</f>
        <v>3</v>
      </c>
      <c r="Q117" s="7">
        <f>ROUND(4/E117,3)</f>
        <v>2</v>
      </c>
      <c r="R117" s="7">
        <f>ROUND(3/E117,3)</f>
        <v>1.5</v>
      </c>
      <c r="S117" s="7">
        <f>ROUND(0/E117,3)</f>
        <v>0</v>
      </c>
      <c r="T117" s="7">
        <f>ROUND(0.21/E117,3)</f>
        <v>0.105</v>
      </c>
      <c r="U117" s="7">
        <f>ROUND(4/E117,3)</f>
        <v>2</v>
      </c>
      <c r="V117" s="7">
        <f>ROUND(3/E117,3)</f>
        <v>1.5</v>
      </c>
      <c r="W117" s="7">
        <f>ROUND(0.22/E117,3)</f>
        <v>0.11</v>
      </c>
      <c r="X117" s="7">
        <v>0.56000000000000005</v>
      </c>
      <c r="Y117" s="7">
        <v>0.41</v>
      </c>
      <c r="Z117" s="7">
        <v>0.4</v>
      </c>
      <c r="AA117" s="7">
        <f>ROUND(0.68/E117,3)</f>
        <v>0.34</v>
      </c>
      <c r="AB117" s="7">
        <f>ROUND(0/E117,3)</f>
        <v>0</v>
      </c>
      <c r="AC117" s="7">
        <v>8483457</v>
      </c>
    </row>
    <row r="118" spans="1:29" ht="15" customHeight="1" x14ac:dyDescent="0.2">
      <c r="A118" s="7" t="s">
        <v>387</v>
      </c>
      <c r="B118" s="7" t="s">
        <v>376</v>
      </c>
      <c r="C118" s="7" t="s">
        <v>307</v>
      </c>
      <c r="D118" s="7">
        <v>23</v>
      </c>
      <c r="E118" s="7">
        <v>82</v>
      </c>
      <c r="F118" s="7">
        <f>ROUND(17/E118,3)</f>
        <v>0.20699999999999999</v>
      </c>
      <c r="G118" s="7">
        <f>ROUND(75/E118,3)</f>
        <v>0.91500000000000004</v>
      </c>
      <c r="H118" s="7">
        <f>ROUND(199/E118,3)</f>
        <v>2.427</v>
      </c>
      <c r="I118" s="7">
        <f>ROUND(29/E118,3)</f>
        <v>0.35399999999999998</v>
      </c>
      <c r="J118" s="7">
        <f>ROUND(55/E118,3)</f>
        <v>0.67100000000000004</v>
      </c>
      <c r="K118" s="7">
        <f t="shared" si="4"/>
        <v>10.420999999999999</v>
      </c>
      <c r="L118" s="7">
        <f>ROUND(2024.1666666667/E118,3)</f>
        <v>24.684999999999999</v>
      </c>
      <c r="M118" s="7">
        <f>ROUND(38/E118,3)</f>
        <v>0.46300000000000002</v>
      </c>
      <c r="N118" s="7" t="s">
        <v>948</v>
      </c>
      <c r="O118" s="7" t="s">
        <v>949</v>
      </c>
      <c r="P118" s="7">
        <f>ROUND(540/E118,3)</f>
        <v>6.585</v>
      </c>
      <c r="Q118" s="7">
        <f>ROUND(298/E118,3)</f>
        <v>3.6339999999999999</v>
      </c>
      <c r="R118" s="7">
        <f>ROUND(165/E118,3)</f>
        <v>2.012</v>
      </c>
      <c r="S118" s="7">
        <f>ROUND(9/E118,3)</f>
        <v>0.11</v>
      </c>
      <c r="T118" s="7">
        <f>ROUND(11.45/E118,3)</f>
        <v>0.14000000000000001</v>
      </c>
      <c r="U118" s="7">
        <f>ROUND(52/E118,3)</f>
        <v>0.63400000000000001</v>
      </c>
      <c r="V118" s="7">
        <f>ROUND(43/E118,3)</f>
        <v>0.52400000000000002</v>
      </c>
      <c r="W118" s="7">
        <f>ROUND(11.18/E118,3)</f>
        <v>0.13600000000000001</v>
      </c>
      <c r="X118" s="7">
        <v>0.61</v>
      </c>
      <c r="Y118" s="7">
        <v>0.62</v>
      </c>
      <c r="Z118" s="7">
        <v>0.6</v>
      </c>
      <c r="AA118" s="7">
        <f>ROUND(102.82/E118,3)</f>
        <v>1.254</v>
      </c>
      <c r="AB118" s="7">
        <f>ROUND(10/E118,3)</f>
        <v>0.122</v>
      </c>
      <c r="AC118" s="7">
        <v>8480800</v>
      </c>
    </row>
    <row r="119" spans="1:29" ht="15" customHeight="1" x14ac:dyDescent="0.2">
      <c r="A119" s="7" t="s">
        <v>390</v>
      </c>
      <c r="B119" s="7" t="s">
        <v>376</v>
      </c>
      <c r="C119" s="7" t="s">
        <v>138</v>
      </c>
      <c r="D119" s="7">
        <v>23</v>
      </c>
      <c r="E119" s="7">
        <v>81</v>
      </c>
      <c r="F119" s="7">
        <f>ROUND(20/E119,3)</f>
        <v>0.247</v>
      </c>
      <c r="G119" s="7">
        <f>ROUND(39/E119,3)</f>
        <v>0.48099999999999998</v>
      </c>
      <c r="H119" s="7">
        <f>ROUND(235/E119,3)</f>
        <v>2.9009999999999998</v>
      </c>
      <c r="I119" s="7">
        <f>ROUND(195/E119,3)</f>
        <v>2.407</v>
      </c>
      <c r="J119" s="7">
        <f>ROUND(154/E119,3)</f>
        <v>1.901</v>
      </c>
      <c r="K119" s="7">
        <f t="shared" si="4"/>
        <v>10.8675</v>
      </c>
      <c r="L119" s="7">
        <f>ROUND(2059.2166666667/E119,3)</f>
        <v>25.422000000000001</v>
      </c>
      <c r="M119" s="7">
        <f>ROUND(66/E119,3)</f>
        <v>0.81499999999999995</v>
      </c>
      <c r="N119" s="7" t="s">
        <v>950</v>
      </c>
      <c r="O119" s="7" t="s">
        <v>951</v>
      </c>
      <c r="P119" s="7">
        <f>ROUND(474/E119,3)</f>
        <v>5.8520000000000003</v>
      </c>
      <c r="Q119" s="7">
        <f>ROUND(326/E119,3)</f>
        <v>4.0250000000000004</v>
      </c>
      <c r="R119" s="7">
        <f>ROUND(139/E119,3)</f>
        <v>1.716</v>
      </c>
      <c r="S119" s="7">
        <f>ROUND(20/E119,3)</f>
        <v>0.247</v>
      </c>
      <c r="T119" s="7">
        <f>ROUND(14.61/E119,3)</f>
        <v>0.18</v>
      </c>
      <c r="U119" s="7">
        <f>ROUND(44/E119,3)</f>
        <v>0.54300000000000004</v>
      </c>
      <c r="V119" s="7">
        <f>ROUND(42/E119,3)</f>
        <v>0.51900000000000002</v>
      </c>
      <c r="W119" s="7">
        <f>ROUND(14.26/E119,3)</f>
        <v>0.17599999999999999</v>
      </c>
      <c r="X119" s="7">
        <v>0.55000000000000004</v>
      </c>
      <c r="Y119" s="7">
        <v>0.57999999999999996</v>
      </c>
      <c r="Z119" s="7">
        <v>0.57999999999999996</v>
      </c>
      <c r="AA119" s="7">
        <f>ROUND(77.08/E119,3)</f>
        <v>0.95199999999999996</v>
      </c>
      <c r="AB119" s="7">
        <f>ROUND(12/E119,3)</f>
        <v>0.14799999999999999</v>
      </c>
      <c r="AC119" s="7">
        <v>8480839</v>
      </c>
    </row>
    <row r="120" spans="1:29" ht="15" customHeight="1" x14ac:dyDescent="0.2">
      <c r="A120" s="7" t="s">
        <v>393</v>
      </c>
      <c r="B120" s="7" t="s">
        <v>376</v>
      </c>
      <c r="C120" s="7" t="s">
        <v>61</v>
      </c>
      <c r="D120" s="7">
        <v>27</v>
      </c>
      <c r="E120" s="7">
        <v>82</v>
      </c>
      <c r="F120" s="7">
        <f>ROUND(6/E120,3)</f>
        <v>7.2999999999999995E-2</v>
      </c>
      <c r="G120" s="7">
        <f>ROUND(27/E120,3)</f>
        <v>0.32900000000000001</v>
      </c>
      <c r="H120" s="7">
        <f>ROUND(101/E120,3)</f>
        <v>1.232</v>
      </c>
      <c r="I120" s="7">
        <f>ROUND(75/E120,3)</f>
        <v>0.91500000000000004</v>
      </c>
      <c r="J120" s="7">
        <f>ROUND(105/E120,3)</f>
        <v>1.28</v>
      </c>
      <c r="K120" s="7">
        <f t="shared" si="4"/>
        <v>5.5274999999999999</v>
      </c>
      <c r="L120" s="7">
        <f>ROUND(1566.6666666667/E120,3)</f>
        <v>19.106000000000002</v>
      </c>
      <c r="M120" s="7">
        <f>ROUND(21/E120,3)</f>
        <v>0.25600000000000001</v>
      </c>
      <c r="N120" s="7" t="s">
        <v>952</v>
      </c>
      <c r="O120" s="7" t="s">
        <v>953</v>
      </c>
      <c r="P120" s="7">
        <f>ROUND(242/E120,3)</f>
        <v>2.9510000000000001</v>
      </c>
      <c r="Q120" s="7">
        <f>ROUND(158/E120,3)</f>
        <v>1.927</v>
      </c>
      <c r="R120" s="7">
        <f>ROUND(68/E120,3)</f>
        <v>0.82899999999999996</v>
      </c>
      <c r="S120" s="7">
        <f>ROUND(11/E120,3)</f>
        <v>0.13400000000000001</v>
      </c>
      <c r="T120" s="7">
        <f>ROUND(4.33/E120,3)</f>
        <v>5.2999999999999999E-2</v>
      </c>
      <c r="U120" s="7">
        <f>ROUND(28/E120,3)</f>
        <v>0.34100000000000003</v>
      </c>
      <c r="V120" s="7">
        <f>ROUND(14/E120,3)</f>
        <v>0.17100000000000001</v>
      </c>
      <c r="W120" s="7">
        <f>ROUND(4.46/E120,3)</f>
        <v>5.3999999999999999E-2</v>
      </c>
      <c r="X120" s="7">
        <v>0.54</v>
      </c>
      <c r="Y120" s="7">
        <v>0.52</v>
      </c>
      <c r="Z120" s="7">
        <v>0.51</v>
      </c>
      <c r="AA120" s="7">
        <f>ROUND(39.83/E120,3)</f>
        <v>0.48599999999999999</v>
      </c>
      <c r="AB120" s="7">
        <f>ROUND(1/E120,3)</f>
        <v>1.2E-2</v>
      </c>
      <c r="AC120" s="7">
        <v>8478178</v>
      </c>
    </row>
    <row r="121" spans="1:29" ht="15" customHeight="1" x14ac:dyDescent="0.2">
      <c r="A121" s="7" t="s">
        <v>394</v>
      </c>
      <c r="B121" s="7" t="s">
        <v>376</v>
      </c>
      <c r="C121" s="7" t="s">
        <v>114</v>
      </c>
      <c r="D121" s="7">
        <v>33</v>
      </c>
      <c r="E121" s="7">
        <v>82</v>
      </c>
      <c r="F121" s="7">
        <f>ROUND(11/E121,3)</f>
        <v>0.13400000000000001</v>
      </c>
      <c r="G121" s="7">
        <f>ROUND(45/E121,3)</f>
        <v>0.54900000000000004</v>
      </c>
      <c r="H121" s="7">
        <f>ROUND(213/E121,3)</f>
        <v>2.5979999999999999</v>
      </c>
      <c r="I121" s="7">
        <f>ROUND(40/E121,3)</f>
        <v>0.48799999999999999</v>
      </c>
      <c r="J121" s="7">
        <f>ROUND(99/E121,3)</f>
        <v>1.2070000000000001</v>
      </c>
      <c r="K121" s="7">
        <f t="shared" si="4"/>
        <v>8.4150000000000009</v>
      </c>
      <c r="L121" s="7">
        <f>ROUND(1990.0166666667/E121,3)</f>
        <v>24.268000000000001</v>
      </c>
      <c r="M121" s="7">
        <f>ROUND(44/E121,3)</f>
        <v>0.53700000000000003</v>
      </c>
      <c r="N121" s="7" t="s">
        <v>610</v>
      </c>
      <c r="O121" s="7" t="s">
        <v>954</v>
      </c>
      <c r="P121" s="7">
        <f>ROUND(549/E121,3)</f>
        <v>6.6950000000000003</v>
      </c>
      <c r="Q121" s="7">
        <f>ROUND(310/E121,3)</f>
        <v>3.78</v>
      </c>
      <c r="R121" s="7">
        <f>ROUND(156/E121,3)</f>
        <v>1.9019999999999999</v>
      </c>
      <c r="S121" s="7">
        <f>ROUND(18/E121,3)</f>
        <v>0.22</v>
      </c>
      <c r="T121" s="7">
        <f>ROUND(11.47/E121,3)</f>
        <v>0.14000000000000001</v>
      </c>
      <c r="U121" s="7">
        <f>ROUND(71/E121,3)</f>
        <v>0.86599999999999999</v>
      </c>
      <c r="V121" s="7">
        <f>ROUND(50/E121,3)</f>
        <v>0.61</v>
      </c>
      <c r="W121" s="7">
        <f>ROUND(10.44/E121,3)</f>
        <v>0.127</v>
      </c>
      <c r="X121" s="7">
        <v>0.61</v>
      </c>
      <c r="Y121" s="7">
        <v>0.6</v>
      </c>
      <c r="Z121" s="7">
        <v>0.57999999999999996</v>
      </c>
      <c r="AA121" s="7">
        <f>ROUND(72.73/E121,3)</f>
        <v>0.88700000000000001</v>
      </c>
      <c r="AB121" s="7">
        <f>ROUND(6/E121,3)</f>
        <v>7.2999999999999995E-2</v>
      </c>
      <c r="AC121" s="7">
        <v>8474578</v>
      </c>
    </row>
    <row r="122" spans="1:29" ht="15" customHeight="1" x14ac:dyDescent="0.2">
      <c r="A122" s="7" t="s">
        <v>397</v>
      </c>
      <c r="B122" s="7" t="s">
        <v>376</v>
      </c>
      <c r="C122" s="7" t="s">
        <v>93</v>
      </c>
      <c r="D122" s="7">
        <v>24</v>
      </c>
      <c r="E122" s="7">
        <v>71</v>
      </c>
      <c r="F122" s="7">
        <f>ROUND(9/E122,3)</f>
        <v>0.127</v>
      </c>
      <c r="G122" s="7">
        <f>ROUND(45/E122,3)</f>
        <v>0.63400000000000001</v>
      </c>
      <c r="H122" s="7">
        <f>ROUND(162/E122,3)</f>
        <v>2.282</v>
      </c>
      <c r="I122" s="7">
        <f>ROUND(56/E122,3)</f>
        <v>0.78900000000000003</v>
      </c>
      <c r="J122" s="7">
        <f>ROUND(97/E122,3)</f>
        <v>1.3660000000000001</v>
      </c>
      <c r="K122" s="7">
        <f t="shared" si="4"/>
        <v>8.8625000000000007</v>
      </c>
      <c r="L122" s="7">
        <f>ROUND(1742.3666666667/E122,3)</f>
        <v>24.54</v>
      </c>
      <c r="M122" s="7">
        <f>ROUND(36/E122,3)</f>
        <v>0.50700000000000001</v>
      </c>
      <c r="N122" s="7" t="s">
        <v>69</v>
      </c>
      <c r="O122" s="7" t="s">
        <v>955</v>
      </c>
      <c r="P122" s="7">
        <f>ROUND(401/E122,3)</f>
        <v>5.6479999999999997</v>
      </c>
      <c r="Q122" s="7">
        <f>ROUND(239/E122,3)</f>
        <v>3.3660000000000001</v>
      </c>
      <c r="R122" s="7">
        <f>ROUND(117/E122,3)</f>
        <v>1.6479999999999999</v>
      </c>
      <c r="S122" s="7">
        <f>ROUND(13/E122,3)</f>
        <v>0.183</v>
      </c>
      <c r="T122" s="7">
        <f>ROUND(10.67/E122,3)</f>
        <v>0.15</v>
      </c>
      <c r="U122" s="7">
        <f>ROUND(36/E122,3)</f>
        <v>0.50700000000000001</v>
      </c>
      <c r="V122" s="7">
        <f>ROUND(33/E122,3)</f>
        <v>0.46500000000000002</v>
      </c>
      <c r="W122" s="7">
        <f>ROUND(9.82/E122,3)</f>
        <v>0.13800000000000001</v>
      </c>
      <c r="X122" s="7">
        <v>0.65</v>
      </c>
      <c r="Y122" s="7">
        <v>0.61</v>
      </c>
      <c r="Z122" s="7">
        <v>0.6</v>
      </c>
      <c r="AA122" s="7">
        <f>ROUND(73.45/E122,3)</f>
        <v>1.0349999999999999</v>
      </c>
      <c r="AB122" s="7">
        <f>ROUND(7/E122,3)</f>
        <v>9.9000000000000005E-2</v>
      </c>
      <c r="AC122" s="7">
        <v>8480036</v>
      </c>
    </row>
    <row r="123" spans="1:29" ht="15" customHeight="1" x14ac:dyDescent="0.2">
      <c r="A123" s="7" t="s">
        <v>400</v>
      </c>
      <c r="B123" s="7" t="s">
        <v>376</v>
      </c>
      <c r="C123" s="7" t="s">
        <v>84</v>
      </c>
      <c r="D123" s="7">
        <v>25</v>
      </c>
      <c r="E123" s="7">
        <v>74</v>
      </c>
      <c r="F123" s="7">
        <f>ROUND(12/E123,3)</f>
        <v>0.16200000000000001</v>
      </c>
      <c r="G123" s="7">
        <f>ROUND(35/E123,3)</f>
        <v>0.47299999999999998</v>
      </c>
      <c r="H123" s="7">
        <f>ROUND(133/E123,3)</f>
        <v>1.7969999999999999</v>
      </c>
      <c r="I123" s="7">
        <f>ROUND(159/E123,3)</f>
        <v>2.149</v>
      </c>
      <c r="J123" s="7">
        <f>ROUND(159/E123,3)</f>
        <v>2.149</v>
      </c>
      <c r="K123" s="7">
        <f t="shared" si="4"/>
        <v>9.1545000000000005</v>
      </c>
      <c r="L123" s="7">
        <f>ROUND(1838.6/E123,3)</f>
        <v>24.846</v>
      </c>
      <c r="M123" s="7">
        <f>ROUND(76/E123,3)</f>
        <v>1.0269999999999999</v>
      </c>
      <c r="N123" s="7" t="s">
        <v>956</v>
      </c>
      <c r="O123" s="7" t="s">
        <v>957</v>
      </c>
      <c r="P123" s="7">
        <f>ROUND(288/E123,3)</f>
        <v>3.8919999999999999</v>
      </c>
      <c r="Q123" s="7">
        <f>ROUND(198/E123,3)</f>
        <v>2.6760000000000002</v>
      </c>
      <c r="R123" s="7">
        <f>ROUND(114/E123,3)</f>
        <v>1.5409999999999999</v>
      </c>
      <c r="S123" s="7">
        <f>ROUND(23/E123,3)</f>
        <v>0.311</v>
      </c>
      <c r="T123" s="7">
        <f>ROUND(9.19/E123,3)</f>
        <v>0.124</v>
      </c>
      <c r="U123" s="7">
        <f>ROUND(57/E123,3)</f>
        <v>0.77</v>
      </c>
      <c r="V123" s="7">
        <f>ROUND(29/E123,3)</f>
        <v>0.39200000000000002</v>
      </c>
      <c r="W123" s="7">
        <f>ROUND(8.99/E123,3)</f>
        <v>0.121</v>
      </c>
      <c r="X123" s="7">
        <v>0.54</v>
      </c>
      <c r="Y123" s="7">
        <v>0.51</v>
      </c>
      <c r="Z123" s="7">
        <v>0.52</v>
      </c>
      <c r="AA123" s="7">
        <f>ROUND(47.13/E123,3)</f>
        <v>0.63700000000000001</v>
      </c>
      <c r="AB123" s="7">
        <f>ROUND(6/E123,3)</f>
        <v>8.1000000000000003E-2</v>
      </c>
      <c r="AC123" s="7">
        <v>8479325</v>
      </c>
    </row>
    <row r="124" spans="1:29" ht="15" customHeight="1" x14ac:dyDescent="0.2">
      <c r="A124" s="7" t="s">
        <v>403</v>
      </c>
      <c r="B124" s="7" t="s">
        <v>376</v>
      </c>
      <c r="C124" s="7" t="s">
        <v>135</v>
      </c>
      <c r="D124" s="7">
        <v>25</v>
      </c>
      <c r="E124" s="7">
        <v>82</v>
      </c>
      <c r="F124" s="7">
        <f>ROUND(14/E124,3)</f>
        <v>0.17100000000000001</v>
      </c>
      <c r="G124" s="7">
        <f>ROUND(27/E124,3)</f>
        <v>0.32900000000000001</v>
      </c>
      <c r="H124" s="7">
        <f>ROUND(204/E124,3)</f>
        <v>2.488</v>
      </c>
      <c r="I124" s="7">
        <f>ROUND(72/E124,3)</f>
        <v>0.878</v>
      </c>
      <c r="J124" s="7">
        <f>ROUND(154/E124,3)</f>
        <v>1.8779999999999999</v>
      </c>
      <c r="K124" s="7">
        <f t="shared" si="4"/>
        <v>8.1470000000000002</v>
      </c>
      <c r="L124" s="7">
        <f>ROUND(1835.9666666667/E124,3)</f>
        <v>22.39</v>
      </c>
      <c r="M124" s="7">
        <f>ROUND(60/E124,3)</f>
        <v>0.73199999999999998</v>
      </c>
      <c r="N124" s="7" t="s">
        <v>958</v>
      </c>
      <c r="O124" s="7" t="s">
        <v>468</v>
      </c>
      <c r="P124" s="7">
        <f>ROUND(485/E124,3)</f>
        <v>5.915</v>
      </c>
      <c r="Q124" s="7">
        <f>ROUND(327/E124,3)</f>
        <v>3.988</v>
      </c>
      <c r="R124" s="7">
        <f>ROUND(151/E124,3)</f>
        <v>1.841</v>
      </c>
      <c r="S124" s="7">
        <f>ROUND(25/E124,3)</f>
        <v>0.30499999999999999</v>
      </c>
      <c r="T124" s="7">
        <f>ROUND(13.28/E124,3)</f>
        <v>0.16200000000000001</v>
      </c>
      <c r="U124" s="7">
        <f>ROUND(73/E124,3)</f>
        <v>0.89</v>
      </c>
      <c r="V124" s="7">
        <f>ROUND(22/E124,3)</f>
        <v>0.26800000000000002</v>
      </c>
      <c r="W124" s="7">
        <f>ROUND(12.93/E124,3)</f>
        <v>0.158</v>
      </c>
      <c r="X124" s="7">
        <v>0.54</v>
      </c>
      <c r="Y124" s="7">
        <v>0.55000000000000004</v>
      </c>
      <c r="Z124" s="7">
        <v>0.56000000000000005</v>
      </c>
      <c r="AA124" s="7">
        <f>ROUND(44.65/E124,3)</f>
        <v>0.54500000000000004</v>
      </c>
      <c r="AB124" s="7">
        <f>ROUND(9/E124,3)</f>
        <v>0.11</v>
      </c>
      <c r="AC124" s="7">
        <v>8479345</v>
      </c>
    </row>
    <row r="125" spans="1:29" ht="15" customHeight="1" x14ac:dyDescent="0.2">
      <c r="A125" s="7" t="s">
        <v>405</v>
      </c>
      <c r="B125" s="7" t="s">
        <v>376</v>
      </c>
      <c r="C125" s="7" t="s">
        <v>259</v>
      </c>
      <c r="D125" s="7">
        <v>33</v>
      </c>
      <c r="E125" s="7">
        <v>82</v>
      </c>
      <c r="F125" s="7">
        <f>ROUND(10/E125,3)</f>
        <v>0.122</v>
      </c>
      <c r="G125" s="7">
        <f>ROUND(42/E125,3)</f>
        <v>0.51200000000000001</v>
      </c>
      <c r="H125" s="7">
        <f>ROUND(176/E125,3)</f>
        <v>2.1459999999999999</v>
      </c>
      <c r="I125" s="7">
        <f>ROUND(69/E125,3)</f>
        <v>0.84099999999999997</v>
      </c>
      <c r="J125" s="7">
        <f>ROUND(194/E125,3)</f>
        <v>2.3660000000000001</v>
      </c>
      <c r="K125" s="7">
        <f t="shared" si="4"/>
        <v>8.980500000000001</v>
      </c>
      <c r="L125" s="7">
        <f>ROUND(2123.1166666667/E125,3)</f>
        <v>25.891999999999999</v>
      </c>
      <c r="M125" s="7">
        <f>ROUND(40/E125,3)</f>
        <v>0.48799999999999999</v>
      </c>
      <c r="N125" s="7" t="s">
        <v>959</v>
      </c>
      <c r="O125" s="7" t="s">
        <v>960</v>
      </c>
      <c r="P125" s="7">
        <f>ROUND(439/E125,3)</f>
        <v>5.3540000000000001</v>
      </c>
      <c r="Q125" s="7">
        <f>ROUND(274/E125,3)</f>
        <v>3.3410000000000002</v>
      </c>
      <c r="R125" s="7">
        <f>ROUND(144/E125,3)</f>
        <v>1.756</v>
      </c>
      <c r="S125" s="7">
        <f>ROUND(27/E125,3)</f>
        <v>0.32900000000000001</v>
      </c>
      <c r="T125" s="7">
        <f>ROUND(12.36/E125,3)</f>
        <v>0.151</v>
      </c>
      <c r="U125" s="7">
        <f>ROUND(82/E125,3)</f>
        <v>1</v>
      </c>
      <c r="V125" s="7">
        <f>ROUND(58/E125,3)</f>
        <v>0.70699999999999996</v>
      </c>
      <c r="W125" s="7">
        <f>ROUND(10.75/E125,3)</f>
        <v>0.13100000000000001</v>
      </c>
      <c r="X125" s="7">
        <v>0.49</v>
      </c>
      <c r="Y125" s="7">
        <v>0.48</v>
      </c>
      <c r="Z125" s="7">
        <v>0.48</v>
      </c>
      <c r="AA125" s="7">
        <f>ROUND(46.45/E125,3)</f>
        <v>0.56599999999999995</v>
      </c>
      <c r="AB125" s="7">
        <f>ROUND(4/E125,3)</f>
        <v>4.9000000000000002E-2</v>
      </c>
      <c r="AC125" s="7">
        <v>8474590</v>
      </c>
    </row>
    <row r="126" spans="1:29" ht="15" customHeight="1" x14ac:dyDescent="0.2">
      <c r="A126" s="7" t="s">
        <v>408</v>
      </c>
      <c r="B126" s="7" t="s">
        <v>376</v>
      </c>
      <c r="C126" s="7" t="s">
        <v>160</v>
      </c>
      <c r="D126" s="7">
        <v>22</v>
      </c>
      <c r="E126" s="7">
        <v>82</v>
      </c>
      <c r="F126" s="7">
        <f>ROUND(9/E126,3)</f>
        <v>0.11</v>
      </c>
      <c r="G126" s="7">
        <f>ROUND(33/E126,3)</f>
        <v>0.40200000000000002</v>
      </c>
      <c r="H126" s="7">
        <f>ROUND(135/E126,3)</f>
        <v>1.6459999999999999</v>
      </c>
      <c r="I126" s="7">
        <f>ROUND(211/E126,3)</f>
        <v>2.573</v>
      </c>
      <c r="J126" s="7">
        <f>ROUND(212/E126,3)</f>
        <v>2.585</v>
      </c>
      <c r="K126" s="7">
        <f t="shared" si="4"/>
        <v>8.8094999999999999</v>
      </c>
      <c r="L126" s="7">
        <f>ROUND(1833.4833333333/E126,3)</f>
        <v>22.36</v>
      </c>
      <c r="M126" s="7">
        <f>ROUND(51/E126,3)</f>
        <v>0.622</v>
      </c>
      <c r="N126" s="7" t="s">
        <v>961</v>
      </c>
      <c r="O126" s="7" t="s">
        <v>706</v>
      </c>
      <c r="P126" s="7">
        <f>ROUND(286/E126,3)</f>
        <v>3.488</v>
      </c>
      <c r="Q126" s="7">
        <f>ROUND(191/E126,3)</f>
        <v>2.3290000000000002</v>
      </c>
      <c r="R126" s="7">
        <f>ROUND(76/E126,3)</f>
        <v>0.92700000000000005</v>
      </c>
      <c r="S126" s="7">
        <f>ROUND(5/E126,3)</f>
        <v>6.0999999999999999E-2</v>
      </c>
      <c r="T126" s="7">
        <f>ROUND(6.41/E126,3)</f>
        <v>7.8E-2</v>
      </c>
      <c r="U126" s="7">
        <f>ROUND(39/E126,3)</f>
        <v>0.47599999999999998</v>
      </c>
      <c r="V126" s="7">
        <f>ROUND(41/E126,3)</f>
        <v>0.5</v>
      </c>
      <c r="W126" s="7">
        <f>ROUND(6.73/E126,3)</f>
        <v>8.2000000000000003E-2</v>
      </c>
      <c r="X126" s="7">
        <v>0.43</v>
      </c>
      <c r="Y126" s="7">
        <v>0.45</v>
      </c>
      <c r="Z126" s="7">
        <v>0.45</v>
      </c>
      <c r="AA126" s="7">
        <f>ROUND(34.77/E126,3)</f>
        <v>0.42399999999999999</v>
      </c>
      <c r="AB126" s="7">
        <f>ROUND(6/E126,3)</f>
        <v>7.2999999999999995E-2</v>
      </c>
      <c r="AC126" s="7">
        <v>8481542</v>
      </c>
    </row>
    <row r="127" spans="1:29" ht="15" customHeight="1" x14ac:dyDescent="0.2">
      <c r="A127" s="7" t="s">
        <v>411</v>
      </c>
      <c r="B127" s="7" t="s">
        <v>376</v>
      </c>
      <c r="D127" s="7">
        <v>16</v>
      </c>
      <c r="K127" s="7"/>
      <c r="AC127" s="7">
        <v>8485366</v>
      </c>
    </row>
    <row r="128" spans="1:29" ht="15" customHeight="1" x14ac:dyDescent="0.2">
      <c r="A128" s="7" t="s">
        <v>412</v>
      </c>
      <c r="B128" s="7" t="s">
        <v>376</v>
      </c>
      <c r="C128" s="7" t="s">
        <v>61</v>
      </c>
      <c r="D128" s="7">
        <v>25</v>
      </c>
      <c r="E128" s="7">
        <v>34</v>
      </c>
      <c r="F128" s="7">
        <f>ROUND(2/E128,3)</f>
        <v>5.8999999999999997E-2</v>
      </c>
      <c r="G128" s="7">
        <f>ROUND(17/E128,3)</f>
        <v>0.5</v>
      </c>
      <c r="H128" s="7">
        <f>ROUND(53/E128,3)</f>
        <v>1.5589999999999999</v>
      </c>
      <c r="I128" s="7">
        <f>ROUND(36/E128,3)</f>
        <v>1.0589999999999999</v>
      </c>
      <c r="J128" s="7">
        <f>ROUND(69/E128,3)</f>
        <v>2.0289999999999999</v>
      </c>
      <c r="K128" s="7">
        <f t="shared" ref="K128:K163" si="5">8*F128+6*G128+1*H128+1*J128+0.5*I128</f>
        <v>7.5894999999999992</v>
      </c>
      <c r="L128" s="7">
        <f>ROUND(766.9/E128,3)</f>
        <v>22.556000000000001</v>
      </c>
      <c r="M128" s="7">
        <f>ROUND(16/E128,3)</f>
        <v>0.47099999999999997</v>
      </c>
      <c r="N128" s="7" t="s">
        <v>962</v>
      </c>
      <c r="O128" s="7" t="s">
        <v>963</v>
      </c>
      <c r="P128" s="7">
        <f>ROUND(142/E128,3)</f>
        <v>4.1760000000000002</v>
      </c>
      <c r="Q128" s="7">
        <f>ROUND(81/E128,3)</f>
        <v>2.3820000000000001</v>
      </c>
      <c r="R128" s="7">
        <f>ROUND(35/E128,3)</f>
        <v>1.0289999999999999</v>
      </c>
      <c r="S128" s="7">
        <f>ROUND(1/E128,3)</f>
        <v>2.9000000000000001E-2</v>
      </c>
      <c r="T128" s="7">
        <f>ROUND(2.86/E128,3)</f>
        <v>8.4000000000000005E-2</v>
      </c>
      <c r="U128" s="7">
        <f>ROUND(18/E128,3)</f>
        <v>0.52900000000000003</v>
      </c>
      <c r="V128" s="7">
        <f>ROUND(7/E128,3)</f>
        <v>0.20599999999999999</v>
      </c>
      <c r="W128" s="7">
        <f>ROUND(2.75/E128,3)</f>
        <v>8.1000000000000003E-2</v>
      </c>
      <c r="X128" s="7">
        <v>0.49</v>
      </c>
      <c r="Y128" s="7">
        <v>0.49</v>
      </c>
      <c r="Z128" s="7">
        <v>0.48</v>
      </c>
      <c r="AA128" s="7">
        <f>ROUND(16.32/E128,3)</f>
        <v>0.48</v>
      </c>
      <c r="AB128" s="7">
        <f>ROUND(3/E128,3)</f>
        <v>8.7999999999999995E-2</v>
      </c>
      <c r="AC128" s="7">
        <v>8479410</v>
      </c>
    </row>
    <row r="129" spans="1:29" ht="15" customHeight="1" x14ac:dyDescent="0.2">
      <c r="A129" s="7" t="s">
        <v>414</v>
      </c>
      <c r="B129" s="7" t="s">
        <v>376</v>
      </c>
      <c r="C129" s="7" t="s">
        <v>230</v>
      </c>
      <c r="D129" s="7">
        <v>22</v>
      </c>
      <c r="E129" s="7">
        <v>71</v>
      </c>
      <c r="F129" s="7">
        <f>ROUND(2/E129,3)</f>
        <v>2.8000000000000001E-2</v>
      </c>
      <c r="G129" s="7">
        <f>ROUND(15/E129,3)</f>
        <v>0.21099999999999999</v>
      </c>
      <c r="H129" s="7">
        <f>ROUND(55/E129,3)</f>
        <v>0.77500000000000002</v>
      </c>
      <c r="I129" s="7">
        <f>ROUND(50/E129,3)</f>
        <v>0.70399999999999996</v>
      </c>
      <c r="J129" s="7">
        <f>ROUND(129/E129,3)</f>
        <v>1.8169999999999999</v>
      </c>
      <c r="K129" s="7">
        <f t="shared" si="5"/>
        <v>4.4340000000000002</v>
      </c>
      <c r="L129" s="7">
        <f>ROUND(1375.7833333333/E129,3)</f>
        <v>19.376999999999999</v>
      </c>
      <c r="M129" s="7">
        <f>ROUND(24/E129,3)</f>
        <v>0.33800000000000002</v>
      </c>
      <c r="N129" s="7" t="s">
        <v>964</v>
      </c>
      <c r="O129" s="7" t="s">
        <v>965</v>
      </c>
      <c r="P129" s="7">
        <f>ROUND(129/E129,3)</f>
        <v>1.8169999999999999</v>
      </c>
      <c r="Q129" s="7">
        <f>ROUND(83/E129,3)</f>
        <v>1.169</v>
      </c>
      <c r="R129" s="7">
        <f>ROUND(48/E129,3)</f>
        <v>0.67600000000000005</v>
      </c>
      <c r="S129" s="7">
        <f>ROUND(9/E129,3)</f>
        <v>0.127</v>
      </c>
      <c r="T129" s="7">
        <f>ROUND(4.39/E129,3)</f>
        <v>6.2E-2</v>
      </c>
      <c r="U129" s="7">
        <f>ROUND(35/E129,3)</f>
        <v>0.49299999999999999</v>
      </c>
      <c r="V129" s="7">
        <f>ROUND(31/E129,3)</f>
        <v>0.437</v>
      </c>
      <c r="W129" s="7">
        <f>ROUND(3.33/E129,3)</f>
        <v>4.7E-2</v>
      </c>
      <c r="X129" s="7">
        <v>0.41</v>
      </c>
      <c r="Y129" s="7">
        <v>0.4</v>
      </c>
      <c r="Z129" s="7">
        <v>0.41</v>
      </c>
      <c r="AA129" s="7">
        <f>ROUND(6.28/E129,3)</f>
        <v>8.7999999999999995E-2</v>
      </c>
      <c r="AB129" s="7">
        <f>ROUND(4/E129,3)</f>
        <v>5.6000000000000001E-2</v>
      </c>
      <c r="AC129" s="7">
        <v>8481605</v>
      </c>
    </row>
    <row r="130" spans="1:29" ht="15" customHeight="1" x14ac:dyDescent="0.2">
      <c r="A130" s="7" t="s">
        <v>415</v>
      </c>
      <c r="B130" s="7" t="s">
        <v>376</v>
      </c>
      <c r="C130" s="7" t="s">
        <v>72</v>
      </c>
      <c r="D130" s="7">
        <v>28</v>
      </c>
      <c r="E130" s="7">
        <v>81</v>
      </c>
      <c r="F130" s="7">
        <f>ROUND(10/E130,3)</f>
        <v>0.123</v>
      </c>
      <c r="G130" s="7">
        <f>ROUND(59/E130,3)</f>
        <v>0.72799999999999998</v>
      </c>
      <c r="H130" s="7">
        <f>ROUND(196/E130,3)</f>
        <v>2.42</v>
      </c>
      <c r="I130" s="7">
        <f>ROUND(90/E130,3)</f>
        <v>1.111</v>
      </c>
      <c r="J130" s="7">
        <f>ROUND(103/E130,3)</f>
        <v>1.272</v>
      </c>
      <c r="K130" s="7">
        <f t="shared" si="5"/>
        <v>9.5995000000000008</v>
      </c>
      <c r="L130" s="7">
        <f>ROUND(1958.7666666667/E130,3)</f>
        <v>24.181999999999999</v>
      </c>
      <c r="M130" s="7">
        <f>ROUND(44/E130,3)</f>
        <v>0.54300000000000004</v>
      </c>
      <c r="N130" s="7" t="s">
        <v>966</v>
      </c>
      <c r="O130" s="7" t="s">
        <v>967</v>
      </c>
      <c r="P130" s="7">
        <f>ROUND(447/E130,3)</f>
        <v>5.5190000000000001</v>
      </c>
      <c r="Q130" s="7">
        <f>ROUND(292/E130,3)</f>
        <v>3.605</v>
      </c>
      <c r="R130" s="7">
        <f>ROUND(134/E130,3)</f>
        <v>1.6539999999999999</v>
      </c>
      <c r="S130" s="7">
        <f>ROUND(19/E130,3)</f>
        <v>0.23499999999999999</v>
      </c>
      <c r="T130" s="7">
        <f>ROUND(11.9/E130,3)</f>
        <v>0.14699999999999999</v>
      </c>
      <c r="U130" s="7">
        <f>ROUND(42/E130,3)</f>
        <v>0.51900000000000002</v>
      </c>
      <c r="V130" s="7">
        <f>ROUND(45/E130,3)</f>
        <v>0.55600000000000005</v>
      </c>
      <c r="W130" s="7">
        <f>ROUND(11.02/E130,3)</f>
        <v>0.13600000000000001</v>
      </c>
      <c r="X130" s="7">
        <v>0.59</v>
      </c>
      <c r="Y130" s="7">
        <v>0.56999999999999995</v>
      </c>
      <c r="Z130" s="7">
        <v>0.57999999999999996</v>
      </c>
      <c r="AA130" s="7">
        <f>ROUND(78.35/E130,3)</f>
        <v>0.96699999999999997</v>
      </c>
      <c r="AB130" s="7">
        <f>ROUND(6/E130,3)</f>
        <v>7.3999999999999996E-2</v>
      </c>
      <c r="AC130" s="7">
        <v>8477504</v>
      </c>
    </row>
    <row r="131" spans="1:29" ht="15" customHeight="1" x14ac:dyDescent="0.2">
      <c r="A131" s="7" t="s">
        <v>418</v>
      </c>
      <c r="B131" s="7" t="s">
        <v>376</v>
      </c>
      <c r="C131" s="7" t="s">
        <v>164</v>
      </c>
      <c r="D131" s="7">
        <v>33</v>
      </c>
      <c r="E131" s="7">
        <v>82</v>
      </c>
      <c r="F131" s="7">
        <f>ROUND(23/E131,3)</f>
        <v>0.28000000000000003</v>
      </c>
      <c r="G131" s="7">
        <f>ROUND(62/E131,3)</f>
        <v>0.75600000000000001</v>
      </c>
      <c r="H131" s="7">
        <f>ROUND(268/E131,3)</f>
        <v>3.2679999999999998</v>
      </c>
      <c r="I131" s="7">
        <f>ROUND(46/E131,3)</f>
        <v>0.56100000000000005</v>
      </c>
      <c r="J131" s="7">
        <f>ROUND(151/E131,3)</f>
        <v>1.841</v>
      </c>
      <c r="K131" s="7">
        <f t="shared" si="5"/>
        <v>12.1655</v>
      </c>
      <c r="L131" s="7">
        <f>ROUND(2019.75/E131,3)</f>
        <v>24.631</v>
      </c>
      <c r="M131" s="7">
        <f>ROUND(45/E131,3)</f>
        <v>0.54900000000000004</v>
      </c>
      <c r="N131" s="7" t="s">
        <v>968</v>
      </c>
      <c r="O131" s="7" t="s">
        <v>969</v>
      </c>
      <c r="P131" s="7">
        <f>ROUND(602/E131,3)</f>
        <v>7.3410000000000002</v>
      </c>
      <c r="Q131" s="7">
        <f>ROUND(379/E131,3)</f>
        <v>4.6219999999999999</v>
      </c>
      <c r="R131" s="7">
        <f>ROUND(210/E131,3)</f>
        <v>2.5609999999999999</v>
      </c>
      <c r="S131" s="7">
        <f>ROUND(26/E131,3)</f>
        <v>0.317</v>
      </c>
      <c r="T131" s="7">
        <f>ROUND(16.22/E131,3)</f>
        <v>0.19800000000000001</v>
      </c>
      <c r="U131" s="7">
        <f>ROUND(60/E131,3)</f>
        <v>0.73199999999999998</v>
      </c>
      <c r="V131" s="7">
        <f>ROUND(33/E131,3)</f>
        <v>0.40200000000000002</v>
      </c>
      <c r="W131" s="7">
        <f>ROUND(16.69/E131,3)</f>
        <v>0.20399999999999999</v>
      </c>
      <c r="X131" s="7">
        <v>0.6</v>
      </c>
      <c r="Y131" s="7">
        <v>0.6</v>
      </c>
      <c r="Z131" s="7">
        <v>0.6</v>
      </c>
      <c r="AA131" s="7">
        <f>ROUND(99.35/E131,3)</f>
        <v>1.212</v>
      </c>
      <c r="AB131" s="7">
        <f>ROUND(10/E131,3)</f>
        <v>0.122</v>
      </c>
      <c r="AC131" s="7">
        <v>8474600</v>
      </c>
    </row>
    <row r="132" spans="1:29" ht="15" customHeight="1" x14ac:dyDescent="0.2">
      <c r="A132" s="7" t="s">
        <v>421</v>
      </c>
      <c r="B132" s="7" t="s">
        <v>376</v>
      </c>
      <c r="C132" s="7" t="s">
        <v>135</v>
      </c>
      <c r="D132" s="7">
        <v>21</v>
      </c>
      <c r="E132" s="7">
        <v>79</v>
      </c>
      <c r="F132" s="7">
        <f>ROUND(10/E132,3)</f>
        <v>0.127</v>
      </c>
      <c r="G132" s="7">
        <f>ROUND(28/E132,3)</f>
        <v>0.35399999999999998</v>
      </c>
      <c r="H132" s="7">
        <f>ROUND(158/E132,3)</f>
        <v>2</v>
      </c>
      <c r="I132" s="7">
        <f>ROUND(49/E132,3)</f>
        <v>0.62</v>
      </c>
      <c r="J132" s="7">
        <f>ROUND(139/E132,3)</f>
        <v>1.7589999999999999</v>
      </c>
      <c r="K132" s="7">
        <f t="shared" si="5"/>
        <v>7.2089999999999987</v>
      </c>
      <c r="L132" s="7">
        <f>ROUND(1834.25/E132,3)</f>
        <v>23.218</v>
      </c>
      <c r="M132" s="7">
        <f>ROUND(23/E132,3)</f>
        <v>0.29099999999999998</v>
      </c>
      <c r="N132" s="7" t="s">
        <v>970</v>
      </c>
      <c r="O132" s="7" t="s">
        <v>971</v>
      </c>
      <c r="P132" s="7">
        <f>ROUND(355/E132,3)</f>
        <v>4.4939999999999998</v>
      </c>
      <c r="Q132" s="7">
        <f>ROUND(236/E132,3)</f>
        <v>2.9870000000000001</v>
      </c>
      <c r="R132" s="7">
        <f>ROUND(90/E132,3)</f>
        <v>1.139</v>
      </c>
      <c r="S132" s="7">
        <f>ROUND(14/E132,3)</f>
        <v>0.17699999999999999</v>
      </c>
      <c r="T132" s="7">
        <f>ROUND(9.78/E132,3)</f>
        <v>0.124</v>
      </c>
      <c r="U132" s="7">
        <f>ROUND(82/E132,3)</f>
        <v>1.038</v>
      </c>
      <c r="V132" s="7">
        <f>ROUND(34/E132,3)</f>
        <v>0.43</v>
      </c>
      <c r="W132" s="7">
        <f>ROUND(6.98/E132,3)</f>
        <v>8.7999999999999995E-2</v>
      </c>
      <c r="X132" s="7">
        <v>0.51</v>
      </c>
      <c r="Y132" s="7">
        <v>0.53</v>
      </c>
      <c r="Z132" s="7">
        <v>0.53</v>
      </c>
      <c r="AA132" s="7">
        <f>ROUND(52.11/E132,3)</f>
        <v>0.66</v>
      </c>
      <c r="AB132" s="7">
        <f>ROUND(3/E132,3)</f>
        <v>3.7999999999999999E-2</v>
      </c>
      <c r="AC132" s="7">
        <v>8482105</v>
      </c>
    </row>
    <row r="133" spans="1:29" ht="15" customHeight="1" x14ac:dyDescent="0.2">
      <c r="A133" s="7" t="s">
        <v>422</v>
      </c>
      <c r="B133" s="7" t="s">
        <v>376</v>
      </c>
      <c r="C133" s="7" t="s">
        <v>131</v>
      </c>
      <c r="D133" s="7">
        <v>25</v>
      </c>
      <c r="E133" s="7">
        <v>72</v>
      </c>
      <c r="F133" s="7">
        <f>ROUND(17/E133,3)</f>
        <v>0.23599999999999999</v>
      </c>
      <c r="G133" s="7">
        <f>ROUND(56/E133,3)</f>
        <v>0.77800000000000002</v>
      </c>
      <c r="H133" s="7">
        <f>ROUND(137/E133,3)</f>
        <v>1.903</v>
      </c>
      <c r="I133" s="7">
        <f>ROUND(44/E133,3)</f>
        <v>0.61099999999999999</v>
      </c>
      <c r="J133" s="7">
        <f>ROUND(123/E133,3)</f>
        <v>1.708</v>
      </c>
      <c r="K133" s="7">
        <f t="shared" si="5"/>
        <v>10.4725</v>
      </c>
      <c r="L133" s="7">
        <f>ROUND(1687.9333333333/E133,3)</f>
        <v>23.443999999999999</v>
      </c>
      <c r="M133" s="7">
        <f>ROUND(36/E133,3)</f>
        <v>0.5</v>
      </c>
      <c r="N133" s="7" t="s">
        <v>972</v>
      </c>
      <c r="O133" s="7" t="s">
        <v>973</v>
      </c>
      <c r="P133" s="7">
        <f>ROUND(299/E133,3)</f>
        <v>4.1529999999999996</v>
      </c>
      <c r="Q133" s="7">
        <f>ROUND(195/E133,3)</f>
        <v>2.7080000000000002</v>
      </c>
      <c r="R133" s="7">
        <f>ROUND(103/E133,3)</f>
        <v>1.431</v>
      </c>
      <c r="S133" s="7">
        <f>ROUND(22/E133,3)</f>
        <v>0.30599999999999999</v>
      </c>
      <c r="T133" s="7">
        <f>ROUND(11.01/E133,3)</f>
        <v>0.153</v>
      </c>
      <c r="U133" s="7">
        <f>ROUND(33/E133,3)</f>
        <v>0.45800000000000002</v>
      </c>
      <c r="V133" s="7">
        <f>ROUND(47/E133,3)</f>
        <v>0.65300000000000002</v>
      </c>
      <c r="W133" s="7">
        <f>ROUND(9.8/E133,3)</f>
        <v>0.13600000000000001</v>
      </c>
      <c r="X133" s="7">
        <v>0.6</v>
      </c>
      <c r="Y133" s="7">
        <v>0.59</v>
      </c>
      <c r="Z133" s="7">
        <v>0.6</v>
      </c>
      <c r="AA133" s="7">
        <f>ROUND(75.88/E133,3)</f>
        <v>1.054</v>
      </c>
      <c r="AB133" s="7">
        <f>ROUND(9/E133,3)</f>
        <v>0.125</v>
      </c>
      <c r="AC133" s="7">
        <v>8479323</v>
      </c>
    </row>
    <row r="134" spans="1:29" ht="15" customHeight="1" x14ac:dyDescent="0.2">
      <c r="A134" s="7" t="s">
        <v>425</v>
      </c>
      <c r="B134" s="7" t="s">
        <v>376</v>
      </c>
      <c r="C134" s="7" t="s">
        <v>106</v>
      </c>
      <c r="D134" s="7">
        <v>21</v>
      </c>
      <c r="E134" s="7">
        <v>82</v>
      </c>
      <c r="F134" s="7">
        <f>ROUND(8/E134,3)</f>
        <v>9.8000000000000004E-2</v>
      </c>
      <c r="G134" s="7">
        <f>ROUND(39/E134,3)</f>
        <v>0.47599999999999998</v>
      </c>
      <c r="H134" s="7">
        <f>ROUND(136/E134,3)</f>
        <v>1.659</v>
      </c>
      <c r="I134" s="7">
        <f>ROUND(65/E134,3)</f>
        <v>0.79300000000000004</v>
      </c>
      <c r="J134" s="7">
        <f>ROUND(150/E134,3)</f>
        <v>1.829</v>
      </c>
      <c r="K134" s="7">
        <f t="shared" si="5"/>
        <v>7.5244999999999989</v>
      </c>
      <c r="L134" s="7">
        <f>ROUND(2047.8833333333/E134,3)</f>
        <v>24.974</v>
      </c>
      <c r="M134" s="7">
        <f>ROUND(26/E134,3)</f>
        <v>0.317</v>
      </c>
      <c r="N134" s="7" t="s">
        <v>974</v>
      </c>
      <c r="O134" s="7" t="s">
        <v>739</v>
      </c>
      <c r="P134" s="7">
        <f>ROUND(293/E134,3)</f>
        <v>3.573</v>
      </c>
      <c r="Q134" s="7">
        <f>ROUND(186/E134,3)</f>
        <v>2.2679999999999998</v>
      </c>
      <c r="R134" s="7">
        <f>ROUND(88/E134,3)</f>
        <v>1.073</v>
      </c>
      <c r="S134" s="7">
        <f>ROUND(15/E134,3)</f>
        <v>0.183</v>
      </c>
      <c r="T134" s="7">
        <f>ROUND(7.44/E134,3)</f>
        <v>9.0999999999999998E-2</v>
      </c>
      <c r="U134" s="7">
        <f>ROUND(35/E134,3)</f>
        <v>0.42699999999999999</v>
      </c>
      <c r="V134" s="7">
        <f>ROUND(15/E134,3)</f>
        <v>0.183</v>
      </c>
      <c r="W134" s="7">
        <f>ROUND(8.62/E134,3)</f>
        <v>0.105</v>
      </c>
      <c r="X134" s="7">
        <v>0.5</v>
      </c>
      <c r="Y134" s="7">
        <v>0.48</v>
      </c>
      <c r="Z134" s="7">
        <v>0.48</v>
      </c>
      <c r="AA134" s="7">
        <f>ROUND(40.35/E134,3)</f>
        <v>0.49199999999999999</v>
      </c>
      <c r="AB134" s="7">
        <f>ROUND(10/E134,3)</f>
        <v>0.122</v>
      </c>
      <c r="AC134" s="7">
        <v>8482122</v>
      </c>
    </row>
    <row r="135" spans="1:29" ht="15" customHeight="1" x14ac:dyDescent="0.2">
      <c r="A135" s="7" t="s">
        <v>426</v>
      </c>
      <c r="B135" s="7" t="s">
        <v>376</v>
      </c>
      <c r="C135" s="7" t="s">
        <v>160</v>
      </c>
      <c r="D135" s="7">
        <v>30</v>
      </c>
      <c r="E135" s="7">
        <v>81</v>
      </c>
      <c r="F135" s="7">
        <f>ROUND(10/E135,3)</f>
        <v>0.123</v>
      </c>
      <c r="G135" s="7">
        <f>ROUND(46/E135,3)</f>
        <v>0.56799999999999995</v>
      </c>
      <c r="H135" s="7">
        <f>ROUND(139/E135,3)</f>
        <v>1.716</v>
      </c>
      <c r="I135" s="7">
        <f>ROUND(29/E135,3)</f>
        <v>0.35799999999999998</v>
      </c>
      <c r="J135" s="7">
        <f>ROUND(75/E135,3)</f>
        <v>0.92600000000000005</v>
      </c>
      <c r="K135" s="7">
        <f t="shared" si="5"/>
        <v>7.2130000000000001</v>
      </c>
      <c r="L135" s="7">
        <f>ROUND(1546.0833333333/E135,3)</f>
        <v>19.087</v>
      </c>
      <c r="M135" s="7">
        <f>ROUND(16/E135,3)</f>
        <v>0.19800000000000001</v>
      </c>
      <c r="N135" s="7" t="s">
        <v>975</v>
      </c>
      <c r="O135" s="7" t="s">
        <v>505</v>
      </c>
      <c r="P135" s="7">
        <f>ROUND(307/E135,3)</f>
        <v>3.79</v>
      </c>
      <c r="Q135" s="7">
        <f>ROUND(202/E135,3)</f>
        <v>2.4940000000000002</v>
      </c>
      <c r="R135" s="7">
        <f>ROUND(92/E135,3)</f>
        <v>1.1359999999999999</v>
      </c>
      <c r="S135" s="7">
        <f>ROUND(13/E135,3)</f>
        <v>0.16</v>
      </c>
      <c r="T135" s="7">
        <f>ROUND(8.79/E135,3)</f>
        <v>0.109</v>
      </c>
      <c r="U135" s="7">
        <f>ROUND(33/E135,3)</f>
        <v>0.40699999999999997</v>
      </c>
      <c r="V135" s="7">
        <f>ROUND(21/E135,3)</f>
        <v>0.25900000000000001</v>
      </c>
      <c r="W135" s="7">
        <f>ROUND(9.49/E135,3)</f>
        <v>0.11700000000000001</v>
      </c>
      <c r="X135" s="7">
        <v>0.59</v>
      </c>
      <c r="Y135" s="7">
        <v>0.56000000000000005</v>
      </c>
      <c r="Z135" s="7">
        <v>0.55000000000000004</v>
      </c>
      <c r="AA135" s="7">
        <f>ROUND(49.02/E135,3)</f>
        <v>0.60499999999999998</v>
      </c>
      <c r="AB135" s="7">
        <f>ROUND(7/E135,3)</f>
        <v>8.5999999999999993E-2</v>
      </c>
      <c r="AC135" s="7">
        <v>8476906</v>
      </c>
    </row>
    <row r="136" spans="1:29" ht="15" customHeight="1" x14ac:dyDescent="0.2">
      <c r="A136" s="7" t="s">
        <v>429</v>
      </c>
      <c r="B136" s="7" t="s">
        <v>376</v>
      </c>
      <c r="C136" s="7" t="s">
        <v>307</v>
      </c>
      <c r="D136" s="7">
        <v>25</v>
      </c>
      <c r="E136" s="7">
        <v>81</v>
      </c>
      <c r="F136" s="7">
        <f>ROUND(5/E136,3)</f>
        <v>6.2E-2</v>
      </c>
      <c r="G136" s="7">
        <f>ROUND(43/E136,3)</f>
        <v>0.53100000000000003</v>
      </c>
      <c r="H136" s="7">
        <f>ROUND(148/E136,3)</f>
        <v>1.827</v>
      </c>
      <c r="I136" s="7">
        <f>ROUND(104/E136,3)</f>
        <v>1.284</v>
      </c>
      <c r="J136" s="7">
        <f>ROUND(87/E136,3)</f>
        <v>1.0740000000000001</v>
      </c>
      <c r="K136" s="7">
        <f t="shared" si="5"/>
        <v>7.2250000000000005</v>
      </c>
      <c r="L136" s="7">
        <f>ROUND(1898.75/E136,3)</f>
        <v>23.440999999999999</v>
      </c>
      <c r="M136" s="7">
        <f>ROUND(38/E136,3)</f>
        <v>0.46899999999999997</v>
      </c>
      <c r="N136" s="7" t="s">
        <v>976</v>
      </c>
      <c r="O136" s="7" t="s">
        <v>977</v>
      </c>
      <c r="P136" s="7">
        <f>ROUND(379/E136,3)</f>
        <v>4.6790000000000003</v>
      </c>
      <c r="Q136" s="7">
        <f>ROUND(230/E136,3)</f>
        <v>2.84</v>
      </c>
      <c r="R136" s="7">
        <f>ROUND(100/E136,3)</f>
        <v>1.2350000000000001</v>
      </c>
      <c r="S136" s="7">
        <f>ROUND(11/E136,3)</f>
        <v>0.13600000000000001</v>
      </c>
      <c r="T136" s="7">
        <f>ROUND(7.62/E136,3)</f>
        <v>9.4E-2</v>
      </c>
      <c r="U136" s="7">
        <f>ROUND(50/E136,3)</f>
        <v>0.61699999999999999</v>
      </c>
      <c r="V136" s="7">
        <f>ROUND(24/E136,3)</f>
        <v>0.29599999999999999</v>
      </c>
      <c r="W136" s="7">
        <f>ROUND(6.94/E136,3)</f>
        <v>8.5999999999999993E-2</v>
      </c>
      <c r="X136" s="7">
        <v>0.5</v>
      </c>
      <c r="Y136" s="7">
        <v>0.52</v>
      </c>
      <c r="Z136" s="7">
        <v>0.5</v>
      </c>
      <c r="AA136" s="7">
        <f>ROUND(59.65/E136,3)</f>
        <v>0.73599999999999999</v>
      </c>
      <c r="AB136" s="7">
        <f>ROUND(3/E136,3)</f>
        <v>3.6999999999999998E-2</v>
      </c>
      <c r="AC136" s="7">
        <v>8479425</v>
      </c>
    </row>
    <row r="137" spans="1:29" ht="15" customHeight="1" x14ac:dyDescent="0.2">
      <c r="A137" s="7" t="s">
        <v>432</v>
      </c>
      <c r="B137" s="7" t="s">
        <v>376</v>
      </c>
      <c r="C137" s="7" t="s">
        <v>433</v>
      </c>
      <c r="D137" s="7">
        <v>26</v>
      </c>
      <c r="E137" s="7">
        <v>78</v>
      </c>
      <c r="F137" s="7">
        <f>ROUND(9/E137,3)</f>
        <v>0.115</v>
      </c>
      <c r="G137" s="7">
        <f>ROUND(30/E137,3)</f>
        <v>0.38500000000000001</v>
      </c>
      <c r="H137" s="7">
        <f>ROUND(159/E137,3)</f>
        <v>2.0379999999999998</v>
      </c>
      <c r="I137" s="7">
        <f>ROUND(42/E137,3)</f>
        <v>0.53800000000000003</v>
      </c>
      <c r="J137" s="7">
        <f>ROUND(186/E137,3)</f>
        <v>2.3849999999999998</v>
      </c>
      <c r="K137" s="7">
        <f t="shared" si="5"/>
        <v>7.9219999999999997</v>
      </c>
      <c r="L137" s="7">
        <f>ROUND(1858.45/E137,3)</f>
        <v>23.826000000000001</v>
      </c>
      <c r="M137" s="7">
        <f>ROUND(47/E137,3)</f>
        <v>0.60299999999999998</v>
      </c>
      <c r="N137" s="7" t="s">
        <v>862</v>
      </c>
      <c r="O137" s="7" t="s">
        <v>978</v>
      </c>
      <c r="P137" s="7">
        <f>ROUND(340/E137,3)</f>
        <v>4.359</v>
      </c>
      <c r="Q137" s="7">
        <f>ROUND(238/E137,3)</f>
        <v>3.0510000000000002</v>
      </c>
      <c r="R137" s="7">
        <f>ROUND(82/E137,3)</f>
        <v>1.0509999999999999</v>
      </c>
      <c r="S137" s="7">
        <f>ROUND(20/E137,3)</f>
        <v>0.25600000000000001</v>
      </c>
      <c r="T137" s="7">
        <f>ROUND(9.33/E137,3)</f>
        <v>0.12</v>
      </c>
      <c r="U137" s="7">
        <f>ROUND(60/E137,3)</f>
        <v>0.76900000000000002</v>
      </c>
      <c r="V137" s="7">
        <f>ROUND(31/E137,3)</f>
        <v>0.39700000000000002</v>
      </c>
      <c r="W137" s="7">
        <f>ROUND(7.93/E137,3)</f>
        <v>0.10199999999999999</v>
      </c>
      <c r="X137" s="7">
        <v>0.47</v>
      </c>
      <c r="Y137" s="7">
        <v>0.51</v>
      </c>
      <c r="Z137" s="7">
        <v>0.51</v>
      </c>
      <c r="AA137" s="7">
        <f>ROUND(46.42/E137,3)</f>
        <v>0.59499999999999997</v>
      </c>
      <c r="AB137" s="7">
        <f>ROUND(5/E137,3)</f>
        <v>6.4000000000000001E-2</v>
      </c>
      <c r="AC137" s="7">
        <v>8478397</v>
      </c>
    </row>
    <row r="138" spans="1:29" ht="15" customHeight="1" x14ac:dyDescent="0.2">
      <c r="A138" s="7" t="s">
        <v>436</v>
      </c>
      <c r="B138" s="7" t="s">
        <v>376</v>
      </c>
      <c r="C138" s="7" t="s">
        <v>191</v>
      </c>
      <c r="D138" s="7">
        <v>23</v>
      </c>
      <c r="E138" s="7">
        <v>79</v>
      </c>
      <c r="F138" s="7">
        <f>ROUND(10/E138,3)</f>
        <v>0.127</v>
      </c>
      <c r="G138" s="7">
        <f>ROUND(60/E138,3)</f>
        <v>0.75900000000000001</v>
      </c>
      <c r="H138" s="7">
        <f>ROUND(174/E138,3)</f>
        <v>2.2029999999999998</v>
      </c>
      <c r="I138" s="7">
        <f>ROUND(84/E138,3)</f>
        <v>1.0629999999999999</v>
      </c>
      <c r="J138" s="7">
        <f>ROUND(180/E138,3)</f>
        <v>2.278</v>
      </c>
      <c r="K138" s="7">
        <f t="shared" si="5"/>
        <v>10.5825</v>
      </c>
      <c r="L138" s="7">
        <f>ROUND(1937.1166666667/E138,3)</f>
        <v>24.52</v>
      </c>
      <c r="M138" s="7">
        <f>ROUND(36/E138,3)</f>
        <v>0.45600000000000002</v>
      </c>
      <c r="N138" s="7" t="s">
        <v>979</v>
      </c>
      <c r="O138" s="7" t="s">
        <v>980</v>
      </c>
      <c r="P138" s="7">
        <f>ROUND(447/E138,3)</f>
        <v>5.6580000000000004</v>
      </c>
      <c r="Q138" s="7">
        <f>ROUND(253/E138,3)</f>
        <v>3.2029999999999998</v>
      </c>
      <c r="R138" s="7">
        <f>ROUND(105/E138,3)</f>
        <v>1.329</v>
      </c>
      <c r="S138" s="7">
        <f>ROUND(11/E138,3)</f>
        <v>0.13900000000000001</v>
      </c>
      <c r="T138" s="7">
        <f>ROUND(6.87/E138,3)</f>
        <v>8.6999999999999994E-2</v>
      </c>
      <c r="U138" s="7">
        <f>ROUND(62/E138,3)</f>
        <v>0.78500000000000003</v>
      </c>
      <c r="V138" s="7">
        <f>ROUND(32/E138,3)</f>
        <v>0.40500000000000003</v>
      </c>
      <c r="W138" s="7">
        <f>ROUND(6.46/E138,3)</f>
        <v>8.2000000000000003E-2</v>
      </c>
      <c r="X138" s="7">
        <v>0.51</v>
      </c>
      <c r="Y138" s="7">
        <v>0.52</v>
      </c>
      <c r="Z138" s="7">
        <v>0.52</v>
      </c>
      <c r="AA138" s="7">
        <f>ROUND(66/E138,3)</f>
        <v>0.83499999999999996</v>
      </c>
      <c r="AB138" s="7">
        <f>ROUND(3/E138,3)</f>
        <v>3.7999999999999999E-2</v>
      </c>
      <c r="AC138" s="7">
        <v>8480865</v>
      </c>
    </row>
    <row r="139" spans="1:29" ht="15" customHeight="1" x14ac:dyDescent="0.2">
      <c r="A139" s="7" t="s">
        <v>439</v>
      </c>
      <c r="B139" s="7" t="s">
        <v>376</v>
      </c>
      <c r="C139" s="7" t="s">
        <v>213</v>
      </c>
      <c r="D139" s="7">
        <v>26</v>
      </c>
      <c r="E139" s="7">
        <v>59</v>
      </c>
      <c r="F139" s="7">
        <f>ROUND(11/E139,3)</f>
        <v>0.186</v>
      </c>
      <c r="G139" s="7">
        <f>ROUND(35/E139,3)</f>
        <v>0.59299999999999997</v>
      </c>
      <c r="H139" s="7">
        <f>ROUND(120/E139,3)</f>
        <v>2.0339999999999998</v>
      </c>
      <c r="I139" s="7">
        <f>ROUND(39/E139,3)</f>
        <v>0.66100000000000003</v>
      </c>
      <c r="J139" s="7">
        <f>ROUND(64/E139,3)</f>
        <v>1.085</v>
      </c>
      <c r="K139" s="7">
        <f t="shared" si="5"/>
        <v>8.4954999999999998</v>
      </c>
      <c r="L139" s="7">
        <f>ROUND(1362.1333333333/E139,3)</f>
        <v>23.087</v>
      </c>
      <c r="M139" s="7">
        <f>ROUND(78/E139,3)</f>
        <v>1.3220000000000001</v>
      </c>
      <c r="N139" s="7" t="s">
        <v>836</v>
      </c>
      <c r="O139" s="7" t="s">
        <v>981</v>
      </c>
      <c r="P139" s="7">
        <f>ROUND(328/E139,3)</f>
        <v>5.5590000000000002</v>
      </c>
      <c r="Q139" s="7">
        <f>ROUND(172/E139,3)</f>
        <v>2.915</v>
      </c>
      <c r="R139" s="7">
        <f>ROUND(110/E139,3)</f>
        <v>1.8640000000000001</v>
      </c>
      <c r="S139" s="7">
        <f>ROUND(11/E139,3)</f>
        <v>0.186</v>
      </c>
      <c r="T139" s="7">
        <f>ROUND(6.78/E139,3)</f>
        <v>0.115</v>
      </c>
      <c r="U139" s="7">
        <f>ROUND(34/E139,3)</f>
        <v>0.57599999999999996</v>
      </c>
      <c r="V139" s="7">
        <f>ROUND(30/E139,3)</f>
        <v>0.50800000000000001</v>
      </c>
      <c r="W139" s="7">
        <f>ROUND(6.65/E139,3)</f>
        <v>0.113</v>
      </c>
      <c r="X139" s="7">
        <v>0.57999999999999996</v>
      </c>
      <c r="Y139" s="7">
        <v>0.56999999999999995</v>
      </c>
      <c r="Z139" s="7">
        <v>0.54</v>
      </c>
      <c r="AA139" s="7">
        <f>ROUND(48.35/E139,3)</f>
        <v>0.81899999999999995</v>
      </c>
      <c r="AB139" s="7">
        <f>ROUND(6/E139,3)</f>
        <v>0.10199999999999999</v>
      </c>
      <c r="AC139" s="7">
        <v>8478407</v>
      </c>
    </row>
    <row r="140" spans="1:29" ht="15" customHeight="1" x14ac:dyDescent="0.2">
      <c r="A140" s="7" t="s">
        <v>442</v>
      </c>
      <c r="B140" s="7" t="s">
        <v>376</v>
      </c>
      <c r="C140" s="7" t="s">
        <v>982</v>
      </c>
      <c r="D140" s="7">
        <v>22</v>
      </c>
      <c r="E140" s="7">
        <v>73</v>
      </c>
      <c r="F140" s="7">
        <f>ROUND(11/E140,3)</f>
        <v>0.151</v>
      </c>
      <c r="G140" s="7">
        <f>ROUND(18/E140,3)</f>
        <v>0.247</v>
      </c>
      <c r="H140" s="7">
        <f>ROUND(84/E140,3)</f>
        <v>1.151</v>
      </c>
      <c r="I140" s="7">
        <f>ROUND(94/E140,3)</f>
        <v>1.288</v>
      </c>
      <c r="J140" s="7">
        <f>ROUND(104/E140,3)</f>
        <v>1.425</v>
      </c>
      <c r="K140" s="7">
        <f t="shared" si="5"/>
        <v>5.91</v>
      </c>
      <c r="L140" s="7">
        <f>ROUND(1485/E140,3)</f>
        <v>20.341999999999999</v>
      </c>
      <c r="M140" s="7">
        <f>ROUND(53/E140,3)</f>
        <v>0.72599999999999998</v>
      </c>
      <c r="N140" s="7" t="s">
        <v>983</v>
      </c>
      <c r="O140" s="7" t="s">
        <v>984</v>
      </c>
      <c r="P140" s="7">
        <f>ROUND(205/E140,3)</f>
        <v>2.8079999999999998</v>
      </c>
      <c r="Q140" s="7">
        <f>ROUND(124/E140,3)</f>
        <v>1.6990000000000001</v>
      </c>
      <c r="R140" s="7">
        <f>ROUND(71/E140,3)</f>
        <v>0.97299999999999998</v>
      </c>
      <c r="S140" s="7">
        <f>ROUND(20/E140,3)</f>
        <v>0.27400000000000002</v>
      </c>
      <c r="T140" s="7">
        <f>ROUND(5.75/E140,3)</f>
        <v>7.9000000000000001E-2</v>
      </c>
      <c r="U140" s="7">
        <f>ROUND(33/E140,3)</f>
        <v>0.45200000000000001</v>
      </c>
      <c r="V140" s="7">
        <f>ROUND(20/E140,3)</f>
        <v>0.27400000000000002</v>
      </c>
      <c r="W140" s="7">
        <f>ROUND(5.47/E140,3)</f>
        <v>7.4999999999999997E-2</v>
      </c>
      <c r="X140" s="7">
        <v>0.47</v>
      </c>
      <c r="Y140" s="7">
        <v>0.5</v>
      </c>
      <c r="Z140" s="7">
        <v>0.49</v>
      </c>
      <c r="AA140" s="7">
        <f>ROUND(27.05/E140,3)</f>
        <v>0.371</v>
      </c>
      <c r="AB140" s="7">
        <f>ROUND(4/E140,3)</f>
        <v>5.5E-2</v>
      </c>
      <c r="AC140" s="7">
        <v>8481524</v>
      </c>
    </row>
    <row r="141" spans="1:29" ht="15" customHeight="1" x14ac:dyDescent="0.2">
      <c r="A141" s="7" t="s">
        <v>445</v>
      </c>
      <c r="B141" s="7" t="s">
        <v>376</v>
      </c>
      <c r="C141" s="7" t="s">
        <v>138</v>
      </c>
      <c r="D141" s="7">
        <v>23</v>
      </c>
      <c r="E141" s="7">
        <v>41</v>
      </c>
      <c r="F141" s="7">
        <f>ROUND(1/E141,3)</f>
        <v>2.4E-2</v>
      </c>
      <c r="G141" s="7">
        <f>ROUND(6/E141,3)</f>
        <v>0.14599999999999999</v>
      </c>
      <c r="H141" s="7">
        <f>ROUND(44/E141,3)</f>
        <v>1.073</v>
      </c>
      <c r="I141" s="7">
        <f>ROUND(106/E141,3)</f>
        <v>2.585</v>
      </c>
      <c r="J141" s="7">
        <f>ROUND(87/E141,3)</f>
        <v>2.1219999999999999</v>
      </c>
      <c r="K141" s="7">
        <f t="shared" si="5"/>
        <v>5.5555000000000003</v>
      </c>
      <c r="L141" s="7">
        <f>ROUND(840.5/E141,3)</f>
        <v>20.5</v>
      </c>
      <c r="M141" s="7">
        <f>ROUND(26/E141,3)</f>
        <v>0.63400000000000001</v>
      </c>
      <c r="N141" s="7" t="s">
        <v>985</v>
      </c>
      <c r="O141" s="7" t="s">
        <v>986</v>
      </c>
      <c r="P141" s="7">
        <f>ROUND(93/E141,3)</f>
        <v>2.2679999999999998</v>
      </c>
      <c r="Q141" s="7">
        <f>ROUND(61/E141,3)</f>
        <v>1.488</v>
      </c>
      <c r="R141" s="7">
        <f>ROUND(14/E141,3)</f>
        <v>0.34100000000000003</v>
      </c>
      <c r="S141" s="7">
        <f>ROUND(1/E141,3)</f>
        <v>2.4E-2</v>
      </c>
      <c r="T141" s="7">
        <f>ROUND(1.17/E141,3)</f>
        <v>2.9000000000000001E-2</v>
      </c>
      <c r="U141" s="7">
        <f>ROUND(24/E141,3)</f>
        <v>0.58499999999999996</v>
      </c>
      <c r="V141" s="7">
        <f>ROUND(8/E141,3)</f>
        <v>0.19500000000000001</v>
      </c>
      <c r="W141" s="7">
        <f>ROUND(1.23/E141,3)</f>
        <v>0.03</v>
      </c>
      <c r="X141" s="7">
        <v>0.46</v>
      </c>
      <c r="Y141" s="7">
        <v>0.44</v>
      </c>
      <c r="Z141" s="7">
        <v>0.46</v>
      </c>
      <c r="AA141" s="7">
        <f>ROUND(12.75/E141,3)</f>
        <v>0.311</v>
      </c>
      <c r="AB141" s="7">
        <f>ROUND(0/E141,3)</f>
        <v>0</v>
      </c>
      <c r="AC141" s="7">
        <v>8480807</v>
      </c>
    </row>
    <row r="142" spans="1:29" ht="15" customHeight="1" x14ac:dyDescent="0.2">
      <c r="A142" s="7" t="s">
        <v>447</v>
      </c>
      <c r="B142" s="7" t="s">
        <v>376</v>
      </c>
      <c r="C142" s="7" t="s">
        <v>56</v>
      </c>
      <c r="D142" s="7">
        <v>33</v>
      </c>
      <c r="E142" s="7">
        <v>79</v>
      </c>
      <c r="F142" s="7">
        <f>ROUND(11/E142,3)</f>
        <v>0.13900000000000001</v>
      </c>
      <c r="G142" s="7">
        <f>ROUND(34/E142,3)</f>
        <v>0.43</v>
      </c>
      <c r="H142" s="7">
        <f>ROUND(177/E142,3)</f>
        <v>2.2410000000000001</v>
      </c>
      <c r="I142" s="7">
        <f>ROUND(136/E142,3)</f>
        <v>1.722</v>
      </c>
      <c r="J142" s="7">
        <f>ROUND(93/E142,3)</f>
        <v>1.177</v>
      </c>
      <c r="K142" s="7">
        <f t="shared" si="5"/>
        <v>7.9709999999999992</v>
      </c>
      <c r="L142" s="7">
        <f>ROUND(1662.9/E142,3)</f>
        <v>21.048999999999999</v>
      </c>
      <c r="M142" s="7">
        <f>ROUND(47/E142,3)</f>
        <v>0.59499999999999997</v>
      </c>
      <c r="N142" s="7" t="s">
        <v>987</v>
      </c>
      <c r="O142" s="7" t="s">
        <v>988</v>
      </c>
      <c r="P142" s="7">
        <f>ROUND(361/E142,3)</f>
        <v>4.57</v>
      </c>
      <c r="Q142" s="7">
        <f>ROUND(249/E142,3)</f>
        <v>3.1520000000000001</v>
      </c>
      <c r="R142" s="7">
        <f>ROUND(124/E142,3)</f>
        <v>1.57</v>
      </c>
      <c r="S142" s="7">
        <f>ROUND(26/E142,3)</f>
        <v>0.32900000000000001</v>
      </c>
      <c r="T142" s="7">
        <f>ROUND(10.58/E142,3)</f>
        <v>0.13400000000000001</v>
      </c>
      <c r="U142" s="7">
        <f>ROUND(58/E142,3)</f>
        <v>0.73399999999999999</v>
      </c>
      <c r="V142" s="7">
        <f>ROUND(40/E142,3)</f>
        <v>0.50600000000000001</v>
      </c>
      <c r="W142" s="7">
        <f>ROUND(10.88/E142,3)</f>
        <v>0.13800000000000001</v>
      </c>
      <c r="X142" s="7">
        <v>0.59</v>
      </c>
      <c r="Y142" s="7">
        <v>0.56999999999999995</v>
      </c>
      <c r="Z142" s="7">
        <v>0.56999999999999995</v>
      </c>
      <c r="AA142" s="7">
        <f>ROUND(80.78/E142,3)</f>
        <v>1.0229999999999999</v>
      </c>
      <c r="AB142" s="7">
        <f>ROUND(9/E142,3)</f>
        <v>0.114</v>
      </c>
      <c r="AC142" s="7">
        <v>8475218</v>
      </c>
    </row>
    <row r="143" spans="1:29" ht="15" customHeight="1" x14ac:dyDescent="0.2">
      <c r="A143" s="7" t="s">
        <v>450</v>
      </c>
      <c r="B143" s="7" t="s">
        <v>376</v>
      </c>
      <c r="C143" s="7" t="s">
        <v>180</v>
      </c>
      <c r="D143" s="7">
        <v>31</v>
      </c>
      <c r="E143" s="7">
        <v>60</v>
      </c>
      <c r="F143" s="7">
        <f>ROUND(2/E143,3)</f>
        <v>3.3000000000000002E-2</v>
      </c>
      <c r="G143" s="7">
        <f>ROUND(28/E143,3)</f>
        <v>0.46700000000000003</v>
      </c>
      <c r="H143" s="7">
        <f>ROUND(132/E143,3)</f>
        <v>2.2000000000000002</v>
      </c>
      <c r="I143" s="7">
        <f>ROUND(83/E143,3)</f>
        <v>1.383</v>
      </c>
      <c r="J143" s="7">
        <f>ROUND(104/E143,3)</f>
        <v>1.7330000000000001</v>
      </c>
      <c r="K143" s="7">
        <f t="shared" si="5"/>
        <v>7.6905000000000001</v>
      </c>
      <c r="L143" s="7">
        <f>ROUND(1317.7333333333/E143,3)</f>
        <v>21.962</v>
      </c>
      <c r="M143" s="7">
        <f>ROUND(39/E143,3)</f>
        <v>0.65</v>
      </c>
      <c r="N143" s="7" t="s">
        <v>989</v>
      </c>
      <c r="O143" s="7" t="s">
        <v>990</v>
      </c>
      <c r="P143" s="7">
        <f>ROUND(264/E143,3)</f>
        <v>4.4000000000000004</v>
      </c>
      <c r="Q143" s="7">
        <f>ROUND(177/E143,3)</f>
        <v>2.95</v>
      </c>
      <c r="R143" s="7">
        <f>ROUND(83/E143,3)</f>
        <v>1.383</v>
      </c>
      <c r="S143" s="7">
        <f>ROUND(19/E143,3)</f>
        <v>0.317</v>
      </c>
      <c r="T143" s="7">
        <f>ROUND(7.5/E143,3)</f>
        <v>0.125</v>
      </c>
      <c r="U143" s="7">
        <f>ROUND(35/E143,3)</f>
        <v>0.58299999999999996</v>
      </c>
      <c r="V143" s="7">
        <f>ROUND(35/E143,3)</f>
        <v>0.58299999999999996</v>
      </c>
      <c r="W143" s="7">
        <f>ROUND(7.97/E143,3)</f>
        <v>0.13300000000000001</v>
      </c>
      <c r="X143" s="7">
        <v>0.51</v>
      </c>
      <c r="Y143" s="7">
        <v>0.48</v>
      </c>
      <c r="Z143" s="7">
        <v>0.48</v>
      </c>
      <c r="AA143" s="7">
        <f>ROUND(24.4/E143,3)</f>
        <v>0.40699999999999997</v>
      </c>
      <c r="AB143" s="7">
        <f>ROUND(6/E143,3)</f>
        <v>0.1</v>
      </c>
      <c r="AC143" s="7">
        <v>8475753</v>
      </c>
    </row>
    <row r="144" spans="1:29" ht="15" customHeight="1" x14ac:dyDescent="0.2">
      <c r="A144" s="7" t="s">
        <v>453</v>
      </c>
      <c r="B144" s="7" t="s">
        <v>376</v>
      </c>
      <c r="C144" s="7" t="s">
        <v>66</v>
      </c>
      <c r="D144" s="7">
        <v>25</v>
      </c>
      <c r="E144" s="7">
        <v>23</v>
      </c>
      <c r="F144" s="7">
        <f>ROUND(3/E144,3)</f>
        <v>0.13</v>
      </c>
      <c r="G144" s="7">
        <f>ROUND(7/E144,3)</f>
        <v>0.30399999999999999</v>
      </c>
      <c r="H144" s="7">
        <f>ROUND(31/E144,3)</f>
        <v>1.3480000000000001</v>
      </c>
      <c r="I144" s="7">
        <f>ROUND(14/E144,3)</f>
        <v>0.60899999999999999</v>
      </c>
      <c r="J144" s="7">
        <f>ROUND(22/E144,3)</f>
        <v>0.95699999999999996</v>
      </c>
      <c r="K144" s="7">
        <f t="shared" si="5"/>
        <v>5.4734999999999996</v>
      </c>
      <c r="L144" s="7">
        <f>ROUND(327.18333333333/E144,3)</f>
        <v>14.225</v>
      </c>
      <c r="M144" s="7">
        <f>ROUND(6/E144,3)</f>
        <v>0.26100000000000001</v>
      </c>
      <c r="N144" s="7" t="s">
        <v>557</v>
      </c>
      <c r="O144" s="7" t="s">
        <v>991</v>
      </c>
      <c r="P144" s="7">
        <f>ROUND(74/E144,3)</f>
        <v>3.2170000000000001</v>
      </c>
      <c r="Q144" s="7">
        <f>ROUND(49/E144,3)</f>
        <v>2.13</v>
      </c>
      <c r="R144" s="7">
        <f>ROUND(18/E144,3)</f>
        <v>0.78300000000000003</v>
      </c>
      <c r="S144" s="7">
        <f>ROUND(3/E144,3)</f>
        <v>0.13</v>
      </c>
      <c r="T144" s="7">
        <f>ROUND(1.1/E144,3)</f>
        <v>4.8000000000000001E-2</v>
      </c>
      <c r="U144" s="7">
        <f>ROUND(10/E144,3)</f>
        <v>0.435</v>
      </c>
      <c r="V144" s="7">
        <f>ROUND(8/E144,3)</f>
        <v>0.34799999999999998</v>
      </c>
      <c r="W144" s="7">
        <f>ROUND(1.46/E144,3)</f>
        <v>6.3E-2</v>
      </c>
      <c r="X144" s="7">
        <v>0.51</v>
      </c>
      <c r="Y144" s="7">
        <v>0.49</v>
      </c>
      <c r="Z144" s="7">
        <v>0.5</v>
      </c>
      <c r="AA144" s="7">
        <f>ROUND(8.73/E144,3)</f>
        <v>0.38</v>
      </c>
      <c r="AB144" s="7">
        <f>ROUND(2/E144,3)</f>
        <v>8.6999999999999994E-2</v>
      </c>
      <c r="AC144" s="7">
        <v>8484258</v>
      </c>
    </row>
    <row r="145" spans="1:29" ht="15" customHeight="1" x14ac:dyDescent="0.2">
      <c r="A145" s="7" t="s">
        <v>454</v>
      </c>
      <c r="B145" s="7" t="s">
        <v>376</v>
      </c>
      <c r="C145" s="7" t="s">
        <v>184</v>
      </c>
      <c r="D145" s="7">
        <v>20</v>
      </c>
      <c r="E145" s="7">
        <v>16</v>
      </c>
      <c r="F145" s="7">
        <f>ROUND(2/E145,3)</f>
        <v>0.125</v>
      </c>
      <c r="G145" s="7">
        <f>ROUND(4/E145,3)</f>
        <v>0.25</v>
      </c>
      <c r="H145" s="7">
        <f>ROUND(31/E145,3)</f>
        <v>1.9379999999999999</v>
      </c>
      <c r="I145" s="7">
        <f>ROUND(6/E145,3)</f>
        <v>0.375</v>
      </c>
      <c r="J145" s="7">
        <f>ROUND(21/E145,3)</f>
        <v>1.3129999999999999</v>
      </c>
      <c r="K145" s="7">
        <f t="shared" si="5"/>
        <v>5.9384999999999994</v>
      </c>
      <c r="L145" s="7">
        <f>ROUND(218.41666666667/E145,3)</f>
        <v>13.651</v>
      </c>
      <c r="M145" s="7">
        <f>ROUND(10/E145,3)</f>
        <v>0.625</v>
      </c>
      <c r="N145" s="7" t="s">
        <v>115</v>
      </c>
      <c r="O145" s="7" t="s">
        <v>992</v>
      </c>
      <c r="P145" s="7">
        <f>ROUND(54/E145,3)</f>
        <v>3.375</v>
      </c>
      <c r="Q145" s="7">
        <f>ROUND(40/E145,3)</f>
        <v>2.5</v>
      </c>
      <c r="R145" s="7">
        <f>ROUND(19/E145,3)</f>
        <v>1.1879999999999999</v>
      </c>
      <c r="S145" s="7">
        <f>ROUND(5/E145,3)</f>
        <v>0.313</v>
      </c>
      <c r="T145" s="7">
        <f>ROUND(1.72/E145,3)</f>
        <v>0.108</v>
      </c>
      <c r="U145" s="7">
        <f>ROUND(2/E145,3)</f>
        <v>0.125</v>
      </c>
      <c r="V145" s="7">
        <f>ROUND(1/E145,3)</f>
        <v>6.3E-2</v>
      </c>
      <c r="W145" s="7">
        <f>ROUND(1.96/E145,3)</f>
        <v>0.123</v>
      </c>
      <c r="X145" s="7">
        <v>0.61</v>
      </c>
      <c r="Y145" s="7">
        <v>0.6</v>
      </c>
      <c r="Z145" s="7">
        <v>0.62</v>
      </c>
      <c r="AA145" s="7">
        <f>ROUND(9.02/E145,3)</f>
        <v>0.56399999999999995</v>
      </c>
      <c r="AB145" s="7">
        <f>ROUND(2/E145,3)</f>
        <v>0.125</v>
      </c>
      <c r="AC145" s="7">
        <v>8482730</v>
      </c>
    </row>
    <row r="146" spans="1:29" ht="15" customHeight="1" x14ac:dyDescent="0.2">
      <c r="A146" s="7" t="s">
        <v>455</v>
      </c>
      <c r="B146" s="7" t="s">
        <v>376</v>
      </c>
      <c r="C146" s="7" t="s">
        <v>102</v>
      </c>
      <c r="D146" s="7">
        <v>28</v>
      </c>
      <c r="E146" s="7">
        <v>47</v>
      </c>
      <c r="F146" s="7">
        <f>ROUND(5/E146,3)</f>
        <v>0.106</v>
      </c>
      <c r="G146" s="7">
        <f>ROUND(37/E146,3)</f>
        <v>0.78700000000000003</v>
      </c>
      <c r="H146" s="7">
        <f>ROUND(105/E146,3)</f>
        <v>2.234</v>
      </c>
      <c r="I146" s="7">
        <f>ROUND(9/E146,3)</f>
        <v>0.191</v>
      </c>
      <c r="J146" s="7">
        <f>ROUND(78/E146,3)</f>
        <v>1.66</v>
      </c>
      <c r="K146" s="7">
        <f t="shared" si="5"/>
        <v>9.5594999999999999</v>
      </c>
      <c r="L146" s="7">
        <f>ROUND(1038.15/E146,3)</f>
        <v>22.088000000000001</v>
      </c>
      <c r="M146" s="7">
        <f>ROUND(6/E146,3)</f>
        <v>0.128</v>
      </c>
      <c r="N146" s="7" t="s">
        <v>993</v>
      </c>
      <c r="O146" s="7" t="s">
        <v>994</v>
      </c>
      <c r="P146" s="7">
        <f>ROUND(273/E146,3)</f>
        <v>5.8090000000000002</v>
      </c>
      <c r="Q146" s="7">
        <f>ROUND(156/E146,3)</f>
        <v>3.319</v>
      </c>
      <c r="R146" s="7">
        <f>ROUND(67/E146,3)</f>
        <v>1.4259999999999999</v>
      </c>
      <c r="S146" s="7">
        <f>ROUND(6/E146,3)</f>
        <v>0.128</v>
      </c>
      <c r="T146" s="7">
        <f>ROUND(5.59/E146,3)</f>
        <v>0.11899999999999999</v>
      </c>
      <c r="U146" s="7">
        <f>ROUND(22/E146,3)</f>
        <v>0.46800000000000003</v>
      </c>
      <c r="V146" s="7">
        <f>ROUND(27/E146,3)</f>
        <v>0.57399999999999995</v>
      </c>
      <c r="W146" s="7">
        <f>ROUND(5.33/E146,3)</f>
        <v>0.113</v>
      </c>
      <c r="X146" s="7">
        <v>0.56999999999999995</v>
      </c>
      <c r="Y146" s="7">
        <v>0.57999999999999996</v>
      </c>
      <c r="Z146" s="7">
        <v>0.57999999999999996</v>
      </c>
      <c r="AA146" s="7">
        <f>ROUND(43.77/E146,3)</f>
        <v>0.93100000000000005</v>
      </c>
      <c r="AB146" s="7">
        <f>ROUND(2/E146,3)</f>
        <v>4.2999999999999997E-2</v>
      </c>
      <c r="AC146" s="7">
        <v>8477447</v>
      </c>
    </row>
    <row r="147" spans="1:29" ht="15" customHeight="1" x14ac:dyDescent="0.2">
      <c r="A147" s="7" t="s">
        <v>458</v>
      </c>
      <c r="B147" s="7" t="s">
        <v>376</v>
      </c>
      <c r="C147" s="7" t="s">
        <v>274</v>
      </c>
      <c r="D147" s="7">
        <v>32</v>
      </c>
      <c r="E147" s="7">
        <v>80</v>
      </c>
      <c r="F147" s="7">
        <f>ROUND(9/E147,3)</f>
        <v>0.113</v>
      </c>
      <c r="G147" s="7">
        <f>ROUND(23/E147,3)</f>
        <v>0.28799999999999998</v>
      </c>
      <c r="H147" s="7">
        <f>ROUND(123/E147,3)</f>
        <v>1.538</v>
      </c>
      <c r="I147" s="7">
        <f>ROUND(105/E147,3)</f>
        <v>1.3129999999999999</v>
      </c>
      <c r="J147" s="7">
        <f>ROUND(70/E147,3)</f>
        <v>0.875</v>
      </c>
      <c r="K147" s="7">
        <f t="shared" si="5"/>
        <v>5.7015000000000002</v>
      </c>
      <c r="L147" s="7">
        <f>ROUND(1471.5333333333/E147,3)</f>
        <v>18.393999999999998</v>
      </c>
      <c r="M147" s="7">
        <f>ROUND(76/E147,3)</f>
        <v>0.95</v>
      </c>
      <c r="N147" s="7" t="s">
        <v>995</v>
      </c>
      <c r="O147" s="7" t="s">
        <v>693</v>
      </c>
      <c r="P147" s="7">
        <f>ROUND(294/E147,3)</f>
        <v>3.6749999999999998</v>
      </c>
      <c r="Q147" s="7">
        <f>ROUND(183/E147,3)</f>
        <v>2.2879999999999998</v>
      </c>
      <c r="R147" s="7">
        <f>ROUND(78/E147,3)</f>
        <v>0.97499999999999998</v>
      </c>
      <c r="S147" s="7">
        <f>ROUND(12/E147,3)</f>
        <v>0.15</v>
      </c>
      <c r="T147" s="7">
        <f>ROUND(6.47/E147,3)</f>
        <v>8.1000000000000003E-2</v>
      </c>
      <c r="U147" s="7">
        <f>ROUND(35/E147,3)</f>
        <v>0.438</v>
      </c>
      <c r="V147" s="7">
        <f>ROUND(15/E147,3)</f>
        <v>0.188</v>
      </c>
      <c r="W147" s="7">
        <f>ROUND(7.03/E147,3)</f>
        <v>8.7999999999999995E-2</v>
      </c>
      <c r="X147" s="7">
        <v>0.6</v>
      </c>
      <c r="Y147" s="7">
        <v>0.59</v>
      </c>
      <c r="Z147" s="7">
        <v>0.56999999999999995</v>
      </c>
      <c r="AA147" s="7">
        <f>ROUND(46.33/E147,3)</f>
        <v>0.57899999999999996</v>
      </c>
      <c r="AB147" s="7">
        <f>ROUND(7/E147,3)</f>
        <v>8.7999999999999995E-2</v>
      </c>
      <c r="AC147" s="7">
        <v>8475171</v>
      </c>
    </row>
    <row r="148" spans="1:29" ht="15" customHeight="1" x14ac:dyDescent="0.2">
      <c r="A148" s="7" t="s">
        <v>461</v>
      </c>
      <c r="B148" s="7" t="s">
        <v>376</v>
      </c>
      <c r="C148" s="7" t="s">
        <v>153</v>
      </c>
      <c r="D148" s="7">
        <v>30</v>
      </c>
      <c r="E148" s="7">
        <v>20</v>
      </c>
      <c r="F148" s="7">
        <f>ROUND(5/E148,3)</f>
        <v>0.25</v>
      </c>
      <c r="G148" s="7">
        <f>ROUND(11/E148,3)</f>
        <v>0.55000000000000004</v>
      </c>
      <c r="H148" s="7">
        <f>ROUND(61/E148,3)</f>
        <v>3.05</v>
      </c>
      <c r="I148" s="7">
        <f>ROUND(18/E148,3)</f>
        <v>0.9</v>
      </c>
      <c r="J148" s="7">
        <f>ROUND(24/E148,3)</f>
        <v>1.2</v>
      </c>
      <c r="K148" s="7">
        <f t="shared" si="5"/>
        <v>10</v>
      </c>
      <c r="L148" s="7">
        <f>ROUND(419.5/E148,3)</f>
        <v>20.975000000000001</v>
      </c>
      <c r="M148" s="7">
        <f>ROUND(20/E148,3)</f>
        <v>1</v>
      </c>
      <c r="N148" s="7" t="s">
        <v>996</v>
      </c>
      <c r="O148" s="7" t="s">
        <v>997</v>
      </c>
      <c r="P148" s="7">
        <f>ROUND(150/E148,3)</f>
        <v>7.5</v>
      </c>
      <c r="Q148" s="7">
        <f>ROUND(88/E148,3)</f>
        <v>4.4000000000000004</v>
      </c>
      <c r="R148" s="7">
        <f>ROUND(49/E148,3)</f>
        <v>2.4500000000000002</v>
      </c>
      <c r="S148" s="7">
        <f>ROUND(4/E148,3)</f>
        <v>0.2</v>
      </c>
      <c r="T148" s="7">
        <f>ROUND(3.07/E148,3)</f>
        <v>0.154</v>
      </c>
      <c r="U148" s="7">
        <f>ROUND(14/E148,3)</f>
        <v>0.7</v>
      </c>
      <c r="V148" s="7">
        <f>ROUND(5/E148,3)</f>
        <v>0.25</v>
      </c>
      <c r="W148" s="7">
        <f>ROUND(3.51/E148,3)</f>
        <v>0.17599999999999999</v>
      </c>
      <c r="X148" s="7">
        <v>0.54</v>
      </c>
      <c r="Y148" s="7">
        <v>0.6</v>
      </c>
      <c r="Z148" s="7">
        <v>0.56999999999999995</v>
      </c>
      <c r="AA148" s="7">
        <f>ROUND(21.68/E148,3)</f>
        <v>1.0840000000000001</v>
      </c>
      <c r="AB148" s="7">
        <f>ROUND(3/E148,3)</f>
        <v>0.15</v>
      </c>
      <c r="AC148" s="7">
        <v>8476462</v>
      </c>
    </row>
    <row r="149" spans="1:29" ht="15" customHeight="1" x14ac:dyDescent="0.2">
      <c r="A149" s="7" t="s">
        <v>463</v>
      </c>
      <c r="B149" s="7" t="s">
        <v>376</v>
      </c>
      <c r="C149" s="7" t="s">
        <v>220</v>
      </c>
      <c r="D149" s="7">
        <v>27</v>
      </c>
      <c r="E149" s="7">
        <v>81</v>
      </c>
      <c r="F149" s="7">
        <f>ROUND(10/E149,3)</f>
        <v>0.123</v>
      </c>
      <c r="G149" s="7">
        <f>ROUND(34/E149,3)</f>
        <v>0.42</v>
      </c>
      <c r="H149" s="7">
        <f>ROUND(146/E149,3)</f>
        <v>1.802</v>
      </c>
      <c r="I149" s="7">
        <f>ROUND(94/E149,3)</f>
        <v>1.1599999999999999</v>
      </c>
      <c r="J149" s="7">
        <f>ROUND(149/E149,3)</f>
        <v>1.84</v>
      </c>
      <c r="K149" s="7">
        <f t="shared" si="5"/>
        <v>7.726</v>
      </c>
      <c r="L149" s="7">
        <f>ROUND(1928.2333333333/E149,3)</f>
        <v>23.805</v>
      </c>
      <c r="M149" s="7">
        <f>ROUND(48/E149,3)</f>
        <v>0.59299999999999997</v>
      </c>
      <c r="N149" s="7" t="s">
        <v>112</v>
      </c>
      <c r="O149" s="7" t="s">
        <v>998</v>
      </c>
      <c r="P149" s="7">
        <f>ROUND(320/E149,3)</f>
        <v>3.9510000000000001</v>
      </c>
      <c r="Q149" s="7">
        <f>ROUND(214/E149,3)</f>
        <v>2.6419999999999999</v>
      </c>
      <c r="R149" s="7">
        <f>ROUND(122/E149,3)</f>
        <v>1.506</v>
      </c>
      <c r="S149" s="7">
        <f>ROUND(38/E149,3)</f>
        <v>0.46899999999999997</v>
      </c>
      <c r="T149" s="7">
        <f>ROUND(9.37/E149,3)</f>
        <v>0.11600000000000001</v>
      </c>
      <c r="U149" s="7">
        <f>ROUND(47/E149,3)</f>
        <v>0.57999999999999996</v>
      </c>
      <c r="V149" s="7">
        <f>ROUND(37/E149,3)</f>
        <v>0.45700000000000002</v>
      </c>
      <c r="W149" s="7">
        <f>ROUND(9.45/E149,3)</f>
        <v>0.11700000000000001</v>
      </c>
      <c r="X149" s="7">
        <v>0.47</v>
      </c>
      <c r="Y149" s="7">
        <v>0.48</v>
      </c>
      <c r="Z149" s="7">
        <v>0.5</v>
      </c>
      <c r="AA149" s="7">
        <f>ROUND(44.8/E149,3)</f>
        <v>0.55300000000000005</v>
      </c>
      <c r="AB149" s="7">
        <f>ROUND(9/E149,3)</f>
        <v>0.111</v>
      </c>
      <c r="AC149" s="7">
        <v>8477948</v>
      </c>
    </row>
    <row r="150" spans="1:29" ht="15" customHeight="1" x14ac:dyDescent="0.2">
      <c r="A150" s="7" t="s">
        <v>466</v>
      </c>
      <c r="B150" s="7" t="s">
        <v>376</v>
      </c>
      <c r="C150" s="7" t="s">
        <v>131</v>
      </c>
      <c r="D150" s="7">
        <v>23</v>
      </c>
      <c r="E150" s="7">
        <v>80</v>
      </c>
      <c r="F150" s="7">
        <f>ROUND(8/E150,3)</f>
        <v>0.1</v>
      </c>
      <c r="G150" s="7">
        <f>ROUND(22/E150,3)</f>
        <v>0.27500000000000002</v>
      </c>
      <c r="H150" s="7">
        <f>ROUND(96/E150,3)</f>
        <v>1.2</v>
      </c>
      <c r="I150" s="7">
        <f>ROUND(149/E150,3)</f>
        <v>1.863</v>
      </c>
      <c r="J150" s="7">
        <f>ROUND(117/E150,3)</f>
        <v>1.4630000000000001</v>
      </c>
      <c r="K150" s="7">
        <f t="shared" si="5"/>
        <v>6.0445000000000002</v>
      </c>
      <c r="L150" s="7">
        <f>ROUND(1724.9833333333/E150,3)</f>
        <v>21.562000000000001</v>
      </c>
      <c r="M150" s="7">
        <f>ROUND(49/E150,3)</f>
        <v>0.61299999999999999</v>
      </c>
      <c r="N150" s="7" t="s">
        <v>999</v>
      </c>
      <c r="O150" s="7" t="s">
        <v>1000</v>
      </c>
      <c r="P150" s="7">
        <f>ROUND(241/E150,3)</f>
        <v>3.0129999999999999</v>
      </c>
      <c r="Q150" s="7">
        <f>ROUND(152/E150,3)</f>
        <v>1.9</v>
      </c>
      <c r="R150" s="7">
        <f>ROUND(74/E150,3)</f>
        <v>0.92500000000000004</v>
      </c>
      <c r="S150" s="7">
        <f>ROUND(16/E150,3)</f>
        <v>0.2</v>
      </c>
      <c r="T150" s="7">
        <f>ROUND(7.42/E150,3)</f>
        <v>9.2999999999999999E-2</v>
      </c>
      <c r="U150" s="7">
        <f>ROUND(34/E150,3)</f>
        <v>0.42499999999999999</v>
      </c>
      <c r="V150" s="7">
        <f>ROUND(57/E150,3)</f>
        <v>0.71299999999999997</v>
      </c>
      <c r="W150" s="7">
        <f>ROUND(7.51/E150,3)</f>
        <v>9.4E-2</v>
      </c>
      <c r="X150" s="7">
        <v>0.48</v>
      </c>
      <c r="Y150" s="7">
        <v>0.47</v>
      </c>
      <c r="Z150" s="7">
        <v>0.47</v>
      </c>
      <c r="AA150" s="7">
        <f>ROUND(24.4/E150,3)</f>
        <v>0.30499999999999999</v>
      </c>
      <c r="AB150" s="7">
        <f>ROUND(10/E150,3)</f>
        <v>0.125</v>
      </c>
      <c r="AC150" s="7">
        <v>8480817</v>
      </c>
    </row>
    <row r="151" spans="1:29" ht="15" customHeight="1" x14ac:dyDescent="0.2">
      <c r="A151" s="7" t="s">
        <v>469</v>
      </c>
      <c r="B151" s="7" t="s">
        <v>376</v>
      </c>
      <c r="C151" s="7" t="s">
        <v>76</v>
      </c>
      <c r="D151" s="7">
        <v>29</v>
      </c>
      <c r="E151" s="7">
        <v>82</v>
      </c>
      <c r="F151" s="7">
        <f>ROUND(11/E151,3)</f>
        <v>0.13400000000000001</v>
      </c>
      <c r="G151" s="7">
        <f>ROUND(51/E151,3)</f>
        <v>0.622</v>
      </c>
      <c r="H151" s="7">
        <f>ROUND(187/E151,3)</f>
        <v>2.2799999999999998</v>
      </c>
      <c r="I151" s="7">
        <f>ROUND(61/E151,3)</f>
        <v>0.74399999999999999</v>
      </c>
      <c r="J151" s="7">
        <f>ROUND(186/E151,3)</f>
        <v>2.2679999999999998</v>
      </c>
      <c r="K151" s="7">
        <f t="shared" si="5"/>
        <v>9.7240000000000002</v>
      </c>
      <c r="L151" s="7">
        <f>ROUND(2095.3333333333/E151,3)</f>
        <v>25.553000000000001</v>
      </c>
      <c r="M151" s="7">
        <f>ROUND(58/E151,3)</f>
        <v>0.70699999999999996</v>
      </c>
      <c r="N151" s="7" t="s">
        <v>1001</v>
      </c>
      <c r="O151" s="7" t="s">
        <v>739</v>
      </c>
      <c r="P151" s="7">
        <f>ROUND(403/E151,3)</f>
        <v>4.915</v>
      </c>
      <c r="Q151" s="7">
        <f>ROUND(252/E151,3)</f>
        <v>3.073</v>
      </c>
      <c r="R151" s="7">
        <f>ROUND(115/E151,3)</f>
        <v>1.4019999999999999</v>
      </c>
      <c r="S151" s="7">
        <f>ROUND(23/E151,3)</f>
        <v>0.28000000000000003</v>
      </c>
      <c r="T151" s="7">
        <f>ROUND(10.1/E151,3)</f>
        <v>0.123</v>
      </c>
      <c r="U151" s="7">
        <f>ROUND(76/E151,3)</f>
        <v>0.92700000000000005</v>
      </c>
      <c r="V151" s="7">
        <f>ROUND(49/E151,3)</f>
        <v>0.59799999999999998</v>
      </c>
      <c r="W151" s="7">
        <f>ROUND(10.16/E151,3)</f>
        <v>0.124</v>
      </c>
      <c r="X151" s="7">
        <v>0.46</v>
      </c>
      <c r="Y151" s="7">
        <v>0.45</v>
      </c>
      <c r="Z151" s="7">
        <v>0.46</v>
      </c>
      <c r="AA151" s="7">
        <f>ROUND(40.13/E151,3)</f>
        <v>0.48899999999999999</v>
      </c>
      <c r="AB151" s="7">
        <f>ROUND(8/E151,3)</f>
        <v>9.8000000000000004E-2</v>
      </c>
      <c r="AC151" s="7">
        <v>8476875</v>
      </c>
    </row>
    <row r="152" spans="1:29" ht="15" customHeight="1" x14ac:dyDescent="0.2">
      <c r="A152" s="7" t="s">
        <v>472</v>
      </c>
      <c r="B152" s="7" t="s">
        <v>376</v>
      </c>
      <c r="C152" s="7" t="s">
        <v>80</v>
      </c>
      <c r="D152" s="7">
        <v>32</v>
      </c>
      <c r="E152" s="7">
        <v>82</v>
      </c>
      <c r="F152" s="7">
        <f>ROUND(6/E152,3)</f>
        <v>7.2999999999999995E-2</v>
      </c>
      <c r="G152" s="7">
        <f>ROUND(20/E152,3)</f>
        <v>0.24399999999999999</v>
      </c>
      <c r="H152" s="7">
        <f>ROUND(129/E152,3)</f>
        <v>1.573</v>
      </c>
      <c r="I152" s="7">
        <f>ROUND(116/E152,3)</f>
        <v>1.415</v>
      </c>
      <c r="J152" s="7">
        <f>ROUND(60/E152,3)</f>
        <v>0.73199999999999998</v>
      </c>
      <c r="K152" s="7">
        <f t="shared" si="5"/>
        <v>5.0604999999999993</v>
      </c>
      <c r="L152" s="7">
        <f>ROUND(1419.8166666667/E152,3)</f>
        <v>17.315000000000001</v>
      </c>
      <c r="M152" s="7">
        <f>ROUND(36/E152,3)</f>
        <v>0.439</v>
      </c>
      <c r="N152" s="7" t="s">
        <v>223</v>
      </c>
      <c r="O152" s="7" t="s">
        <v>1002</v>
      </c>
      <c r="P152" s="7">
        <f>ROUND(320/E152,3)</f>
        <v>3.9020000000000001</v>
      </c>
      <c r="Q152" s="7">
        <f>ROUND(200/E152,3)</f>
        <v>2.4390000000000001</v>
      </c>
      <c r="R152" s="7">
        <f>ROUND(99/E152,3)</f>
        <v>1.2070000000000001</v>
      </c>
      <c r="S152" s="7">
        <f>ROUND(14/E152,3)</f>
        <v>0.17100000000000001</v>
      </c>
      <c r="T152" s="7">
        <f>ROUND(7.37/E152,3)</f>
        <v>0.09</v>
      </c>
      <c r="U152" s="7">
        <f>ROUND(36/E152,3)</f>
        <v>0.439</v>
      </c>
      <c r="V152" s="7">
        <f>ROUND(26/E152,3)</f>
        <v>0.317</v>
      </c>
      <c r="W152" s="7">
        <f>ROUND(6.02/E152,3)</f>
        <v>7.2999999999999995E-2</v>
      </c>
      <c r="X152" s="7">
        <v>0.56999999999999995</v>
      </c>
      <c r="Y152" s="7">
        <v>0.6</v>
      </c>
      <c r="Z152" s="7">
        <v>0.59</v>
      </c>
      <c r="AA152" s="7">
        <f>ROUND(55.67/E152,3)</f>
        <v>0.67900000000000005</v>
      </c>
      <c r="AB152" s="7">
        <f>ROUND(2/E152,3)</f>
        <v>2.4E-2</v>
      </c>
      <c r="AC152" s="7">
        <v>8475200</v>
      </c>
    </row>
    <row r="153" spans="1:29" ht="15" customHeight="1" x14ac:dyDescent="0.2">
      <c r="A153" s="7" t="s">
        <v>475</v>
      </c>
      <c r="B153" s="7" t="s">
        <v>376</v>
      </c>
      <c r="C153" s="7" t="s">
        <v>146</v>
      </c>
      <c r="D153" s="7">
        <v>29</v>
      </c>
      <c r="E153" s="7">
        <v>72</v>
      </c>
      <c r="F153" s="7">
        <f>ROUND(7/E153,3)</f>
        <v>9.7000000000000003E-2</v>
      </c>
      <c r="G153" s="7">
        <f>ROUND(51/E153,3)</f>
        <v>0.70799999999999996</v>
      </c>
      <c r="H153" s="7">
        <f>ROUND(173/E153,3)</f>
        <v>2.403</v>
      </c>
      <c r="I153" s="7">
        <f>ROUND(98/E153,3)</f>
        <v>1.361</v>
      </c>
      <c r="J153" s="7">
        <f>ROUND(137/E153,3)</f>
        <v>1.903</v>
      </c>
      <c r="K153" s="7">
        <f t="shared" si="5"/>
        <v>10.0105</v>
      </c>
      <c r="L153" s="7">
        <f>ROUND(1709.3666666667/E153,3)</f>
        <v>23.741</v>
      </c>
      <c r="M153" s="7">
        <f>ROUND(27/E153,3)</f>
        <v>0.375</v>
      </c>
      <c r="N153" s="7" t="s">
        <v>1003</v>
      </c>
      <c r="O153" s="7" t="s">
        <v>1004</v>
      </c>
      <c r="P153" s="7">
        <f>ROUND(360/E153,3)</f>
        <v>5</v>
      </c>
      <c r="Q153" s="7">
        <f>ROUND(242/E153,3)</f>
        <v>3.3610000000000002</v>
      </c>
      <c r="R153" s="7">
        <f>ROUND(110/E153,3)</f>
        <v>1.528</v>
      </c>
      <c r="S153" s="7">
        <f>ROUND(28/E153,3)</f>
        <v>0.38900000000000001</v>
      </c>
      <c r="T153" s="7">
        <f>ROUND(8.98/E153,3)</f>
        <v>0.125</v>
      </c>
      <c r="U153" s="7">
        <f>ROUND(61/E153,3)</f>
        <v>0.84699999999999998</v>
      </c>
      <c r="V153" s="7">
        <f>ROUND(27/E153,3)</f>
        <v>0.375</v>
      </c>
      <c r="W153" s="7">
        <f>ROUND(9.67/E153,3)</f>
        <v>0.13400000000000001</v>
      </c>
      <c r="X153" s="7">
        <v>0.56999999999999995</v>
      </c>
      <c r="Y153" s="7">
        <v>0.55000000000000004</v>
      </c>
      <c r="Z153" s="7">
        <v>0.55000000000000004</v>
      </c>
      <c r="AA153" s="7">
        <f>ROUND(59.93/E153,3)</f>
        <v>0.83199999999999996</v>
      </c>
      <c r="AB153" s="7">
        <f>ROUND(7/E153,3)</f>
        <v>9.7000000000000003E-2</v>
      </c>
      <c r="AC153" s="7">
        <v>8476853</v>
      </c>
    </row>
    <row r="154" spans="1:29" ht="15" customHeight="1" x14ac:dyDescent="0.2">
      <c r="A154" s="7" t="s">
        <v>478</v>
      </c>
      <c r="B154" s="7" t="s">
        <v>376</v>
      </c>
      <c r="C154" s="7" t="s">
        <v>93</v>
      </c>
      <c r="D154" s="7">
        <v>22</v>
      </c>
      <c r="E154" s="7">
        <v>79</v>
      </c>
      <c r="F154" s="7">
        <f>ROUND(15/E154,3)</f>
        <v>0.19</v>
      </c>
      <c r="G154" s="7">
        <f>ROUND(32/E154,3)</f>
        <v>0.40500000000000003</v>
      </c>
      <c r="H154" s="7">
        <f>ROUND(144/E154,3)</f>
        <v>1.823</v>
      </c>
      <c r="I154" s="7">
        <f>ROUND(68/E154,3)</f>
        <v>0.86099999999999999</v>
      </c>
      <c r="J154" s="7">
        <f>ROUND(135/E154,3)</f>
        <v>1.7090000000000001</v>
      </c>
      <c r="K154" s="7">
        <f t="shared" si="5"/>
        <v>7.9124999999999996</v>
      </c>
      <c r="L154" s="7">
        <f>ROUND(1660.3333333333/E154,3)</f>
        <v>21.016999999999999</v>
      </c>
      <c r="M154" s="7">
        <f>ROUND(18/E154,3)</f>
        <v>0.22800000000000001</v>
      </c>
      <c r="N154" s="7" t="s">
        <v>1005</v>
      </c>
      <c r="O154" s="7" t="s">
        <v>290</v>
      </c>
      <c r="P154" s="7">
        <f>ROUND(347/E154,3)</f>
        <v>4.3920000000000003</v>
      </c>
      <c r="Q154" s="7">
        <f>ROUND(209/E154,3)</f>
        <v>2.6459999999999999</v>
      </c>
      <c r="R154" s="7">
        <f>ROUND(125/E154,3)</f>
        <v>1.5820000000000001</v>
      </c>
      <c r="S154" s="7">
        <f>ROUND(14/E154,3)</f>
        <v>0.17699999999999999</v>
      </c>
      <c r="T154" s="7">
        <f>ROUND(7.67/E154,3)</f>
        <v>9.7000000000000003E-2</v>
      </c>
      <c r="U154" s="7">
        <f>ROUND(61/E154,3)</f>
        <v>0.77200000000000002</v>
      </c>
      <c r="V154" s="7">
        <f>ROUND(37/E154,3)</f>
        <v>0.46800000000000003</v>
      </c>
      <c r="W154" s="7">
        <f>ROUND(7.52/E154,3)</f>
        <v>9.5000000000000001E-2</v>
      </c>
      <c r="X154" s="7">
        <v>0.57999999999999996</v>
      </c>
      <c r="Y154" s="7">
        <v>0.56000000000000005</v>
      </c>
      <c r="Z154" s="7">
        <v>0.56000000000000005</v>
      </c>
      <c r="AA154" s="7">
        <f>ROUND(68.15/E154,3)</f>
        <v>0.86299999999999999</v>
      </c>
      <c r="AB154" s="7">
        <f>ROUND(4/E154,3)</f>
        <v>5.0999999999999997E-2</v>
      </c>
      <c r="AC154" s="7">
        <v>8481581</v>
      </c>
    </row>
    <row r="155" spans="1:29" ht="15" customHeight="1" x14ac:dyDescent="0.2">
      <c r="A155" s="7" t="s">
        <v>481</v>
      </c>
      <c r="B155" s="7" t="s">
        <v>376</v>
      </c>
      <c r="C155" s="7" t="s">
        <v>153</v>
      </c>
      <c r="D155" s="7">
        <v>26</v>
      </c>
      <c r="E155" s="7">
        <v>75</v>
      </c>
      <c r="F155" s="7">
        <f>ROUND(4/E155,3)</f>
        <v>5.2999999999999999E-2</v>
      </c>
      <c r="G155" s="7">
        <f>ROUND(21/E155,3)</f>
        <v>0.28000000000000003</v>
      </c>
      <c r="H155" s="7">
        <f>ROUND(57/E155,3)</f>
        <v>0.76</v>
      </c>
      <c r="I155" s="7">
        <f>ROUND(39/E155,3)</f>
        <v>0.52</v>
      </c>
      <c r="J155" s="7">
        <f>ROUND(89/E155,3)</f>
        <v>1.1870000000000001</v>
      </c>
      <c r="K155" s="7">
        <f t="shared" si="5"/>
        <v>4.3109999999999999</v>
      </c>
      <c r="L155" s="7">
        <f>ROUND(1571.85/E155,3)</f>
        <v>20.957999999999998</v>
      </c>
      <c r="M155" s="7">
        <f>ROUND(41/E155,3)</f>
        <v>0.54700000000000004</v>
      </c>
      <c r="N155" s="7" t="s">
        <v>1006</v>
      </c>
      <c r="O155" s="7" t="s">
        <v>1007</v>
      </c>
      <c r="P155" s="7">
        <f>ROUND(154/E155,3)</f>
        <v>2.0529999999999999</v>
      </c>
      <c r="Q155" s="7">
        <f>ROUND(86/E155,3)</f>
        <v>1.147</v>
      </c>
      <c r="R155" s="7">
        <f>ROUND(44/E155,3)</f>
        <v>0.58699999999999997</v>
      </c>
      <c r="S155" s="7">
        <f>ROUND(14/E155,3)</f>
        <v>0.187</v>
      </c>
      <c r="T155" s="7">
        <f>ROUND(4.91/E155,3)</f>
        <v>6.5000000000000002E-2</v>
      </c>
      <c r="U155" s="7">
        <f>ROUND(33/E155,3)</f>
        <v>0.44</v>
      </c>
      <c r="V155" s="7">
        <f>ROUND(41/E155,3)</f>
        <v>0.54700000000000004</v>
      </c>
      <c r="W155" s="7">
        <f>ROUND(5.12/E155,3)</f>
        <v>6.8000000000000005E-2</v>
      </c>
      <c r="X155" s="7">
        <v>0.44</v>
      </c>
      <c r="Y155" s="7">
        <v>0.46</v>
      </c>
      <c r="Z155" s="7">
        <v>0.44</v>
      </c>
      <c r="AA155" s="7">
        <f>ROUND(25.43/E155,3)</f>
        <v>0.33900000000000002</v>
      </c>
      <c r="AB155" s="7">
        <f>ROUND(8/E155,3)</f>
        <v>0.107</v>
      </c>
      <c r="AC155" s="7">
        <v>8478507</v>
      </c>
    </row>
    <row r="156" spans="1:29" ht="15" customHeight="1" x14ac:dyDescent="0.2">
      <c r="A156" s="7" t="s">
        <v>484</v>
      </c>
      <c r="B156" s="7" t="s">
        <v>376</v>
      </c>
      <c r="C156" s="7" t="s">
        <v>184</v>
      </c>
      <c r="D156" s="7">
        <v>27</v>
      </c>
      <c r="E156" s="7">
        <v>77</v>
      </c>
      <c r="F156" s="7">
        <f>ROUND(6/E156,3)</f>
        <v>7.8E-2</v>
      </c>
      <c r="G156" s="7">
        <f>ROUND(17/E156,3)</f>
        <v>0.221</v>
      </c>
      <c r="H156" s="7">
        <f>ROUND(114/E156,3)</f>
        <v>1.4810000000000001</v>
      </c>
      <c r="I156" s="7">
        <f>ROUND(55/E156,3)</f>
        <v>0.71399999999999997</v>
      </c>
      <c r="J156" s="7">
        <f>ROUND(114/E156,3)</f>
        <v>1.4810000000000001</v>
      </c>
      <c r="K156" s="7">
        <f t="shared" si="5"/>
        <v>5.2690000000000001</v>
      </c>
      <c r="L156" s="7">
        <f>ROUND(1587.5/E156,3)</f>
        <v>20.617000000000001</v>
      </c>
      <c r="M156" s="7">
        <f>ROUND(28/E156,3)</f>
        <v>0.36399999999999999</v>
      </c>
      <c r="N156" s="7" t="s">
        <v>1008</v>
      </c>
      <c r="O156" s="7" t="s">
        <v>1009</v>
      </c>
      <c r="P156" s="7">
        <f>ROUND(219/E156,3)</f>
        <v>2.8439999999999999</v>
      </c>
      <c r="Q156" s="7">
        <f>ROUND(147/E156,3)</f>
        <v>1.909</v>
      </c>
      <c r="R156" s="7">
        <f>ROUND(66/E156,3)</f>
        <v>0.85699999999999998</v>
      </c>
      <c r="S156" s="7">
        <f>ROUND(17/E156,3)</f>
        <v>0.221</v>
      </c>
      <c r="T156" s="7">
        <f>ROUND(5.5/E156,3)</f>
        <v>7.0999999999999994E-2</v>
      </c>
      <c r="U156" s="7">
        <f>ROUND(42/E156,3)</f>
        <v>0.54500000000000004</v>
      </c>
      <c r="V156" s="7">
        <f>ROUND(23/E156,3)</f>
        <v>0.29899999999999999</v>
      </c>
      <c r="W156" s="7">
        <f>ROUND(5.42/E156,3)</f>
        <v>7.0000000000000007E-2</v>
      </c>
      <c r="X156" s="7">
        <v>0.48</v>
      </c>
      <c r="Y156" s="7">
        <v>0.48</v>
      </c>
      <c r="Z156" s="7">
        <v>0.5</v>
      </c>
      <c r="AA156" s="7">
        <f>ROUND(39.75/E156,3)</f>
        <v>0.51600000000000001</v>
      </c>
      <c r="AB156" s="7">
        <f>ROUND(7/E156,3)</f>
        <v>9.0999999999999998E-2</v>
      </c>
      <c r="AC156" s="7">
        <v>8478882</v>
      </c>
    </row>
    <row r="157" spans="1:29" ht="15" customHeight="1" x14ac:dyDescent="0.2">
      <c r="A157" s="7" t="s">
        <v>486</v>
      </c>
      <c r="B157" s="7" t="s">
        <v>376</v>
      </c>
      <c r="C157" s="7" t="s">
        <v>80</v>
      </c>
      <c r="D157" s="7">
        <v>38</v>
      </c>
      <c r="E157" s="7">
        <v>82</v>
      </c>
      <c r="F157" s="7">
        <f>ROUND(10/E157,3)</f>
        <v>0.122</v>
      </c>
      <c r="G157" s="7">
        <f>ROUND(33/E157,3)</f>
        <v>0.40200000000000002</v>
      </c>
      <c r="H157" s="7">
        <f>ROUND(185/E157,3)</f>
        <v>2.2559999999999998</v>
      </c>
      <c r="I157" s="7">
        <f>ROUND(41/E157,3)</f>
        <v>0.5</v>
      </c>
      <c r="J157" s="7">
        <f>ROUND(87/E157,3)</f>
        <v>1.0609999999999999</v>
      </c>
      <c r="K157" s="7">
        <f t="shared" si="5"/>
        <v>6.9550000000000001</v>
      </c>
      <c r="L157" s="7">
        <f>ROUND(1763.0666666667/E157,3)</f>
        <v>21.501000000000001</v>
      </c>
      <c r="M157" s="7">
        <f>ROUND(18/E157,3)</f>
        <v>0.22</v>
      </c>
      <c r="N157" s="7" t="s">
        <v>1010</v>
      </c>
      <c r="O157" s="7" t="s">
        <v>1011</v>
      </c>
      <c r="P157" s="7">
        <f>ROUND(536/E157,3)</f>
        <v>6.5369999999999999</v>
      </c>
      <c r="Q157" s="7">
        <f>ROUND(300/E157,3)</f>
        <v>3.6589999999999998</v>
      </c>
      <c r="R157" s="7">
        <f>ROUND(130/E157,3)</f>
        <v>1.585</v>
      </c>
      <c r="S157" s="7">
        <f>ROUND(12/E157,3)</f>
        <v>0.14599999999999999</v>
      </c>
      <c r="T157" s="7">
        <f>ROUND(8.59/E157,3)</f>
        <v>0.105</v>
      </c>
      <c r="U157" s="7">
        <f>ROUND(56/E157,3)</f>
        <v>0.68300000000000005</v>
      </c>
      <c r="V157" s="7">
        <f>ROUND(35/E157,3)</f>
        <v>0.42699999999999999</v>
      </c>
      <c r="W157" s="7">
        <f>ROUND(9.89/E157,3)</f>
        <v>0.121</v>
      </c>
      <c r="X157" s="7">
        <v>0.56999999999999995</v>
      </c>
      <c r="Y157" s="7">
        <v>0.61</v>
      </c>
      <c r="Z157" s="7">
        <v>0.59</v>
      </c>
      <c r="AA157" s="7">
        <f>ROUND(76.02/E157,3)</f>
        <v>0.92700000000000005</v>
      </c>
      <c r="AB157" s="7">
        <f>ROUND(7/E157,3)</f>
        <v>8.5000000000000006E-2</v>
      </c>
      <c r="AC157" s="7">
        <v>8470613</v>
      </c>
    </row>
    <row r="158" spans="1:29" ht="15" customHeight="1" x14ac:dyDescent="0.2">
      <c r="A158" s="7" t="s">
        <v>489</v>
      </c>
      <c r="B158" s="7" t="s">
        <v>376</v>
      </c>
      <c r="C158" s="7" t="s">
        <v>131</v>
      </c>
      <c r="D158" s="7">
        <v>29</v>
      </c>
      <c r="E158" s="7">
        <v>69</v>
      </c>
      <c r="F158" s="7">
        <f>ROUND(3/E158,3)</f>
        <v>4.2999999999999997E-2</v>
      </c>
      <c r="G158" s="7">
        <f>ROUND(19/E158,3)</f>
        <v>0.27500000000000002</v>
      </c>
      <c r="H158" s="7">
        <f>ROUND(129/E158,3)</f>
        <v>1.87</v>
      </c>
      <c r="I158" s="7">
        <f>ROUND(192/E158,3)</f>
        <v>2.7829999999999999</v>
      </c>
      <c r="J158" s="7">
        <f>ROUND(183/E158,3)</f>
        <v>2.6520000000000001</v>
      </c>
      <c r="K158" s="7">
        <f t="shared" si="5"/>
        <v>7.9074999999999998</v>
      </c>
      <c r="L158" s="7">
        <f>ROUND(1465.95/E158,3)</f>
        <v>21.245999999999999</v>
      </c>
      <c r="M158" s="7">
        <f>ROUND(73/E158,3)</f>
        <v>1.0580000000000001</v>
      </c>
      <c r="N158" s="7" t="s">
        <v>1012</v>
      </c>
      <c r="O158" s="7" t="s">
        <v>1013</v>
      </c>
      <c r="P158" s="7">
        <f>ROUND(271/E158,3)</f>
        <v>3.9279999999999999</v>
      </c>
      <c r="Q158" s="7">
        <f>ROUND(164/E158,3)</f>
        <v>2.3769999999999998</v>
      </c>
      <c r="R158" s="7">
        <f>ROUND(78/E158,3)</f>
        <v>1.1299999999999999</v>
      </c>
      <c r="S158" s="7">
        <f>ROUND(14/E158,3)</f>
        <v>0.20300000000000001</v>
      </c>
      <c r="T158" s="7">
        <f>ROUND(5.74/E158,3)</f>
        <v>8.3000000000000004E-2</v>
      </c>
      <c r="U158" s="7">
        <f>ROUND(33/E158,3)</f>
        <v>0.47799999999999998</v>
      </c>
      <c r="V158" s="7">
        <f>ROUND(13/E158,3)</f>
        <v>0.188</v>
      </c>
      <c r="W158" s="7">
        <f>ROUND(5.69/E158,3)</f>
        <v>8.2000000000000003E-2</v>
      </c>
      <c r="X158" s="7">
        <v>0.42</v>
      </c>
      <c r="Y158" s="7">
        <v>0.43</v>
      </c>
      <c r="Z158" s="7">
        <v>0.43</v>
      </c>
      <c r="AA158" s="7">
        <f>ROUND(24.22/E158,3)</f>
        <v>0.35099999999999998</v>
      </c>
      <c r="AB158" s="7">
        <f>ROUND(2/E158,3)</f>
        <v>2.9000000000000001E-2</v>
      </c>
      <c r="AC158" s="7">
        <v>8476885</v>
      </c>
    </row>
    <row r="159" spans="1:29" ht="15" customHeight="1" x14ac:dyDescent="0.2">
      <c r="A159" s="7" t="s">
        <v>492</v>
      </c>
      <c r="B159" s="7" t="s">
        <v>376</v>
      </c>
      <c r="C159" s="7" t="s">
        <v>153</v>
      </c>
      <c r="D159" s="7">
        <v>20</v>
      </c>
      <c r="E159" s="7">
        <v>82</v>
      </c>
      <c r="F159" s="7">
        <f>ROUND(9/E159,3)</f>
        <v>0.11</v>
      </c>
      <c r="G159" s="7">
        <f>ROUND(38/E159,3)</f>
        <v>0.46300000000000002</v>
      </c>
      <c r="H159" s="7">
        <f>ROUND(135/E159,3)</f>
        <v>1.6459999999999999</v>
      </c>
      <c r="I159" s="7">
        <f>ROUND(24/E159,3)</f>
        <v>0.29299999999999998</v>
      </c>
      <c r="J159" s="7">
        <f>ROUND(55/E159,3)</f>
        <v>0.67100000000000004</v>
      </c>
      <c r="K159" s="7">
        <f t="shared" si="5"/>
        <v>6.1215000000000002</v>
      </c>
      <c r="L159" s="7">
        <f>ROUND(1760.8333333333/E159,3)</f>
        <v>21.474</v>
      </c>
      <c r="M159" s="7">
        <f>ROUND(28/E159,3)</f>
        <v>0.34100000000000003</v>
      </c>
      <c r="N159" s="7" t="s">
        <v>956</v>
      </c>
      <c r="O159" s="7" t="s">
        <v>706</v>
      </c>
      <c r="P159" s="7">
        <f>ROUND(401/E159,3)</f>
        <v>4.8899999999999997</v>
      </c>
      <c r="Q159" s="7">
        <f>ROUND(199/E159,3)</f>
        <v>2.427</v>
      </c>
      <c r="R159" s="7">
        <f>ROUND(122/E159,3)</f>
        <v>1.488</v>
      </c>
      <c r="S159" s="7">
        <f>ROUND(11/E159,3)</f>
        <v>0.13400000000000001</v>
      </c>
      <c r="T159" s="7">
        <f>ROUND(6.99/E159,3)</f>
        <v>8.5000000000000006E-2</v>
      </c>
      <c r="U159" s="7">
        <f>ROUND(69/E159,3)</f>
        <v>0.84099999999999997</v>
      </c>
      <c r="V159" s="7">
        <f>ROUND(42/E159,3)</f>
        <v>0.51200000000000001</v>
      </c>
      <c r="W159" s="7">
        <f>ROUND(7.71/E159,3)</f>
        <v>9.4E-2</v>
      </c>
      <c r="X159" s="7">
        <v>0.56000000000000005</v>
      </c>
      <c r="Y159" s="7">
        <v>0.61</v>
      </c>
      <c r="Z159" s="7">
        <v>0.57999999999999996</v>
      </c>
      <c r="AA159" s="7">
        <f>ROUND(55.72/E159,3)</f>
        <v>0.68</v>
      </c>
      <c r="AB159" s="7">
        <f>ROUND(5/E159,3)</f>
        <v>6.0999999999999999E-2</v>
      </c>
      <c r="AC159" s="7">
        <v>8482684</v>
      </c>
    </row>
    <row r="160" spans="1:29" ht="15" customHeight="1" x14ac:dyDescent="0.2">
      <c r="A160" s="7" t="s">
        <v>493</v>
      </c>
      <c r="B160" s="7" t="s">
        <v>376</v>
      </c>
      <c r="C160" s="7" t="s">
        <v>114</v>
      </c>
      <c r="D160" s="7">
        <v>26</v>
      </c>
      <c r="E160" s="7">
        <v>31</v>
      </c>
      <c r="F160" s="7">
        <f>ROUND(1/E160,3)</f>
        <v>3.2000000000000001E-2</v>
      </c>
      <c r="G160" s="7">
        <f>ROUND(0/E160,3)</f>
        <v>0</v>
      </c>
      <c r="H160" s="7">
        <f>ROUND(17/E160,3)</f>
        <v>0.54800000000000004</v>
      </c>
      <c r="I160" s="7">
        <f>ROUND(24/E160,3)</f>
        <v>0.77400000000000002</v>
      </c>
      <c r="J160" s="7">
        <f>ROUND(24/E160,3)</f>
        <v>0.77400000000000002</v>
      </c>
      <c r="K160" s="7">
        <f t="shared" si="5"/>
        <v>1.9650000000000001</v>
      </c>
      <c r="L160" s="7">
        <f>ROUND(391.36666666667/E160,3)</f>
        <v>12.625</v>
      </c>
      <c r="M160" s="7">
        <f>ROUND(6/E160,3)</f>
        <v>0.19400000000000001</v>
      </c>
      <c r="N160" s="7" t="s">
        <v>322</v>
      </c>
      <c r="O160" s="7" t="s">
        <v>739</v>
      </c>
      <c r="P160" s="7">
        <f>ROUND(36/E160,3)</f>
        <v>1.161</v>
      </c>
      <c r="Q160" s="7">
        <f>ROUND(23/E160,3)</f>
        <v>0.74199999999999999</v>
      </c>
      <c r="R160" s="7">
        <f>ROUND(7/E160,3)</f>
        <v>0.22600000000000001</v>
      </c>
      <c r="S160" s="7">
        <f>ROUND(0/E160,3)</f>
        <v>0</v>
      </c>
      <c r="T160" s="7">
        <f>ROUND(0.44/E160,3)</f>
        <v>1.4E-2</v>
      </c>
      <c r="U160" s="7">
        <f>ROUND(8/E160,3)</f>
        <v>0.25800000000000001</v>
      </c>
      <c r="V160" s="7">
        <f>ROUND(8/E160,3)</f>
        <v>0.25800000000000001</v>
      </c>
      <c r="W160" s="7">
        <f>ROUND(0.45/E160,3)</f>
        <v>1.4999999999999999E-2</v>
      </c>
      <c r="X160" s="7">
        <v>0.43</v>
      </c>
      <c r="Y160" s="7">
        <v>0.46</v>
      </c>
      <c r="Z160" s="7">
        <v>0.45</v>
      </c>
      <c r="AA160" s="7">
        <f>ROUND(1.88/E160,3)</f>
        <v>6.0999999999999999E-2</v>
      </c>
      <c r="AB160" s="7">
        <f>ROUND(0/E160,3)</f>
        <v>0</v>
      </c>
      <c r="AC160" s="7">
        <v>8478854</v>
      </c>
    </row>
    <row r="161" spans="1:29" ht="15" customHeight="1" x14ac:dyDescent="0.2">
      <c r="A161" s="7" t="s">
        <v>494</v>
      </c>
      <c r="B161" s="7" t="s">
        <v>376</v>
      </c>
      <c r="C161" s="7" t="s">
        <v>80</v>
      </c>
      <c r="D161" s="7">
        <v>27</v>
      </c>
      <c r="E161" s="7">
        <v>31</v>
      </c>
      <c r="F161" s="7">
        <f>ROUND(3/E161,3)</f>
        <v>9.7000000000000003E-2</v>
      </c>
      <c r="G161" s="7">
        <f>ROUND(8/E161,3)</f>
        <v>0.25800000000000001</v>
      </c>
      <c r="H161" s="7">
        <f>ROUND(44/E161,3)</f>
        <v>1.419</v>
      </c>
      <c r="I161" s="7">
        <f>ROUND(4/E161,3)</f>
        <v>0.129</v>
      </c>
      <c r="J161" s="7">
        <f>ROUND(18/E161,3)</f>
        <v>0.58099999999999996</v>
      </c>
      <c r="K161" s="7">
        <f t="shared" si="5"/>
        <v>4.3884999999999996</v>
      </c>
      <c r="L161" s="7">
        <f>ROUND(444.51666666667/E161,3)</f>
        <v>14.339</v>
      </c>
      <c r="M161" s="7">
        <f>ROUND(24/E161,3)</f>
        <v>0.77400000000000002</v>
      </c>
      <c r="N161" s="7" t="s">
        <v>242</v>
      </c>
      <c r="O161" s="7" t="s">
        <v>686</v>
      </c>
      <c r="P161" s="7">
        <f>ROUND(94/E161,3)</f>
        <v>3.032</v>
      </c>
      <c r="Q161" s="7">
        <f>ROUND(59/E161,3)</f>
        <v>1.903</v>
      </c>
      <c r="R161" s="7">
        <f>ROUND(24/E161,3)</f>
        <v>0.77400000000000002</v>
      </c>
      <c r="S161" s="7">
        <f>ROUND(4/E161,3)</f>
        <v>0.129</v>
      </c>
      <c r="T161" s="7">
        <f>ROUND(2.37/E161,3)</f>
        <v>7.5999999999999998E-2</v>
      </c>
      <c r="U161" s="7">
        <f>ROUND(14/E161,3)</f>
        <v>0.45200000000000001</v>
      </c>
      <c r="V161" s="7">
        <f>ROUND(8/E161,3)</f>
        <v>0.25800000000000001</v>
      </c>
      <c r="W161" s="7">
        <f>ROUND(1.52/E161,3)</f>
        <v>4.9000000000000002E-2</v>
      </c>
      <c r="X161" s="7">
        <v>0.63</v>
      </c>
      <c r="Y161" s="7">
        <v>0.62</v>
      </c>
      <c r="Z161" s="7">
        <v>0.6</v>
      </c>
      <c r="AA161" s="7">
        <f>ROUND(14.3/E161,3)</f>
        <v>0.46100000000000002</v>
      </c>
      <c r="AB161" s="7">
        <f>ROUND(0/E161,3)</f>
        <v>0</v>
      </c>
      <c r="AC161" s="7">
        <v>8477950</v>
      </c>
    </row>
    <row r="162" spans="1:29" ht="15" customHeight="1" x14ac:dyDescent="0.2">
      <c r="A162" s="7" t="s">
        <v>497</v>
      </c>
      <c r="B162" s="7" t="s">
        <v>376</v>
      </c>
      <c r="C162" s="7" t="s">
        <v>56</v>
      </c>
      <c r="D162" s="7">
        <v>22</v>
      </c>
      <c r="E162" s="7">
        <v>12</v>
      </c>
      <c r="F162" s="7">
        <f>ROUND(0/E162,3)</f>
        <v>0</v>
      </c>
      <c r="G162" s="7">
        <f>ROUND(2/E162,3)</f>
        <v>0.16700000000000001</v>
      </c>
      <c r="H162" s="7">
        <f>ROUND(6/E162,3)</f>
        <v>0.5</v>
      </c>
      <c r="I162" s="7">
        <f>ROUND(4/E162,3)</f>
        <v>0.33300000000000002</v>
      </c>
      <c r="J162" s="7">
        <f>ROUND(10/E162,3)</f>
        <v>0.83299999999999996</v>
      </c>
      <c r="K162" s="7">
        <f t="shared" si="5"/>
        <v>2.5015000000000001</v>
      </c>
      <c r="L162" s="7">
        <f>ROUND(139.41666666667/E162,3)</f>
        <v>11.618</v>
      </c>
      <c r="M162" s="7">
        <f>ROUND(0/E162,3)</f>
        <v>0</v>
      </c>
      <c r="N162" s="7" t="s">
        <v>87</v>
      </c>
      <c r="O162" s="7" t="s">
        <v>207</v>
      </c>
      <c r="P162" s="7">
        <f>ROUND(13/E162,3)</f>
        <v>1.083</v>
      </c>
      <c r="Q162" s="7">
        <f>ROUND(8/E162,3)</f>
        <v>0.66700000000000004</v>
      </c>
      <c r="R162" s="7">
        <f>ROUND(4/E162,3)</f>
        <v>0.33300000000000002</v>
      </c>
      <c r="S162" s="7">
        <f>ROUND(1/E162,3)</f>
        <v>8.3000000000000004E-2</v>
      </c>
      <c r="T162" s="7">
        <f>ROUND(0.19/E162,3)</f>
        <v>1.6E-2</v>
      </c>
      <c r="U162" s="7">
        <f>ROUND(2/E162,3)</f>
        <v>0.16700000000000001</v>
      </c>
      <c r="V162" s="7">
        <f>ROUND(2/E162,3)</f>
        <v>0.16700000000000001</v>
      </c>
      <c r="W162" s="7">
        <f>ROUND(0.16/E162,3)</f>
        <v>1.2999999999999999E-2</v>
      </c>
      <c r="X162" s="7">
        <v>0.53</v>
      </c>
      <c r="Y162" s="7">
        <v>0.47</v>
      </c>
      <c r="Z162" s="7">
        <v>0.47</v>
      </c>
      <c r="AA162" s="7">
        <f>ROUND(1.95/E162,3)</f>
        <v>0.16300000000000001</v>
      </c>
      <c r="AB162" s="7">
        <f>ROUND(0/E162,3)</f>
        <v>0</v>
      </c>
      <c r="AC162" s="7">
        <v>8481598</v>
      </c>
    </row>
    <row r="163" spans="1:29" ht="15" customHeight="1" x14ac:dyDescent="0.2">
      <c r="A163" s="7" t="s">
        <v>499</v>
      </c>
      <c r="B163" s="7" t="s">
        <v>376</v>
      </c>
      <c r="C163" s="7" t="s">
        <v>114</v>
      </c>
      <c r="D163" s="7">
        <v>36</v>
      </c>
      <c r="E163" s="7">
        <v>82</v>
      </c>
      <c r="F163" s="7">
        <f>ROUND(10/E163,3)</f>
        <v>0.122</v>
      </c>
      <c r="G163" s="7">
        <f>ROUND(41/E163,3)</f>
        <v>0.5</v>
      </c>
      <c r="H163" s="7">
        <f>ROUND(164/E163,3)</f>
        <v>2</v>
      </c>
      <c r="I163" s="7">
        <f>ROUND(137/E163,3)</f>
        <v>1.671</v>
      </c>
      <c r="J163" s="7">
        <f>ROUND(136/E163,3)</f>
        <v>1.659</v>
      </c>
      <c r="K163" s="7">
        <f t="shared" si="5"/>
        <v>8.4704999999999995</v>
      </c>
      <c r="L163" s="7">
        <f>ROUND(2024.45/E163,3)</f>
        <v>24.687999999999999</v>
      </c>
      <c r="M163" s="7">
        <f>ROUND(62/E163,3)</f>
        <v>0.75600000000000001</v>
      </c>
      <c r="N163" s="7" t="s">
        <v>1014</v>
      </c>
      <c r="O163" s="7" t="s">
        <v>1015</v>
      </c>
      <c r="P163" s="7">
        <f>ROUND(416/E163,3)</f>
        <v>5.0730000000000004</v>
      </c>
      <c r="Q163" s="7">
        <f>ROUND(239/E163,3)</f>
        <v>2.915</v>
      </c>
      <c r="R163" s="7">
        <f>ROUND(102/E163,3)</f>
        <v>1.244</v>
      </c>
      <c r="S163" s="7">
        <f>ROUND(15/E163,3)</f>
        <v>0.183</v>
      </c>
      <c r="T163" s="7">
        <f>ROUND(7.94/E163,3)</f>
        <v>9.7000000000000003E-2</v>
      </c>
      <c r="U163" s="7">
        <f>ROUND(64/E163,3)</f>
        <v>0.78</v>
      </c>
      <c r="V163" s="7">
        <f>ROUND(47/E163,3)</f>
        <v>0.57299999999999995</v>
      </c>
      <c r="W163" s="7">
        <f>ROUND(7.82/E163,3)</f>
        <v>9.5000000000000001E-2</v>
      </c>
      <c r="X163" s="7">
        <v>0.49</v>
      </c>
      <c r="Y163" s="7">
        <v>0.5</v>
      </c>
      <c r="Z163" s="7">
        <v>0.49</v>
      </c>
      <c r="AA163" s="7">
        <f>ROUND(53.6/E163,3)</f>
        <v>0.65400000000000003</v>
      </c>
      <c r="AB163" s="7">
        <f>ROUND(4/E163,3)</f>
        <v>4.9000000000000002E-2</v>
      </c>
      <c r="AC163" s="7">
        <v>8471724</v>
      </c>
    </row>
    <row r="164" spans="1:29" ht="15" customHeight="1" x14ac:dyDescent="0.2">
      <c r="A164" s="7" t="s">
        <v>502</v>
      </c>
      <c r="B164" s="7" t="s">
        <v>376</v>
      </c>
      <c r="D164" s="7">
        <v>21</v>
      </c>
      <c r="K164" s="7"/>
      <c r="AC164" s="7">
        <v>8482100</v>
      </c>
    </row>
    <row r="165" spans="1:29" ht="15" customHeight="1" x14ac:dyDescent="0.2">
      <c r="A165" s="7" t="s">
        <v>503</v>
      </c>
      <c r="B165" s="7" t="s">
        <v>376</v>
      </c>
      <c r="C165" s="7" t="s">
        <v>274</v>
      </c>
      <c r="D165" s="7">
        <v>29</v>
      </c>
      <c r="E165" s="7">
        <v>66</v>
      </c>
      <c r="F165" s="7">
        <f>ROUND(8/E165,3)</f>
        <v>0.121</v>
      </c>
      <c r="G165" s="7">
        <f>ROUND(25/E165,3)</f>
        <v>0.379</v>
      </c>
      <c r="H165" s="7">
        <f>ROUND(168/E165,3)</f>
        <v>2.5449999999999999</v>
      </c>
      <c r="I165" s="7">
        <f>ROUND(104/E165,3)</f>
        <v>1.5760000000000001</v>
      </c>
      <c r="J165" s="7">
        <f>ROUND(67/E165,3)</f>
        <v>1.0149999999999999</v>
      </c>
      <c r="K165" s="7">
        <f>8*F165+6*G165+1*H165+1*J165+0.5*I165</f>
        <v>7.59</v>
      </c>
      <c r="L165" s="7">
        <f>ROUND(1547.5166666667/E165,3)</f>
        <v>23.446999999999999</v>
      </c>
      <c r="M165" s="7">
        <f>ROUND(46/E165,3)</f>
        <v>0.69699999999999995</v>
      </c>
      <c r="N165" s="7" t="s">
        <v>1016</v>
      </c>
      <c r="O165" s="7" t="s">
        <v>994</v>
      </c>
      <c r="P165" s="7">
        <f>ROUND(413/E165,3)</f>
        <v>6.258</v>
      </c>
      <c r="Q165" s="7">
        <f>ROUND(247/E165,3)</f>
        <v>3.742</v>
      </c>
      <c r="R165" s="7">
        <f>ROUND(124/E165,3)</f>
        <v>1.879</v>
      </c>
      <c r="S165" s="7">
        <f>ROUND(28/E165,3)</f>
        <v>0.42399999999999999</v>
      </c>
      <c r="T165" s="7">
        <f>ROUND(10.51/E165,3)</f>
        <v>0.159</v>
      </c>
      <c r="U165" s="7">
        <f>ROUND(40/E165,3)</f>
        <v>0.60599999999999998</v>
      </c>
      <c r="V165" s="7">
        <f>ROUND(18/E165,3)</f>
        <v>0.27300000000000002</v>
      </c>
      <c r="W165" s="7">
        <f>ROUND(9.97/E165,3)</f>
        <v>0.151</v>
      </c>
      <c r="X165" s="7">
        <v>0.66</v>
      </c>
      <c r="Y165" s="7">
        <v>0.62</v>
      </c>
      <c r="Z165" s="7">
        <v>0.6</v>
      </c>
      <c r="AA165" s="7">
        <f>ROUND(48.75/E165,3)</f>
        <v>0.73899999999999999</v>
      </c>
      <c r="AB165" s="7">
        <f>ROUND(7/E165,3)</f>
        <v>0.106</v>
      </c>
      <c r="AC165" s="7">
        <v>8477986</v>
      </c>
    </row>
    <row r="166" spans="1:29" ht="15" customHeight="1" x14ac:dyDescent="0.2">
      <c r="A166" s="7" t="s">
        <v>506</v>
      </c>
      <c r="B166" s="7" t="s">
        <v>376</v>
      </c>
      <c r="C166" s="7" t="s">
        <v>1017</v>
      </c>
      <c r="D166" s="7">
        <v>21</v>
      </c>
      <c r="E166" s="7">
        <v>34</v>
      </c>
      <c r="F166" s="7">
        <f>ROUND(3/E166,3)</f>
        <v>8.7999999999999995E-2</v>
      </c>
      <c r="G166" s="7">
        <f>ROUND(7/E166,3)</f>
        <v>0.20599999999999999</v>
      </c>
      <c r="H166" s="7">
        <f>ROUND(55/E166,3)</f>
        <v>1.6180000000000001</v>
      </c>
      <c r="I166" s="7">
        <f>ROUND(26/E166,3)</f>
        <v>0.76500000000000001</v>
      </c>
      <c r="J166" s="7">
        <f>ROUND(43/E166,3)</f>
        <v>1.2649999999999999</v>
      </c>
      <c r="K166" s="7">
        <f>8*F166+6*G166+1*H166+1*J166+0.5*I166</f>
        <v>5.2054999999999998</v>
      </c>
      <c r="L166" s="7">
        <f>ROUND(667.2/E166,3)</f>
        <v>19.623999999999999</v>
      </c>
      <c r="M166" s="7">
        <f>ROUND(8/E166,3)</f>
        <v>0.23499999999999999</v>
      </c>
      <c r="N166" s="7" t="s">
        <v>112</v>
      </c>
      <c r="O166" s="7" t="s">
        <v>946</v>
      </c>
      <c r="P166" s="7">
        <f>ROUND(133/E166,3)</f>
        <v>3.9119999999999999</v>
      </c>
      <c r="Q166" s="7">
        <f>ROUND(83/E166,3)</f>
        <v>2.4409999999999998</v>
      </c>
      <c r="R166" s="7">
        <f>ROUND(26/E166,3)</f>
        <v>0.76500000000000001</v>
      </c>
      <c r="S166" s="7">
        <f>ROUND(1/E166,3)</f>
        <v>2.9000000000000001E-2</v>
      </c>
      <c r="T166" s="7">
        <f>ROUND(2.26/E166,3)</f>
        <v>6.6000000000000003E-2</v>
      </c>
      <c r="U166" s="7">
        <f>ROUND(11/E166,3)</f>
        <v>0.32400000000000001</v>
      </c>
      <c r="V166" s="7">
        <f>ROUND(6/E166,3)</f>
        <v>0.17599999999999999</v>
      </c>
      <c r="W166" s="7">
        <f>ROUND(2.82/E166,3)</f>
        <v>8.3000000000000004E-2</v>
      </c>
      <c r="X166" s="7">
        <v>0.51</v>
      </c>
      <c r="Y166" s="7">
        <v>0.54</v>
      </c>
      <c r="Z166" s="7">
        <v>0.55000000000000004</v>
      </c>
      <c r="AA166" s="7">
        <f>ROUND(8.38/E166,3)</f>
        <v>0.246</v>
      </c>
      <c r="AB166" s="7">
        <f>ROUND(3/E166,3)</f>
        <v>8.7999999999999995E-2</v>
      </c>
      <c r="AC166" s="7">
        <v>8482142</v>
      </c>
    </row>
    <row r="167" spans="1:29" ht="15" customHeight="1" x14ac:dyDescent="0.2">
      <c r="A167" s="7" t="s">
        <v>508</v>
      </c>
      <c r="B167" s="7" t="s">
        <v>376</v>
      </c>
      <c r="C167" s="7" t="s">
        <v>380</v>
      </c>
      <c r="D167" s="7">
        <v>29</v>
      </c>
      <c r="E167" s="7">
        <v>67</v>
      </c>
      <c r="F167" s="7">
        <f>ROUND(9/E167,3)</f>
        <v>0.13400000000000001</v>
      </c>
      <c r="G167" s="7">
        <f>ROUND(19/E167,3)</f>
        <v>0.28399999999999997</v>
      </c>
      <c r="H167" s="7">
        <f>ROUND(88/E167,3)</f>
        <v>1.3129999999999999</v>
      </c>
      <c r="I167" s="7">
        <f>ROUND(45/E167,3)</f>
        <v>0.67200000000000004</v>
      </c>
      <c r="J167" s="7">
        <f>ROUND(83/E167,3)</f>
        <v>1.2390000000000001</v>
      </c>
      <c r="K167" s="7">
        <f>8*F167+6*G167+1*H167+1*J167+0.5*I167</f>
        <v>5.6639999999999997</v>
      </c>
      <c r="L167" s="7">
        <f>ROUND(1416.8833333333/E167,3)</f>
        <v>21.148</v>
      </c>
      <c r="M167" s="7">
        <f>ROUND(51/E167,3)</f>
        <v>0.76100000000000001</v>
      </c>
      <c r="N167" s="7" t="s">
        <v>1018</v>
      </c>
      <c r="O167" s="7" t="s">
        <v>1019</v>
      </c>
      <c r="P167" s="7">
        <f>ROUND(216/E167,3)</f>
        <v>3.2240000000000002</v>
      </c>
      <c r="Q167" s="7">
        <f>ROUND(131/E167,3)</f>
        <v>1.9550000000000001</v>
      </c>
      <c r="R167" s="7">
        <f>ROUND(77/E167,3)</f>
        <v>1.149</v>
      </c>
      <c r="S167" s="7">
        <f>ROUND(15/E167,3)</f>
        <v>0.224</v>
      </c>
      <c r="T167" s="7">
        <f>ROUND(5.61/E167,3)</f>
        <v>8.4000000000000005E-2</v>
      </c>
      <c r="U167" s="7">
        <f>ROUND(33/E167,3)</f>
        <v>0.49299999999999999</v>
      </c>
      <c r="V167" s="7">
        <f>ROUND(36/E167,3)</f>
        <v>0.53700000000000003</v>
      </c>
      <c r="W167" s="7">
        <f>ROUND(4.94/E167,3)</f>
        <v>7.3999999999999996E-2</v>
      </c>
      <c r="X167" s="7">
        <v>0.48</v>
      </c>
      <c r="Y167" s="7">
        <v>0.51</v>
      </c>
      <c r="Z167" s="7">
        <v>0.49</v>
      </c>
      <c r="AA167" s="7">
        <f>ROUND(26.25/E167,3)</f>
        <v>0.39200000000000002</v>
      </c>
      <c r="AB167" s="7">
        <f>ROUND(2/E167,3)</f>
        <v>0.03</v>
      </c>
      <c r="AC167" s="7">
        <v>8476923</v>
      </c>
    </row>
    <row r="168" spans="1:29" ht="15" customHeight="1" x14ac:dyDescent="0.2">
      <c r="A168" s="7" t="s">
        <v>510</v>
      </c>
      <c r="B168" s="7" t="s">
        <v>376</v>
      </c>
      <c r="C168" s="7" t="s">
        <v>127</v>
      </c>
      <c r="D168" s="7">
        <v>28</v>
      </c>
      <c r="E168" s="7">
        <v>67</v>
      </c>
      <c r="F168" s="7">
        <f>ROUND(8/E168,3)</f>
        <v>0.11899999999999999</v>
      </c>
      <c r="G168" s="7">
        <f>ROUND(23/E168,3)</f>
        <v>0.34300000000000003</v>
      </c>
      <c r="H168" s="7">
        <f>ROUND(172/E168,3)</f>
        <v>2.5670000000000002</v>
      </c>
      <c r="I168" s="7">
        <f>ROUND(78/E168,3)</f>
        <v>1.1639999999999999</v>
      </c>
      <c r="J168" s="7">
        <f>ROUND(131/E168,3)</f>
        <v>1.9550000000000001</v>
      </c>
      <c r="K168" s="7">
        <f>8*F168+6*G168+1*H168+1*J168+0.5*I168</f>
        <v>8.1140000000000008</v>
      </c>
      <c r="L168" s="7">
        <f>ROUND(1707.45/E168,3)</f>
        <v>25.484000000000002</v>
      </c>
      <c r="M168" s="7">
        <f>ROUND(34/E168,3)</f>
        <v>0.50700000000000001</v>
      </c>
      <c r="N168" s="7" t="s">
        <v>518</v>
      </c>
      <c r="O168" s="7" t="s">
        <v>1002</v>
      </c>
      <c r="P168" s="7">
        <f>ROUND(377/E168,3)</f>
        <v>5.6269999999999998</v>
      </c>
      <c r="Q168" s="7">
        <f>ROUND(238/E168,3)</f>
        <v>3.552</v>
      </c>
      <c r="R168" s="7">
        <f>ROUND(110/E168,3)</f>
        <v>1.6419999999999999</v>
      </c>
      <c r="S168" s="7">
        <f>ROUND(12/E168,3)</f>
        <v>0.17899999999999999</v>
      </c>
      <c r="T168" s="7">
        <f>ROUND(9.25/E168,3)</f>
        <v>0.13800000000000001</v>
      </c>
      <c r="U168" s="7">
        <f>ROUND(60/E168,3)</f>
        <v>0.89600000000000002</v>
      </c>
      <c r="V168" s="7">
        <f>ROUND(40/E168,3)</f>
        <v>0.59699999999999998</v>
      </c>
      <c r="W168" s="7">
        <f>ROUND(9.2/E168,3)</f>
        <v>0.13700000000000001</v>
      </c>
      <c r="X168" s="7">
        <v>0.47</v>
      </c>
      <c r="Y168" s="7">
        <v>0.5</v>
      </c>
      <c r="Z168" s="7">
        <v>0.5</v>
      </c>
      <c r="AA168" s="7">
        <f>ROUND(29.9/E168,3)</f>
        <v>0.44600000000000001</v>
      </c>
      <c r="AB168" s="7">
        <f>ROUND(6/E168,3)</f>
        <v>0.09</v>
      </c>
      <c r="AC168" s="7">
        <v>8477495</v>
      </c>
    </row>
    <row r="169" spans="1:29" ht="15" customHeight="1" x14ac:dyDescent="0.2">
      <c r="A169" s="7" t="s">
        <v>512</v>
      </c>
      <c r="B169" s="7" t="s">
        <v>376</v>
      </c>
      <c r="C169" s="7" t="s">
        <v>93</v>
      </c>
      <c r="D169" s="7">
        <v>29</v>
      </c>
      <c r="E169" s="7">
        <v>82</v>
      </c>
      <c r="F169" s="7">
        <f>ROUND(5/E169,3)</f>
        <v>6.0999999999999999E-2</v>
      </c>
      <c r="G169" s="7">
        <f>ROUND(21/E169,3)</f>
        <v>0.25600000000000001</v>
      </c>
      <c r="H169" s="7">
        <f>ROUND(114/E169,3)</f>
        <v>1.39</v>
      </c>
      <c r="I169" s="7">
        <f>ROUND(76/E169,3)</f>
        <v>0.92700000000000005</v>
      </c>
      <c r="J169" s="7">
        <f>ROUND(162/E169,3)</f>
        <v>1.976</v>
      </c>
      <c r="K169" s="7">
        <f>8*F169+6*G169+1*H169+1*J169+0.5*I169</f>
        <v>5.8534999999999995</v>
      </c>
      <c r="L169" s="7">
        <f>ROUND(1678.6833333333/E169,3)</f>
        <v>20.472000000000001</v>
      </c>
      <c r="M169" s="7">
        <f>ROUND(12/E169,3)</f>
        <v>0.14599999999999999</v>
      </c>
      <c r="N169" s="7" t="s">
        <v>87</v>
      </c>
      <c r="O169" s="7" t="s">
        <v>1020</v>
      </c>
      <c r="P169" s="7">
        <f>ROUND(251/E169,3)</f>
        <v>3.0609999999999999</v>
      </c>
      <c r="Q169" s="7">
        <f>ROUND(166/E169,3)</f>
        <v>2.024</v>
      </c>
      <c r="R169" s="7">
        <f>ROUND(88/E169,3)</f>
        <v>1.073</v>
      </c>
      <c r="S169" s="7">
        <f>ROUND(14/E169,3)</f>
        <v>0.17100000000000001</v>
      </c>
      <c r="T169" s="7">
        <f>ROUND(5.45/E169,3)</f>
        <v>6.6000000000000003E-2</v>
      </c>
      <c r="U169" s="7">
        <f>ROUND(34/E169,3)</f>
        <v>0.41499999999999998</v>
      </c>
      <c r="V169" s="7">
        <f>ROUND(31/E169,3)</f>
        <v>0.378</v>
      </c>
      <c r="W169" s="7">
        <f>ROUND(5.82/E169,3)</f>
        <v>7.0999999999999994E-2</v>
      </c>
      <c r="X169" s="7">
        <v>0.47</v>
      </c>
      <c r="Y169" s="7">
        <v>0.43</v>
      </c>
      <c r="Z169" s="7">
        <v>0.45</v>
      </c>
      <c r="AA169" s="7">
        <f>ROUND(34.15/E169,3)</f>
        <v>0.41599999999999998</v>
      </c>
      <c r="AB169" s="7">
        <f>ROUND(6/E169,3)</f>
        <v>7.2999999999999995E-2</v>
      </c>
      <c r="AC169" s="7">
        <v>8476902</v>
      </c>
    </row>
    <row r="170" spans="1:29" ht="15" customHeight="1" x14ac:dyDescent="0.2">
      <c r="A170" s="7" t="s">
        <v>515</v>
      </c>
      <c r="B170" s="7" t="s">
        <v>376</v>
      </c>
      <c r="D170" s="7">
        <v>19</v>
      </c>
      <c r="K170" s="7"/>
      <c r="AC170" s="7">
        <v>8483485</v>
      </c>
    </row>
    <row r="171" spans="1:29" ht="15" customHeight="1" x14ac:dyDescent="0.2">
      <c r="A171" s="7" t="s">
        <v>516</v>
      </c>
      <c r="B171" s="7" t="s">
        <v>376</v>
      </c>
      <c r="C171" s="7" t="s">
        <v>1021</v>
      </c>
      <c r="D171" s="7">
        <v>28</v>
      </c>
      <c r="E171" s="7">
        <v>81</v>
      </c>
      <c r="F171" s="7">
        <f>ROUND(10/E171,3)</f>
        <v>0.123</v>
      </c>
      <c r="G171" s="7">
        <f>ROUND(19/E171,3)</f>
        <v>0.23499999999999999</v>
      </c>
      <c r="H171" s="7">
        <f>ROUND(150/E171,3)</f>
        <v>1.8520000000000001</v>
      </c>
      <c r="I171" s="7">
        <f>ROUND(118/E171,3)</f>
        <v>1.4570000000000001</v>
      </c>
      <c r="J171" s="7">
        <f>ROUND(127/E171,3)</f>
        <v>1.5680000000000001</v>
      </c>
      <c r="K171" s="7">
        <f>8*F171+6*G171+1*H171+1*J171+0.5*I171</f>
        <v>6.5425000000000004</v>
      </c>
      <c r="L171" s="7">
        <f>ROUND(1557.7666666667/E171,3)</f>
        <v>19.231999999999999</v>
      </c>
      <c r="M171" s="7">
        <f>ROUND(50/E171,3)</f>
        <v>0.61699999999999999</v>
      </c>
      <c r="N171" s="7" t="s">
        <v>1022</v>
      </c>
      <c r="O171" s="7" t="s">
        <v>706</v>
      </c>
      <c r="P171" s="7">
        <f>ROUND(311/E171,3)</f>
        <v>3.84</v>
      </c>
      <c r="Q171" s="7">
        <f>ROUND(206/E171,3)</f>
        <v>2.5430000000000001</v>
      </c>
      <c r="R171" s="7">
        <f>ROUND(89/E171,3)</f>
        <v>1.099</v>
      </c>
      <c r="S171" s="7">
        <f>ROUND(19/E171,3)</f>
        <v>0.23499999999999999</v>
      </c>
      <c r="T171" s="7">
        <f>ROUND(8.31/E171,3)</f>
        <v>0.10299999999999999</v>
      </c>
      <c r="U171" s="7">
        <f>ROUND(25/E171,3)</f>
        <v>0.309</v>
      </c>
      <c r="V171" s="7">
        <f>ROUND(41/E171,3)</f>
        <v>0.50600000000000001</v>
      </c>
      <c r="W171" s="7">
        <f>ROUND(7.76/E171,3)</f>
        <v>9.6000000000000002E-2</v>
      </c>
      <c r="X171" s="7">
        <v>0.49</v>
      </c>
      <c r="Y171" s="7">
        <v>0.51</v>
      </c>
      <c r="Z171" s="7">
        <v>0.53</v>
      </c>
      <c r="AA171" s="7">
        <f>ROUND(47.1/E171,3)</f>
        <v>0.58099999999999996</v>
      </c>
      <c r="AB171" s="7">
        <f>ROUND(5/E171,3)</f>
        <v>6.2E-2</v>
      </c>
      <c r="AC171" s="7">
        <v>8480336</v>
      </c>
    </row>
    <row r="172" spans="1:29" ht="15" customHeight="1" x14ac:dyDescent="0.2">
      <c r="A172" s="7" t="s">
        <v>517</v>
      </c>
      <c r="B172" s="7" t="s">
        <v>376</v>
      </c>
      <c r="C172" s="7" t="s">
        <v>380</v>
      </c>
      <c r="D172" s="7">
        <v>26</v>
      </c>
      <c r="E172" s="7">
        <v>82</v>
      </c>
      <c r="F172" s="7">
        <f>ROUND(5/E172,3)</f>
        <v>6.0999999999999999E-2</v>
      </c>
      <c r="G172" s="7">
        <f>ROUND(27/E172,3)</f>
        <v>0.32900000000000001</v>
      </c>
      <c r="H172" s="7">
        <f>ROUND(107/E172,3)</f>
        <v>1.3049999999999999</v>
      </c>
      <c r="I172" s="7">
        <f>ROUND(66/E172,3)</f>
        <v>0.80500000000000005</v>
      </c>
      <c r="J172" s="7">
        <f>ROUND(155/E172,3)</f>
        <v>1.89</v>
      </c>
      <c r="K172" s="7">
        <f>8*F172+6*G172+1*H172+1*J172+0.5*I172</f>
        <v>6.0594999999999999</v>
      </c>
      <c r="L172" s="7">
        <f>ROUND(1817.3166666667/E172,3)</f>
        <v>22.161999999999999</v>
      </c>
      <c r="M172" s="7">
        <f>ROUND(20/E172,3)</f>
        <v>0.24399999999999999</v>
      </c>
      <c r="N172" s="7" t="s">
        <v>563</v>
      </c>
      <c r="O172" s="7" t="s">
        <v>501</v>
      </c>
      <c r="P172" s="7">
        <f>ROUND(239/E172,3)</f>
        <v>2.915</v>
      </c>
      <c r="Q172" s="7">
        <f>ROUND(154/E172,3)</f>
        <v>1.8779999999999999</v>
      </c>
      <c r="R172" s="7">
        <f>ROUND(71/E172,3)</f>
        <v>0.86599999999999999</v>
      </c>
      <c r="S172" s="7">
        <f>ROUND(7/E172,3)</f>
        <v>8.5000000000000006E-2</v>
      </c>
      <c r="T172" s="7">
        <f>ROUND(4.51/E172,3)</f>
        <v>5.5E-2</v>
      </c>
      <c r="U172" s="7">
        <f>ROUND(40/E172,3)</f>
        <v>0.48799999999999999</v>
      </c>
      <c r="V172" s="7">
        <f>ROUND(22/E172,3)</f>
        <v>0.26800000000000002</v>
      </c>
      <c r="W172" s="7">
        <f>ROUND(5.18/E172,3)</f>
        <v>6.3E-2</v>
      </c>
      <c r="X172" s="7">
        <v>0.41</v>
      </c>
      <c r="Y172" s="7">
        <v>0.45</v>
      </c>
      <c r="Z172" s="7">
        <v>0.45</v>
      </c>
      <c r="AA172" s="7">
        <f>ROUND(31.63/E172,3)</f>
        <v>0.38600000000000001</v>
      </c>
      <c r="AB172" s="7">
        <f>ROUND(3/E172,3)</f>
        <v>3.6999999999999998E-2</v>
      </c>
      <c r="AC172" s="7">
        <v>8478500</v>
      </c>
    </row>
    <row r="173" spans="1:29" ht="15" customHeight="1" x14ac:dyDescent="0.2">
      <c r="A173" s="7" t="s">
        <v>520</v>
      </c>
      <c r="B173" s="7" t="s">
        <v>376</v>
      </c>
      <c r="C173" s="7" t="s">
        <v>184</v>
      </c>
      <c r="D173" s="7">
        <v>22</v>
      </c>
      <c r="E173" s="7">
        <v>71</v>
      </c>
      <c r="F173" s="7">
        <f>ROUND(2/E173,3)</f>
        <v>2.8000000000000001E-2</v>
      </c>
      <c r="G173" s="7">
        <f>ROUND(22/E173,3)</f>
        <v>0.31</v>
      </c>
      <c r="H173" s="7">
        <f>ROUND(80/E173,3)</f>
        <v>1.127</v>
      </c>
      <c r="I173" s="7">
        <f>ROUND(67/E173,3)</f>
        <v>0.94399999999999995</v>
      </c>
      <c r="J173" s="7">
        <f>ROUND(55/E173,3)</f>
        <v>0.77500000000000002</v>
      </c>
      <c r="K173" s="7">
        <f>8*F173+6*G173+1*H173+1*J173+0.5*I173</f>
        <v>4.4580000000000002</v>
      </c>
      <c r="L173" s="7">
        <f>ROUND(1024.25/E173,3)</f>
        <v>14.426</v>
      </c>
      <c r="M173" s="7">
        <f>ROUND(12/E173,3)</f>
        <v>0.16900000000000001</v>
      </c>
      <c r="N173" s="7" t="s">
        <v>976</v>
      </c>
      <c r="O173" s="7" t="s">
        <v>1023</v>
      </c>
      <c r="P173" s="7">
        <f>ROUND(198/E173,3)</f>
        <v>2.7890000000000001</v>
      </c>
      <c r="Q173" s="7">
        <f>ROUND(112/E173,3)</f>
        <v>1.577</v>
      </c>
      <c r="R173" s="7">
        <f>ROUND(69/E173,3)</f>
        <v>0.97199999999999998</v>
      </c>
      <c r="S173" s="7">
        <f>ROUND(15/E173,3)</f>
        <v>0.21099999999999999</v>
      </c>
      <c r="T173" s="7">
        <f>ROUND(3.79/E173,3)</f>
        <v>5.2999999999999999E-2</v>
      </c>
      <c r="U173" s="7">
        <f>ROUND(18/E173,3)</f>
        <v>0.254</v>
      </c>
      <c r="V173" s="7">
        <f>ROUND(6/E173,3)</f>
        <v>8.5000000000000006E-2</v>
      </c>
      <c r="W173" s="7">
        <f>ROUND(3.84/E173,3)</f>
        <v>5.3999999999999999E-2</v>
      </c>
      <c r="X173" s="7">
        <v>0.6</v>
      </c>
      <c r="Y173" s="7">
        <v>0.6</v>
      </c>
      <c r="Z173" s="7">
        <v>0.59</v>
      </c>
      <c r="AA173" s="7">
        <f>ROUND(34.3/E173,3)</f>
        <v>0.48299999999999998</v>
      </c>
      <c r="AB173" s="7">
        <f>ROUND(2/E173,3)</f>
        <v>2.8000000000000001E-2</v>
      </c>
      <c r="AC173" s="7">
        <v>8481606</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73"/>
  <sheetViews>
    <sheetView tabSelected="1" zoomScaleNormal="100" workbookViewId="0">
      <pane xSplit="4" ySplit="2" topLeftCell="E3" activePane="bottomRight" state="frozen"/>
      <selection pane="topRight" activeCell="E1" sqref="E1"/>
      <selection pane="bottomLeft" activeCell="A3" sqref="A3"/>
      <selection pane="bottomRight" activeCell="E24" sqref="E24"/>
    </sheetView>
  </sheetViews>
  <sheetFormatPr baseColWidth="10" defaultColWidth="8.6640625" defaultRowHeight="15" x14ac:dyDescent="0.2"/>
  <cols>
    <col min="1" max="1" width="14" customWidth="1"/>
    <col min="2" max="2" width="10" customWidth="1"/>
    <col min="3" max="3" width="14" customWidth="1"/>
    <col min="4" max="29" width="10" customWidth="1"/>
  </cols>
  <sheetData>
    <row r="1" spans="1:29" ht="15" customHeight="1" x14ac:dyDescent="0.2">
      <c r="A1" s="4" t="s">
        <v>24</v>
      </c>
      <c r="B1" s="5"/>
      <c r="C1" s="5"/>
      <c r="D1" s="5"/>
      <c r="E1" s="5"/>
      <c r="F1" s="5"/>
      <c r="G1" s="5"/>
      <c r="H1" s="5"/>
      <c r="I1" s="5"/>
      <c r="J1" s="5"/>
      <c r="K1" s="5"/>
      <c r="L1" s="5"/>
      <c r="M1" s="5"/>
      <c r="N1" s="5"/>
      <c r="O1" s="5"/>
      <c r="P1" s="5"/>
      <c r="Q1" s="5"/>
      <c r="R1" s="5"/>
      <c r="S1" s="5"/>
      <c r="T1" s="5"/>
      <c r="U1" s="5"/>
      <c r="V1" s="5"/>
      <c r="W1" s="5"/>
      <c r="X1" s="5"/>
      <c r="Y1" s="5"/>
      <c r="Z1" s="5"/>
      <c r="AA1" s="5"/>
      <c r="AB1" s="5"/>
      <c r="AC1" s="5"/>
    </row>
    <row r="2" spans="1:29" ht="15" customHeight="1" x14ac:dyDescent="0.2">
      <c r="A2" s="6" t="s">
        <v>25</v>
      </c>
      <c r="B2" s="6" t="s">
        <v>26</v>
      </c>
      <c r="C2" s="6" t="s">
        <v>27</v>
      </c>
      <c r="D2" s="6" t="s">
        <v>28</v>
      </c>
      <c r="E2" s="6" t="s">
        <v>29</v>
      </c>
      <c r="F2" s="6" t="s">
        <v>30</v>
      </c>
      <c r="G2" s="6" t="s">
        <v>31</v>
      </c>
      <c r="H2" s="6" t="s">
        <v>32</v>
      </c>
      <c r="I2" s="6" t="s">
        <v>33</v>
      </c>
      <c r="J2" s="6" t="s">
        <v>34</v>
      </c>
      <c r="K2" s="6" t="s">
        <v>35</v>
      </c>
      <c r="L2" s="6" t="s">
        <v>36</v>
      </c>
      <c r="M2" s="6" t="s">
        <v>37</v>
      </c>
      <c r="N2" s="6" t="s">
        <v>38</v>
      </c>
      <c r="O2" s="6" t="s">
        <v>39</v>
      </c>
      <c r="P2" s="6" t="s">
        <v>40</v>
      </c>
      <c r="Q2" s="6" t="s">
        <v>41</v>
      </c>
      <c r="R2" s="6" t="s">
        <v>42</v>
      </c>
      <c r="S2" s="6" t="s">
        <v>43</v>
      </c>
      <c r="T2" s="6" t="s">
        <v>44</v>
      </c>
      <c r="U2" s="6" t="s">
        <v>45</v>
      </c>
      <c r="V2" s="6" t="s">
        <v>46</v>
      </c>
      <c r="W2" s="6" t="s">
        <v>47</v>
      </c>
      <c r="X2" s="6" t="s">
        <v>48</v>
      </c>
      <c r="Y2" s="6" t="s">
        <v>49</v>
      </c>
      <c r="Z2" s="6" t="s">
        <v>50</v>
      </c>
      <c r="AA2" s="6" t="s">
        <v>51</v>
      </c>
      <c r="AB2" s="6" t="s">
        <v>52</v>
      </c>
      <c r="AC2" s="6" t="s">
        <v>53</v>
      </c>
    </row>
    <row r="3" spans="1:29" ht="15" customHeight="1" x14ac:dyDescent="0.2">
      <c r="A3" s="7" t="s">
        <v>54</v>
      </c>
      <c r="B3" s="7" t="s">
        <v>55</v>
      </c>
      <c r="C3" s="7" t="s">
        <v>56</v>
      </c>
      <c r="D3" s="7">
        <v>27</v>
      </c>
      <c r="E3" s="7">
        <v>67</v>
      </c>
      <c r="F3" s="7">
        <f>ROUND(26/E3,3)</f>
        <v>0.38800000000000001</v>
      </c>
      <c r="G3" s="7">
        <f>ROUND(74/E3,3)</f>
        <v>1.1040000000000001</v>
      </c>
      <c r="H3" s="7">
        <f>ROUND(196/E3,3)</f>
        <v>2.9249999999999998</v>
      </c>
      <c r="I3" s="7">
        <f>ROUND(40/E3,3)</f>
        <v>0.59699999999999998</v>
      </c>
      <c r="J3" s="7">
        <f>ROUND(18/E3,3)</f>
        <v>0.26900000000000002</v>
      </c>
      <c r="K3" s="7">
        <f t="shared" ref="K3:K34" si="0">8*F3+6*G3+1*H3+1*J3+0.5*I3</f>
        <v>13.220500000000003</v>
      </c>
      <c r="L3" s="7">
        <f>ROUND(1476.1/E3,3)</f>
        <v>22.030999999999999</v>
      </c>
      <c r="M3" s="7">
        <f>ROUND(27/E3,3)</f>
        <v>0.40300000000000002</v>
      </c>
      <c r="N3" s="7" t="s">
        <v>1024</v>
      </c>
      <c r="O3" s="7" t="s">
        <v>124</v>
      </c>
      <c r="P3" s="7">
        <f>ROUND(370/E3,3)</f>
        <v>5.5220000000000002</v>
      </c>
      <c r="Q3" s="7">
        <f>ROUND(282/E3,3)</f>
        <v>4.2089999999999996</v>
      </c>
      <c r="R3" s="7">
        <f>ROUND(234/E3,3)</f>
        <v>3.4929999999999999</v>
      </c>
      <c r="S3" s="7">
        <f>ROUND(99/E3,3)</f>
        <v>1.478</v>
      </c>
      <c r="T3" s="7">
        <f>ROUND(26.56/E3,3)</f>
        <v>0.39600000000000002</v>
      </c>
      <c r="U3" s="7">
        <f>ROUND(74/E3,3)</f>
        <v>1.1040000000000001</v>
      </c>
      <c r="V3" s="7">
        <f>ROUND(32/E3,3)</f>
        <v>0.47799999999999998</v>
      </c>
      <c r="W3" s="7">
        <f>ROUND(26.91/E3,3)</f>
        <v>0.40200000000000002</v>
      </c>
      <c r="X3" s="7">
        <v>0.66</v>
      </c>
      <c r="Y3" s="7">
        <v>0.65</v>
      </c>
      <c r="Z3" s="7">
        <v>0.64</v>
      </c>
      <c r="AA3" s="7">
        <f>ROUND(110.09/E3,3)</f>
        <v>1.643</v>
      </c>
      <c r="AB3" s="7">
        <f>ROUND(28/E3,3)</f>
        <v>0.41799999999999998</v>
      </c>
      <c r="AC3" s="7">
        <v>8478402</v>
      </c>
    </row>
    <row r="4" spans="1:29" ht="15" customHeight="1" x14ac:dyDescent="0.2">
      <c r="A4" s="7" t="s">
        <v>59</v>
      </c>
      <c r="B4" s="7" t="s">
        <v>60</v>
      </c>
      <c r="C4" s="7" t="s">
        <v>61</v>
      </c>
      <c r="D4" s="7">
        <v>31</v>
      </c>
      <c r="E4" s="7">
        <v>78</v>
      </c>
      <c r="F4" s="7">
        <f>ROUND(37/E4,3)</f>
        <v>0.47399999999999998</v>
      </c>
      <c r="G4" s="7">
        <f>ROUND(84/E4,3)</f>
        <v>1.077</v>
      </c>
      <c r="H4" s="7">
        <f>ROUND(265/E4,3)</f>
        <v>3.3969999999999998</v>
      </c>
      <c r="I4" s="7">
        <f>ROUND(23/E4,3)</f>
        <v>0.29499999999999998</v>
      </c>
      <c r="J4" s="7">
        <f>ROUND(33/E4,3)</f>
        <v>0.42299999999999999</v>
      </c>
      <c r="K4" s="7">
        <f t="shared" si="0"/>
        <v>14.221500000000001</v>
      </c>
      <c r="L4" s="7">
        <f>ROUND(1652.7833333333/E4,3)</f>
        <v>21.19</v>
      </c>
      <c r="M4" s="7">
        <f>ROUND(45/E4,3)</f>
        <v>0.57699999999999996</v>
      </c>
      <c r="N4" s="7" t="s">
        <v>1025</v>
      </c>
      <c r="O4" s="7" t="s">
        <v>1026</v>
      </c>
      <c r="P4" s="7">
        <f>ROUND(550/E4,3)</f>
        <v>7.0510000000000002</v>
      </c>
      <c r="Q4" s="7">
        <f>ROUND(379/E4,3)</f>
        <v>4.859</v>
      </c>
      <c r="R4" s="7">
        <f>ROUND(250/E4,3)</f>
        <v>3.2050000000000001</v>
      </c>
      <c r="S4" s="7">
        <f>ROUND(77/E4,3)</f>
        <v>0.98699999999999999</v>
      </c>
      <c r="T4" s="7">
        <f>ROUND(26.22/E4,3)</f>
        <v>0.33600000000000002</v>
      </c>
      <c r="U4" s="7">
        <f>ROUND(122/E4,3)</f>
        <v>1.5640000000000001</v>
      </c>
      <c r="V4" s="7">
        <f>ROUND(30/E4,3)</f>
        <v>0.38500000000000001</v>
      </c>
      <c r="W4" s="7">
        <f>ROUND(27.03/E4,3)</f>
        <v>0.34699999999999998</v>
      </c>
      <c r="X4" s="7">
        <v>0.62</v>
      </c>
      <c r="Y4" s="7">
        <v>0.59</v>
      </c>
      <c r="Z4" s="7">
        <v>0.59</v>
      </c>
      <c r="AA4" s="7">
        <f>ROUND(116.62/E4,3)</f>
        <v>1.4950000000000001</v>
      </c>
      <c r="AB4" s="7">
        <f>ROUND(24/E4,3)</f>
        <v>0.308</v>
      </c>
      <c r="AC4" s="7">
        <v>8476453</v>
      </c>
    </row>
    <row r="5" spans="1:29" ht="15" customHeight="1" x14ac:dyDescent="0.2">
      <c r="A5" s="7" t="s">
        <v>65</v>
      </c>
      <c r="B5" s="7" t="s">
        <v>55</v>
      </c>
      <c r="C5" s="7" t="s">
        <v>66</v>
      </c>
      <c r="D5" s="7">
        <v>29</v>
      </c>
      <c r="E5" s="7">
        <v>79</v>
      </c>
      <c r="F5" s="7">
        <f>ROUND(32/E5,3)</f>
        <v>0.40500000000000003</v>
      </c>
      <c r="G5" s="7">
        <f>ROUND(84/E5,3)</f>
        <v>1.0629999999999999</v>
      </c>
      <c r="H5" s="7">
        <f>ROUND(320/E5,3)</f>
        <v>4.0510000000000002</v>
      </c>
      <c r="I5" s="7">
        <f>ROUND(37/E5,3)</f>
        <v>0.46800000000000003</v>
      </c>
      <c r="J5" s="7">
        <f>ROUND(58/E5,3)</f>
        <v>0.73399999999999999</v>
      </c>
      <c r="K5" s="7">
        <f t="shared" si="0"/>
        <v>14.637</v>
      </c>
      <c r="L5" s="7">
        <f>ROUND(1799.8166666667/E5,3)</f>
        <v>22.782</v>
      </c>
      <c r="M5" s="7">
        <f>ROUND(41/E5,3)</f>
        <v>0.51900000000000002</v>
      </c>
      <c r="N5" s="7" t="s">
        <v>1027</v>
      </c>
      <c r="O5" s="7" t="s">
        <v>810</v>
      </c>
      <c r="P5" s="7">
        <f>ROUND(590/E5,3)</f>
        <v>7.468</v>
      </c>
      <c r="Q5" s="7">
        <f>ROUND(433/E5,3)</f>
        <v>5.4809999999999999</v>
      </c>
      <c r="R5" s="7">
        <f>ROUND(312/E5,3)</f>
        <v>3.9489999999999998</v>
      </c>
      <c r="S5" s="7">
        <f>ROUND(90/E5,3)</f>
        <v>1.139</v>
      </c>
      <c r="T5" s="7">
        <f>ROUND(31.34/E5,3)</f>
        <v>0.39700000000000002</v>
      </c>
      <c r="U5" s="7">
        <f>ROUND(121/E5,3)</f>
        <v>1.532</v>
      </c>
      <c r="V5" s="7">
        <f>ROUND(27/E5,3)</f>
        <v>0.34200000000000003</v>
      </c>
      <c r="W5" s="7">
        <f>ROUND(29.52/E5,3)</f>
        <v>0.374</v>
      </c>
      <c r="X5" s="7">
        <v>0.63</v>
      </c>
      <c r="Y5" s="7">
        <v>0.64</v>
      </c>
      <c r="Z5" s="7">
        <v>0.63</v>
      </c>
      <c r="AA5" s="7">
        <f>ROUND(134.88/E5,3)</f>
        <v>1.7070000000000001</v>
      </c>
      <c r="AB5" s="7">
        <f>ROUND(26/E5,3)</f>
        <v>0.32900000000000001</v>
      </c>
      <c r="AC5" s="7">
        <v>8477492</v>
      </c>
    </row>
    <row r="6" spans="1:29" ht="15" customHeight="1" x14ac:dyDescent="0.2">
      <c r="A6" s="7" t="s">
        <v>70</v>
      </c>
      <c r="B6" s="7" t="s">
        <v>55</v>
      </c>
      <c r="C6" s="7" t="s">
        <v>297</v>
      </c>
      <c r="D6" s="7">
        <v>18</v>
      </c>
      <c r="E6" s="7">
        <v>70</v>
      </c>
      <c r="F6" s="7">
        <f>ROUND(25/E6,3)</f>
        <v>0.35699999999999998</v>
      </c>
      <c r="G6" s="7">
        <f>ROUND(38/E6,3)</f>
        <v>0.54300000000000004</v>
      </c>
      <c r="H6" s="7">
        <f>ROUND(236/E6,3)</f>
        <v>3.371</v>
      </c>
      <c r="I6" s="7">
        <f>ROUND(37/E6,3)</f>
        <v>0.52900000000000003</v>
      </c>
      <c r="J6" s="7">
        <f>ROUND(53/E6,3)</f>
        <v>0.75700000000000001</v>
      </c>
      <c r="K6" s="7">
        <f t="shared" si="0"/>
        <v>10.506499999999999</v>
      </c>
      <c r="L6" s="7">
        <f>ROUND(1385.1666666667/E6,3)</f>
        <v>19.788</v>
      </c>
      <c r="M6" s="7">
        <f>ROUND(28/E6,3)</f>
        <v>0.4</v>
      </c>
      <c r="N6" s="7" t="s">
        <v>1028</v>
      </c>
      <c r="O6" s="7" t="s">
        <v>1029</v>
      </c>
      <c r="P6" s="7">
        <f>ROUND(457/E6,3)</f>
        <v>6.5289999999999999</v>
      </c>
      <c r="Q6" s="7">
        <f>ROUND(353/E6,3)</f>
        <v>5.0430000000000001</v>
      </c>
      <c r="R6" s="7">
        <f>ROUND(247/E6,3)</f>
        <v>3.5289999999999999</v>
      </c>
      <c r="S6" s="7">
        <f>ROUND(65/E6,3)</f>
        <v>0.92900000000000005</v>
      </c>
      <c r="T6" s="7">
        <f>ROUND(22.96/E6,3)</f>
        <v>0.32800000000000001</v>
      </c>
      <c r="U6" s="7">
        <f>ROUND(113/E6,3)</f>
        <v>1.6140000000000001</v>
      </c>
      <c r="V6" s="7">
        <f>ROUND(29/E6,3)</f>
        <v>0.41399999999999998</v>
      </c>
      <c r="W6" s="7">
        <f>ROUND(23.32/E6,3)</f>
        <v>0.33300000000000002</v>
      </c>
      <c r="X6" s="7">
        <v>0.53</v>
      </c>
      <c r="Y6" s="7">
        <v>0.56000000000000005</v>
      </c>
      <c r="Z6" s="7">
        <v>0.56999999999999995</v>
      </c>
      <c r="AA6" s="7">
        <f>ROUND(58.93/E6,3)</f>
        <v>0.84199999999999997</v>
      </c>
      <c r="AB6" s="7">
        <f>ROUND(22/E6,3)</f>
        <v>0.314</v>
      </c>
      <c r="AC6" s="7">
        <v>8484801</v>
      </c>
    </row>
    <row r="7" spans="1:29" ht="15" customHeight="1" x14ac:dyDescent="0.2">
      <c r="A7" s="7" t="s">
        <v>71</v>
      </c>
      <c r="B7" s="7" t="s">
        <v>55</v>
      </c>
      <c r="C7" s="7" t="s">
        <v>72</v>
      </c>
      <c r="D7" s="7">
        <v>31</v>
      </c>
      <c r="E7" s="7">
        <v>82</v>
      </c>
      <c r="F7" s="7">
        <f>ROUND(39/E7,3)</f>
        <v>0.47599999999999998</v>
      </c>
      <c r="G7" s="7">
        <f>ROUND(48/E7,3)</f>
        <v>0.58499999999999996</v>
      </c>
      <c r="H7" s="7">
        <f>ROUND(181/E7,3)</f>
        <v>2.2069999999999999</v>
      </c>
      <c r="I7" s="7">
        <f>ROUND(73/E7,3)</f>
        <v>0.89</v>
      </c>
      <c r="J7" s="7">
        <f>ROUND(60/E7,3)</f>
        <v>0.73199999999999998</v>
      </c>
      <c r="K7" s="7">
        <f t="shared" si="0"/>
        <v>10.701999999999998</v>
      </c>
      <c r="L7" s="7">
        <f>ROUND(1676.0666666667/E7,3)</f>
        <v>20.440000000000001</v>
      </c>
      <c r="M7" s="7">
        <f>ROUND(61/E7,3)</f>
        <v>0.74399999999999999</v>
      </c>
      <c r="N7" s="7" t="s">
        <v>1030</v>
      </c>
      <c r="O7" s="7" t="s">
        <v>1031</v>
      </c>
      <c r="P7" s="7">
        <f>ROUND(340/E7,3)</f>
        <v>4.1459999999999999</v>
      </c>
      <c r="Q7" s="7">
        <f>ROUND(275/E7,3)</f>
        <v>3.3540000000000001</v>
      </c>
      <c r="R7" s="7">
        <f>ROUND(237/E7,3)</f>
        <v>2.89</v>
      </c>
      <c r="S7" s="7">
        <f>ROUND(115/E7,3)</f>
        <v>1.4019999999999999</v>
      </c>
      <c r="T7" s="7">
        <f>ROUND(27.42/E7,3)</f>
        <v>0.33400000000000002</v>
      </c>
      <c r="U7" s="7">
        <f>ROUND(105/E7,3)</f>
        <v>1.28</v>
      </c>
      <c r="V7" s="7">
        <f>ROUND(25/E7,3)</f>
        <v>0.30499999999999999</v>
      </c>
      <c r="W7" s="7">
        <f>ROUND(28.83/E7,3)</f>
        <v>0.35199999999999998</v>
      </c>
      <c r="X7" s="7">
        <v>0.56999999999999995</v>
      </c>
      <c r="Y7" s="7">
        <v>0.53</v>
      </c>
      <c r="Z7" s="7">
        <v>0.53</v>
      </c>
      <c r="AA7" s="7">
        <f>ROUND(73.58/E7,3)</f>
        <v>0.89700000000000002</v>
      </c>
      <c r="AB7" s="7">
        <f>ROUND(32/E7,3)</f>
        <v>0.39</v>
      </c>
      <c r="AC7" s="7">
        <v>8476460</v>
      </c>
    </row>
    <row r="8" spans="1:29" ht="15" customHeight="1" x14ac:dyDescent="0.2">
      <c r="A8" s="7" t="s">
        <v>75</v>
      </c>
      <c r="B8" s="7" t="s">
        <v>55</v>
      </c>
      <c r="C8" s="7" t="s">
        <v>76</v>
      </c>
      <c r="D8" s="7">
        <v>25</v>
      </c>
      <c r="E8" s="7">
        <v>82</v>
      </c>
      <c r="F8" s="7">
        <f>ROUND(30/E8,3)</f>
        <v>0.36599999999999999</v>
      </c>
      <c r="G8" s="7">
        <f>ROUND(59/E8,3)</f>
        <v>0.72</v>
      </c>
      <c r="H8" s="7">
        <f>ROUND(172/E8,3)</f>
        <v>2.0979999999999999</v>
      </c>
      <c r="I8" s="7">
        <f>ROUND(63/E8,3)</f>
        <v>0.76800000000000002</v>
      </c>
      <c r="J8" s="7">
        <f>ROUND(71/E8,3)</f>
        <v>0.86599999999999999</v>
      </c>
      <c r="K8" s="7">
        <f t="shared" si="0"/>
        <v>10.596</v>
      </c>
      <c r="L8" s="7">
        <f>ROUND(1644.9666666667/E8,3)</f>
        <v>20.061</v>
      </c>
      <c r="M8" s="7">
        <f>ROUND(8/E8,3)</f>
        <v>9.8000000000000004E-2</v>
      </c>
      <c r="N8" s="7" t="s">
        <v>1032</v>
      </c>
      <c r="O8" s="7" t="s">
        <v>1033</v>
      </c>
      <c r="P8" s="7">
        <f>ROUND(347/E8,3)</f>
        <v>4.2320000000000002</v>
      </c>
      <c r="Q8" s="7">
        <f>ROUND(256/E8,3)</f>
        <v>3.1219999999999999</v>
      </c>
      <c r="R8" s="7">
        <f>ROUND(203/E8,3)</f>
        <v>2.476</v>
      </c>
      <c r="S8" s="7">
        <f>ROUND(74/E8,3)</f>
        <v>0.90200000000000002</v>
      </c>
      <c r="T8" s="7">
        <f>ROUND(21.03/E8,3)</f>
        <v>0.25600000000000001</v>
      </c>
      <c r="U8" s="7">
        <f>ROUND(86/E8,3)</f>
        <v>1.0489999999999999</v>
      </c>
      <c r="V8" s="7">
        <f>ROUND(31/E8,3)</f>
        <v>0.378</v>
      </c>
      <c r="W8" s="7">
        <f>ROUND(19.51/E8,3)</f>
        <v>0.23799999999999999</v>
      </c>
      <c r="X8" s="7">
        <v>0.53</v>
      </c>
      <c r="Y8" s="7">
        <v>0.56000000000000005</v>
      </c>
      <c r="Z8" s="7">
        <v>0.56999999999999995</v>
      </c>
      <c r="AA8" s="7">
        <f>ROUND(86.07/E8,3)</f>
        <v>1.05</v>
      </c>
      <c r="AB8" s="7">
        <f>ROUND(17/E8,3)</f>
        <v>0.20699999999999999</v>
      </c>
      <c r="AC8" s="7">
        <v>8480018</v>
      </c>
    </row>
    <row r="9" spans="1:29" ht="15" customHeight="1" x14ac:dyDescent="0.2">
      <c r="A9" s="7" t="s">
        <v>79</v>
      </c>
      <c r="B9" s="7" t="s">
        <v>55</v>
      </c>
      <c r="C9" s="7" t="s">
        <v>1034</v>
      </c>
      <c r="D9" s="7">
        <v>25</v>
      </c>
      <c r="E9" s="7">
        <v>79</v>
      </c>
      <c r="F9" s="7">
        <f>ROUND(27/E9,3)</f>
        <v>0.34200000000000003</v>
      </c>
      <c r="G9" s="7">
        <f>ROUND(56/E9,3)</f>
        <v>0.70899999999999996</v>
      </c>
      <c r="H9" s="7">
        <f>ROUND(194/E9,3)</f>
        <v>2.456</v>
      </c>
      <c r="I9" s="7">
        <f>ROUND(62/E9,3)</f>
        <v>0.78500000000000003</v>
      </c>
      <c r="J9" s="7">
        <f>ROUND(23/E9,3)</f>
        <v>0.29099999999999998</v>
      </c>
      <c r="K9" s="7">
        <f t="shared" si="0"/>
        <v>10.1295</v>
      </c>
      <c r="L9" s="7">
        <f>ROUND(1500.8833333333/E9,3)</f>
        <v>18.998999999999999</v>
      </c>
      <c r="M9" s="7">
        <f>ROUND(16/E9,3)</f>
        <v>0.20300000000000001</v>
      </c>
      <c r="N9" s="7" t="s">
        <v>1035</v>
      </c>
      <c r="O9" s="7" t="s">
        <v>833</v>
      </c>
      <c r="P9" s="7">
        <f>ROUND(394/E9,3)</f>
        <v>4.9870000000000001</v>
      </c>
      <c r="Q9" s="7">
        <f>ROUND(295/E9,3)</f>
        <v>3.734</v>
      </c>
      <c r="R9" s="7">
        <f>ROUND(193/E9,3)</f>
        <v>2.4430000000000001</v>
      </c>
      <c r="S9" s="7">
        <f>ROUND(67/E9,3)</f>
        <v>0.84799999999999998</v>
      </c>
      <c r="T9" s="7">
        <f>ROUND(20.6/E9,3)</f>
        <v>0.26100000000000001</v>
      </c>
      <c r="U9" s="7">
        <f>ROUND(83/E9,3)</f>
        <v>1.0509999999999999</v>
      </c>
      <c r="V9" s="7">
        <f>ROUND(23/E9,3)</f>
        <v>0.29099999999999998</v>
      </c>
      <c r="W9" s="7">
        <f>ROUND(23.09/E9,3)</f>
        <v>0.29199999999999998</v>
      </c>
      <c r="X9" s="7">
        <v>0.6</v>
      </c>
      <c r="Y9" s="7">
        <v>0.65</v>
      </c>
      <c r="Z9" s="7">
        <v>0.64</v>
      </c>
      <c r="AA9" s="7">
        <f>ROUND(93.12/E9,3)</f>
        <v>1.179</v>
      </c>
      <c r="AB9" s="7">
        <f>ROUND(24/E9,3)</f>
        <v>0.30399999999999999</v>
      </c>
      <c r="AC9" s="7">
        <v>8480039</v>
      </c>
    </row>
    <row r="10" spans="1:29" ht="15" customHeight="1" x14ac:dyDescent="0.2">
      <c r="A10" s="7" t="s">
        <v>83</v>
      </c>
      <c r="B10" s="7" t="s">
        <v>60</v>
      </c>
      <c r="C10" s="7" t="s">
        <v>84</v>
      </c>
      <c r="D10" s="7">
        <v>28</v>
      </c>
      <c r="E10" s="7">
        <v>82</v>
      </c>
      <c r="F10" s="7">
        <f>ROUND(43/E10,3)</f>
        <v>0.52400000000000002</v>
      </c>
      <c r="G10" s="7">
        <f>ROUND(63/E10,3)</f>
        <v>0.76800000000000002</v>
      </c>
      <c r="H10" s="7">
        <f>ROUND(319/E10,3)</f>
        <v>3.89</v>
      </c>
      <c r="I10" s="7">
        <f>ROUND(58/E10,3)</f>
        <v>0.70699999999999996</v>
      </c>
      <c r="J10" s="7">
        <f>ROUND(24/E10,3)</f>
        <v>0.29299999999999998</v>
      </c>
      <c r="K10" s="7">
        <f t="shared" si="0"/>
        <v>13.336500000000001</v>
      </c>
      <c r="L10" s="7">
        <f>ROUND(1655.2666666667/E10,3)</f>
        <v>20.186</v>
      </c>
      <c r="M10" s="7">
        <f>ROUND(42/E10,3)</f>
        <v>0.51200000000000001</v>
      </c>
      <c r="N10" s="7" t="s">
        <v>1037</v>
      </c>
      <c r="O10" s="7" t="s">
        <v>1038</v>
      </c>
      <c r="P10" s="7">
        <f>ROUND(624/E10,3)</f>
        <v>7.61</v>
      </c>
      <c r="Q10" s="7">
        <f>ROUND(444/E10,3)</f>
        <v>5.415</v>
      </c>
      <c r="R10" s="7">
        <f>ROUND(261/E10,3)</f>
        <v>3.1829999999999998</v>
      </c>
      <c r="S10" s="7">
        <f>ROUND(90/E10,3)</f>
        <v>1.0980000000000001</v>
      </c>
      <c r="T10" s="7">
        <f>ROUND(31.02/E10,3)</f>
        <v>0.378</v>
      </c>
      <c r="U10" s="7">
        <f>ROUND(118/E10,3)</f>
        <v>1.4390000000000001</v>
      </c>
      <c r="V10" s="7">
        <f>ROUND(40/E10,3)</f>
        <v>0.48799999999999999</v>
      </c>
      <c r="W10" s="7">
        <f>ROUND(30.39/E10,3)</f>
        <v>0.371</v>
      </c>
      <c r="X10" s="7">
        <v>0.57999999999999996</v>
      </c>
      <c r="Y10" s="7">
        <v>0.57999999999999996</v>
      </c>
      <c r="Z10" s="7">
        <v>0.56999999999999995</v>
      </c>
      <c r="AA10" s="7">
        <f>ROUND(106.05/E10,3)</f>
        <v>1.2929999999999999</v>
      </c>
      <c r="AB10" s="7">
        <f>ROUND(32/E10,3)</f>
        <v>0.39</v>
      </c>
      <c r="AC10" s="7">
        <v>8477956</v>
      </c>
    </row>
    <row r="11" spans="1:29" ht="15" customHeight="1" x14ac:dyDescent="0.2">
      <c r="A11" s="7" t="s">
        <v>88</v>
      </c>
      <c r="B11" s="7" t="s">
        <v>55</v>
      </c>
      <c r="C11" s="7" t="s">
        <v>56</v>
      </c>
      <c r="D11" s="7">
        <v>28</v>
      </c>
      <c r="E11" s="7">
        <v>71</v>
      </c>
      <c r="F11" s="7">
        <f>ROUND(52/E11,3)</f>
        <v>0.73199999999999998</v>
      </c>
      <c r="G11" s="7">
        <f>ROUND(54/E11,3)</f>
        <v>0.76100000000000001</v>
      </c>
      <c r="H11" s="7">
        <f>ROUND(241/E11,3)</f>
        <v>3.3940000000000001</v>
      </c>
      <c r="I11" s="7">
        <f>ROUND(22/E11,3)</f>
        <v>0.31</v>
      </c>
      <c r="J11" s="7">
        <f>ROUND(27/E11,3)</f>
        <v>0.38</v>
      </c>
      <c r="K11" s="7">
        <f t="shared" si="0"/>
        <v>14.351000000000001</v>
      </c>
      <c r="L11" s="7">
        <f>ROUND(1527.7333333333/E11,3)</f>
        <v>21.516999999999999</v>
      </c>
      <c r="M11" s="7">
        <f>ROUND(34/E11,3)</f>
        <v>0.47899999999999998</v>
      </c>
      <c r="N11" s="7" t="s">
        <v>1039</v>
      </c>
      <c r="O11" s="7" t="s">
        <v>1040</v>
      </c>
      <c r="P11" s="7">
        <f>ROUND(416/E11,3)</f>
        <v>5.859</v>
      </c>
      <c r="Q11" s="7">
        <f>ROUND(340/E11,3)</f>
        <v>4.7889999999999997</v>
      </c>
      <c r="R11" s="7">
        <f>ROUND(213/E11,3)</f>
        <v>3</v>
      </c>
      <c r="S11" s="7">
        <f>ROUND(84/E11,3)</f>
        <v>1.1830000000000001</v>
      </c>
      <c r="T11" s="7">
        <f>ROUND(31.06/E11,3)</f>
        <v>0.437</v>
      </c>
      <c r="U11" s="7">
        <f>ROUND(88/E11,3)</f>
        <v>1.2390000000000001</v>
      </c>
      <c r="V11" s="7">
        <f>ROUND(35/E11,3)</f>
        <v>0.49299999999999999</v>
      </c>
      <c r="W11" s="7">
        <f>ROUND(31.42/E11,3)</f>
        <v>0.443</v>
      </c>
      <c r="X11" s="7">
        <v>0.66</v>
      </c>
      <c r="Y11" s="7">
        <v>0.63</v>
      </c>
      <c r="Z11" s="7">
        <v>0.63</v>
      </c>
      <c r="AA11" s="7">
        <f>ROUND(119.47/E11,3)</f>
        <v>1.6830000000000001</v>
      </c>
      <c r="AB11" s="7">
        <f>ROUND(27/E11,3)</f>
        <v>0.38</v>
      </c>
      <c r="AC11" s="7">
        <v>8477934</v>
      </c>
    </row>
    <row r="12" spans="1:29" ht="15" customHeight="1" x14ac:dyDescent="0.2">
      <c r="A12" s="7" t="s">
        <v>91</v>
      </c>
      <c r="B12" s="7" t="s">
        <v>92</v>
      </c>
      <c r="C12" s="7" t="s">
        <v>93</v>
      </c>
      <c r="D12" s="7">
        <v>25</v>
      </c>
      <c r="E12" s="7">
        <v>82</v>
      </c>
      <c r="F12" s="7">
        <f>ROUND(35/E12,3)</f>
        <v>0.42699999999999999</v>
      </c>
      <c r="G12" s="7">
        <f>ROUND(45/E12,3)</f>
        <v>0.54900000000000004</v>
      </c>
      <c r="H12" s="7">
        <f>ROUND(211/E12,3)</f>
        <v>2.573</v>
      </c>
      <c r="I12" s="7">
        <f>ROUND(59/E12,3)</f>
        <v>0.72</v>
      </c>
      <c r="J12" s="7">
        <f>ROUND(45/E12,3)</f>
        <v>0.54900000000000004</v>
      </c>
      <c r="K12" s="7">
        <f t="shared" si="0"/>
        <v>10.192</v>
      </c>
      <c r="L12" s="7">
        <f>ROUND(1459.0666666667/E12,3)</f>
        <v>17.792999999999999</v>
      </c>
      <c r="M12" s="7">
        <f>ROUND(18/E12,3)</f>
        <v>0.22</v>
      </c>
      <c r="N12" s="7" t="s">
        <v>1041</v>
      </c>
      <c r="O12" s="7" t="s">
        <v>655</v>
      </c>
      <c r="P12" s="7">
        <f>ROUND(407/E12,3)</f>
        <v>4.9630000000000001</v>
      </c>
      <c r="Q12" s="7">
        <f>ROUND(293/E12,3)</f>
        <v>3.573</v>
      </c>
      <c r="R12" s="7">
        <f>ROUND(213/E12,3)</f>
        <v>2.5979999999999999</v>
      </c>
      <c r="S12" s="7">
        <f>ROUND(82/E12,3)</f>
        <v>1</v>
      </c>
      <c r="T12" s="7">
        <f>ROUND(25.72/E12,3)</f>
        <v>0.314</v>
      </c>
      <c r="U12" s="7">
        <f>ROUND(92/E12,3)</f>
        <v>1.1220000000000001</v>
      </c>
      <c r="V12" s="7">
        <f>ROUND(24/E12,3)</f>
        <v>0.29299999999999998</v>
      </c>
      <c r="W12" s="7">
        <f>ROUND(23.29/E12,3)</f>
        <v>0.28399999999999997</v>
      </c>
      <c r="X12" s="7">
        <v>0.6</v>
      </c>
      <c r="Y12" s="7">
        <v>0.56999999999999995</v>
      </c>
      <c r="Z12" s="7">
        <v>0.56000000000000005</v>
      </c>
      <c r="AA12" s="7">
        <f>ROUND(75.87/E12,3)</f>
        <v>0.92500000000000004</v>
      </c>
      <c r="AB12" s="7">
        <f>ROUND(30/E12,3)</f>
        <v>0.36599999999999999</v>
      </c>
      <c r="AC12" s="7">
        <v>8480027</v>
      </c>
    </row>
    <row r="13" spans="1:29" ht="15" customHeight="1" x14ac:dyDescent="0.2">
      <c r="A13" s="7" t="s">
        <v>97</v>
      </c>
      <c r="B13" s="7" t="s">
        <v>92</v>
      </c>
      <c r="C13" s="7" t="s">
        <v>72</v>
      </c>
      <c r="D13" s="7">
        <v>27</v>
      </c>
      <c r="E13" s="7">
        <v>82</v>
      </c>
      <c r="F13" s="7">
        <f>ROUND(41/E13,3)</f>
        <v>0.5</v>
      </c>
      <c r="G13" s="7">
        <f>ROUND(56/E13,3)</f>
        <v>0.68300000000000005</v>
      </c>
      <c r="H13" s="7">
        <f>ROUND(267/E13,3)</f>
        <v>3.2559999999999998</v>
      </c>
      <c r="I13" s="7">
        <f>ROUND(21/E13,3)</f>
        <v>0.25600000000000001</v>
      </c>
      <c r="J13" s="7">
        <f>ROUND(46/E13,3)</f>
        <v>0.56100000000000005</v>
      </c>
      <c r="K13" s="7">
        <f t="shared" si="0"/>
        <v>12.043000000000001</v>
      </c>
      <c r="L13" s="7">
        <f>ROUND(1672.3666666667/E13,3)</f>
        <v>20.395</v>
      </c>
      <c r="M13" s="7">
        <f>ROUND(25/E13,3)</f>
        <v>0.30499999999999999</v>
      </c>
      <c r="N13" s="7" t="s">
        <v>1042</v>
      </c>
      <c r="O13" s="7" t="s">
        <v>1043</v>
      </c>
      <c r="P13" s="7">
        <f>ROUND(484/E13,3)</f>
        <v>5.9020000000000001</v>
      </c>
      <c r="Q13" s="7">
        <f>ROUND(358/E13,3)</f>
        <v>4.3659999999999997</v>
      </c>
      <c r="R13" s="7">
        <f>ROUND(259/E13,3)</f>
        <v>3.1589999999999998</v>
      </c>
      <c r="S13" s="7">
        <f>ROUND(89/E13,3)</f>
        <v>1.085</v>
      </c>
      <c r="T13" s="7">
        <f>ROUND(28.66/E13,3)</f>
        <v>0.35</v>
      </c>
      <c r="U13" s="7">
        <f>ROUND(80/E13,3)</f>
        <v>0.97599999999999998</v>
      </c>
      <c r="V13" s="7">
        <f>ROUND(33/E13,3)</f>
        <v>0.40200000000000002</v>
      </c>
      <c r="W13" s="7">
        <f>ROUND(30.19/E13,3)</f>
        <v>0.36799999999999999</v>
      </c>
      <c r="X13" s="7">
        <v>0.56000000000000005</v>
      </c>
      <c r="Y13" s="7">
        <v>0.53</v>
      </c>
      <c r="Z13" s="7">
        <v>0.53</v>
      </c>
      <c r="AA13" s="7">
        <f>ROUND(86.77/E13,3)</f>
        <v>1.0580000000000001</v>
      </c>
      <c r="AB13" s="7">
        <f>ROUND(24/E13,3)</f>
        <v>0.29299999999999998</v>
      </c>
      <c r="AC13" s="7">
        <v>8478398</v>
      </c>
    </row>
    <row r="14" spans="1:29" ht="15" customHeight="1" x14ac:dyDescent="0.2">
      <c r="A14" s="7" t="s">
        <v>101</v>
      </c>
      <c r="B14" s="7" t="s">
        <v>55</v>
      </c>
      <c r="C14" s="7" t="s">
        <v>102</v>
      </c>
      <c r="D14" s="7">
        <v>27</v>
      </c>
      <c r="E14" s="7">
        <v>77</v>
      </c>
      <c r="F14" s="7">
        <f>ROUND(28/E14,3)</f>
        <v>0.36399999999999999</v>
      </c>
      <c r="G14" s="7">
        <f>ROUND(66/E14,3)</f>
        <v>0.85699999999999998</v>
      </c>
      <c r="H14" s="7">
        <f>ROUND(233/E14,3)</f>
        <v>3.0259999999999998</v>
      </c>
      <c r="I14" s="7">
        <f>ROUND(22/E14,3)</f>
        <v>0.28599999999999998</v>
      </c>
      <c r="J14" s="7">
        <f>ROUND(55/E14,3)</f>
        <v>0.71399999999999997</v>
      </c>
      <c r="K14" s="7">
        <f t="shared" si="0"/>
        <v>11.936999999999999</v>
      </c>
      <c r="L14" s="7">
        <f>ROUND(1581.0833333333/E14,3)</f>
        <v>20.533999999999999</v>
      </c>
      <c r="M14" s="7">
        <f>ROUND(8/E14,3)</f>
        <v>0.104</v>
      </c>
      <c r="N14" s="7" t="s">
        <v>1044</v>
      </c>
      <c r="O14" s="7" t="s">
        <v>650</v>
      </c>
      <c r="P14" s="7">
        <f>ROUND(403/E14,3)</f>
        <v>5.234</v>
      </c>
      <c r="Q14" s="7">
        <f>ROUND(305/E14,3)</f>
        <v>3.9609999999999999</v>
      </c>
      <c r="R14" s="7">
        <f>ROUND(201/E14,3)</f>
        <v>2.61</v>
      </c>
      <c r="S14" s="7">
        <f>ROUND(79/E14,3)</f>
        <v>1.026</v>
      </c>
      <c r="T14" s="7">
        <f>ROUND(22.69/E14,3)</f>
        <v>0.29499999999999998</v>
      </c>
      <c r="U14" s="7">
        <f>ROUND(90/E14,3)</f>
        <v>1.169</v>
      </c>
      <c r="V14" s="7">
        <f>ROUND(28/E14,3)</f>
        <v>0.36399999999999999</v>
      </c>
      <c r="W14" s="7">
        <f>ROUND(26.32/E14,3)</f>
        <v>0.34200000000000003</v>
      </c>
      <c r="X14" s="7">
        <v>0.57999999999999996</v>
      </c>
      <c r="Y14" s="7">
        <v>0.53</v>
      </c>
      <c r="Z14" s="7">
        <v>0.54</v>
      </c>
      <c r="AA14" s="7">
        <f>ROUND(89.47/E14,3)</f>
        <v>1.1619999999999999</v>
      </c>
      <c r="AB14" s="7">
        <f>ROUND(33/E14,3)</f>
        <v>0.42899999999999999</v>
      </c>
      <c r="AC14" s="7">
        <v>8478403</v>
      </c>
    </row>
    <row r="15" spans="1:29" ht="15" customHeight="1" x14ac:dyDescent="0.2">
      <c r="A15" s="7" t="s">
        <v>105</v>
      </c>
      <c r="B15" s="7" t="s">
        <v>92</v>
      </c>
      <c r="C15" s="7" t="s">
        <v>106</v>
      </c>
      <c r="D15" s="7">
        <v>27</v>
      </c>
      <c r="E15" s="7">
        <v>41</v>
      </c>
      <c r="F15" s="7">
        <f>ROUND(25/E15,3)</f>
        <v>0.61</v>
      </c>
      <c r="G15" s="7">
        <f>ROUND(31/E15,3)</f>
        <v>0.75600000000000001</v>
      </c>
      <c r="H15" s="7">
        <f>ROUND(145/E15,3)</f>
        <v>3.5369999999999999</v>
      </c>
      <c r="I15" s="7">
        <f>ROUND(16/E15,3)</f>
        <v>0.39</v>
      </c>
      <c r="J15" s="7">
        <f>ROUND(17/E15,3)</f>
        <v>0.41499999999999998</v>
      </c>
      <c r="K15" s="7">
        <f t="shared" si="0"/>
        <v>13.562999999999999</v>
      </c>
      <c r="L15" s="7">
        <f>ROUND(921.15/E15,3)</f>
        <v>22.466999999999999</v>
      </c>
      <c r="M15" s="7">
        <f>ROUND(16/E15,3)</f>
        <v>0.39</v>
      </c>
      <c r="N15" s="7" t="s">
        <v>1045</v>
      </c>
      <c r="O15" s="7" t="s">
        <v>345</v>
      </c>
      <c r="P15" s="7">
        <f>ROUND(311/E15,3)</f>
        <v>7.585</v>
      </c>
      <c r="Q15" s="7">
        <f>ROUND(203/E15,3)</f>
        <v>4.9509999999999996</v>
      </c>
      <c r="R15" s="7">
        <f>ROUND(161/E15,3)</f>
        <v>3.927</v>
      </c>
      <c r="S15" s="7">
        <f>ROUND(59/E15,3)</f>
        <v>1.4390000000000001</v>
      </c>
      <c r="T15" s="7">
        <f>ROUND(19.93/E15,3)</f>
        <v>0.48599999999999999</v>
      </c>
      <c r="U15" s="7">
        <f>ROUND(59/E15,3)</f>
        <v>1.4390000000000001</v>
      </c>
      <c r="V15" s="7">
        <f>ROUND(12/E15,3)</f>
        <v>0.29299999999999998</v>
      </c>
      <c r="W15" s="7">
        <f>ROUND(20.38/E15,3)</f>
        <v>0.497</v>
      </c>
      <c r="X15" s="7">
        <v>0.62</v>
      </c>
      <c r="Y15" s="7">
        <v>0.59</v>
      </c>
      <c r="Z15" s="7">
        <v>0.59</v>
      </c>
      <c r="AA15" s="7">
        <f>ROUND(57.65/E15,3)</f>
        <v>1.4059999999999999</v>
      </c>
      <c r="AB15" s="7">
        <f>ROUND(25/E15,3)</f>
        <v>0.61</v>
      </c>
      <c r="AC15" s="7">
        <v>8478864</v>
      </c>
    </row>
    <row r="16" spans="1:29" ht="15" customHeight="1" x14ac:dyDescent="0.2">
      <c r="A16" s="7" t="s">
        <v>109</v>
      </c>
      <c r="B16" s="7" t="s">
        <v>60</v>
      </c>
      <c r="C16" s="7" t="s">
        <v>76</v>
      </c>
      <c r="D16" s="7">
        <v>23</v>
      </c>
      <c r="E16" s="7">
        <v>82</v>
      </c>
      <c r="F16" s="7">
        <f>ROUND(37/E16,3)</f>
        <v>0.45100000000000001</v>
      </c>
      <c r="G16" s="7">
        <f>ROUND(33/E16,3)</f>
        <v>0.40200000000000002</v>
      </c>
      <c r="H16" s="7">
        <f>ROUND(240/E16,3)</f>
        <v>2.927</v>
      </c>
      <c r="I16" s="7">
        <f>ROUND(65/E16,3)</f>
        <v>0.79300000000000004</v>
      </c>
      <c r="J16" s="7">
        <f>ROUND(31/E16,3)</f>
        <v>0.378</v>
      </c>
      <c r="K16" s="7">
        <f t="shared" si="0"/>
        <v>9.7214999999999989</v>
      </c>
      <c r="L16" s="7">
        <f>ROUND(1482.2333333333/E16,3)</f>
        <v>18.076000000000001</v>
      </c>
      <c r="M16" s="7">
        <f>ROUND(14/E16,3)</f>
        <v>0.17100000000000001</v>
      </c>
      <c r="N16" s="7" t="s">
        <v>1046</v>
      </c>
      <c r="O16" s="7" t="s">
        <v>1047</v>
      </c>
      <c r="P16" s="7">
        <f>ROUND(432/E16,3)</f>
        <v>5.2679999999999998</v>
      </c>
      <c r="Q16" s="7">
        <f>ROUND(352/E16,3)</f>
        <v>4.2930000000000001</v>
      </c>
      <c r="R16" s="7">
        <f>ROUND(234/E16,3)</f>
        <v>2.8540000000000001</v>
      </c>
      <c r="S16" s="7">
        <f>ROUND(93/E16,3)</f>
        <v>1.1339999999999999</v>
      </c>
      <c r="T16" s="7">
        <f>ROUND(29.11/E16,3)</f>
        <v>0.35499999999999998</v>
      </c>
      <c r="U16" s="7">
        <f>ROUND(56/E16,3)</f>
        <v>0.68300000000000005</v>
      </c>
      <c r="V16" s="7">
        <f>ROUND(23/E16,3)</f>
        <v>0.28000000000000003</v>
      </c>
      <c r="W16" s="7">
        <f>ROUND(29.21/E16,3)</f>
        <v>0.35599999999999998</v>
      </c>
      <c r="X16" s="7">
        <v>0.53</v>
      </c>
      <c r="Y16" s="7">
        <v>0.56999999999999995</v>
      </c>
      <c r="Z16" s="7">
        <v>0.57999999999999996</v>
      </c>
      <c r="AA16" s="7">
        <f>ROUND(74.77/E16,3)</f>
        <v>0.91200000000000003</v>
      </c>
      <c r="AB16" s="7">
        <f>ROUND(28/E16,3)</f>
        <v>0.34100000000000003</v>
      </c>
      <c r="AC16" s="7">
        <v>8481540</v>
      </c>
    </row>
    <row r="17" spans="1:29" ht="15" customHeight="1" x14ac:dyDescent="0.2">
      <c r="A17" s="7" t="s">
        <v>113</v>
      </c>
      <c r="B17" s="7" t="s">
        <v>55</v>
      </c>
      <c r="C17" s="7" t="s">
        <v>61</v>
      </c>
      <c r="D17" s="7">
        <v>29</v>
      </c>
      <c r="E17" s="7">
        <v>80</v>
      </c>
      <c r="F17" s="7">
        <f>ROUND(41/E17,3)</f>
        <v>0.51300000000000001</v>
      </c>
      <c r="G17" s="7">
        <f>ROUND(39/E17,3)</f>
        <v>0.48799999999999999</v>
      </c>
      <c r="H17" s="7">
        <f>ROUND(217/E17,3)</f>
        <v>2.7130000000000001</v>
      </c>
      <c r="I17" s="7">
        <f>ROUND(28/E17,3)</f>
        <v>0.35</v>
      </c>
      <c r="J17" s="7">
        <f>ROUND(52/E17,3)</f>
        <v>0.65</v>
      </c>
      <c r="K17" s="7">
        <f t="shared" si="0"/>
        <v>10.570000000000002</v>
      </c>
      <c r="L17" s="7">
        <f>ROUND(1599.4166666667/E17,3)</f>
        <v>19.992999999999999</v>
      </c>
      <c r="M17" s="7">
        <f>ROUND(24/E17,3)</f>
        <v>0.3</v>
      </c>
      <c r="N17" s="7" t="s">
        <v>1048</v>
      </c>
      <c r="O17" s="7" t="s">
        <v>788</v>
      </c>
      <c r="P17" s="7">
        <f>ROUND(355/E17,3)</f>
        <v>4.4379999999999997</v>
      </c>
      <c r="Q17" s="7">
        <f>ROUND(298/E17,3)</f>
        <v>3.7250000000000001</v>
      </c>
      <c r="R17" s="7">
        <f>ROUND(242/E17,3)</f>
        <v>3.0249999999999999</v>
      </c>
      <c r="S17" s="7">
        <f>ROUND(149/E17,3)</f>
        <v>1.863</v>
      </c>
      <c r="T17" s="7">
        <f>ROUND(33.67/E17,3)</f>
        <v>0.42099999999999999</v>
      </c>
      <c r="U17" s="7">
        <f>ROUND(79/E17,3)</f>
        <v>0.98799999999999999</v>
      </c>
      <c r="V17" s="7">
        <f>ROUND(25/E17,3)</f>
        <v>0.313</v>
      </c>
      <c r="W17" s="7">
        <f>ROUND(34.75/E17,3)</f>
        <v>0.434</v>
      </c>
      <c r="X17" s="7">
        <v>0.59</v>
      </c>
      <c r="Y17" s="7">
        <v>0.57999999999999996</v>
      </c>
      <c r="Z17" s="7">
        <v>0.57999999999999996</v>
      </c>
      <c r="AA17" s="7">
        <f>ROUND(81.43/E17,3)</f>
        <v>1.018</v>
      </c>
      <c r="AB17" s="7">
        <f>ROUND(47/E17,3)</f>
        <v>0.58799999999999997</v>
      </c>
      <c r="AC17" s="7">
        <v>8477404</v>
      </c>
    </row>
    <row r="18" spans="1:29" ht="15" customHeight="1" x14ac:dyDescent="0.2">
      <c r="A18" s="7" t="s">
        <v>117</v>
      </c>
      <c r="B18" s="7" t="s">
        <v>60</v>
      </c>
      <c r="C18" s="7" t="s">
        <v>1049</v>
      </c>
      <c r="D18" s="7">
        <v>26</v>
      </c>
      <c r="E18" s="7">
        <v>81</v>
      </c>
      <c r="F18" s="7">
        <f>ROUND(30/E18,3)</f>
        <v>0.37</v>
      </c>
      <c r="G18" s="7">
        <f>ROUND(60/E18,3)</f>
        <v>0.74099999999999999</v>
      </c>
      <c r="H18" s="7">
        <f>ROUND(218/E18,3)</f>
        <v>2.6909999999999998</v>
      </c>
      <c r="I18" s="7">
        <f>ROUND(11/E18,3)</f>
        <v>0.13600000000000001</v>
      </c>
      <c r="J18" s="7">
        <f>ROUND(30/E18,3)</f>
        <v>0.37</v>
      </c>
      <c r="K18" s="7">
        <f t="shared" si="0"/>
        <v>10.534999999999998</v>
      </c>
      <c r="L18" s="7">
        <f>ROUND(1548.5666666667/E18,3)</f>
        <v>19.117999999999999</v>
      </c>
      <c r="M18" s="7">
        <f>ROUND(28/E18,3)</f>
        <v>0.34599999999999997</v>
      </c>
      <c r="N18" s="7" t="s">
        <v>1050</v>
      </c>
      <c r="O18" s="7" t="s">
        <v>1051</v>
      </c>
      <c r="P18" s="7">
        <f>ROUND(445/E18,3)</f>
        <v>5.4939999999999998</v>
      </c>
      <c r="Q18" s="7">
        <f>ROUND(333/E18,3)</f>
        <v>4.1109999999999998</v>
      </c>
      <c r="R18" s="7">
        <f>ROUND(206/E18,3)</f>
        <v>2.5430000000000001</v>
      </c>
      <c r="S18" s="7">
        <f>ROUND(91/E18,3)</f>
        <v>1.123</v>
      </c>
      <c r="T18" s="7">
        <f>ROUND(27.38/E18,3)</f>
        <v>0.33800000000000002</v>
      </c>
      <c r="U18" s="7">
        <f>ROUND(79/E18,3)</f>
        <v>0.97499999999999998</v>
      </c>
      <c r="V18" s="7">
        <f>ROUND(27/E18,3)</f>
        <v>0.33300000000000002</v>
      </c>
      <c r="W18" s="7">
        <f>ROUND(29.87/E18,3)</f>
        <v>0.36899999999999999</v>
      </c>
      <c r="X18" s="7">
        <v>0.61</v>
      </c>
      <c r="Y18" s="7">
        <v>0.6</v>
      </c>
      <c r="Z18" s="7">
        <v>0.6</v>
      </c>
      <c r="AA18" s="7">
        <f>ROUND(89.6/E18,3)</f>
        <v>1.1060000000000001</v>
      </c>
      <c r="AB18" s="7">
        <f>ROUND(32/E18,3)</f>
        <v>0.39500000000000002</v>
      </c>
      <c r="AC18" s="7">
        <v>8479343</v>
      </c>
    </row>
    <row r="19" spans="1:29" ht="15" customHeight="1" x14ac:dyDescent="0.2">
      <c r="A19" s="7" t="s">
        <v>121</v>
      </c>
      <c r="B19" s="7" t="s">
        <v>55</v>
      </c>
      <c r="C19" s="7" t="s">
        <v>93</v>
      </c>
      <c r="D19" s="7">
        <v>21</v>
      </c>
      <c r="E19" s="7">
        <v>82</v>
      </c>
      <c r="F19" s="7">
        <f>ROUND(33/E19,3)</f>
        <v>0.40200000000000002</v>
      </c>
      <c r="G19" s="7">
        <f>ROUND(38/E19,3)</f>
        <v>0.46300000000000002</v>
      </c>
      <c r="H19" s="7">
        <f>ROUND(202/E19,3)</f>
        <v>2.4630000000000001</v>
      </c>
      <c r="I19" s="7">
        <f>ROUND(45/E19,3)</f>
        <v>0.54900000000000004</v>
      </c>
      <c r="J19" s="7">
        <f>ROUND(47/E19,3)</f>
        <v>0.57299999999999995</v>
      </c>
      <c r="K19" s="7">
        <f t="shared" si="0"/>
        <v>9.3045000000000009</v>
      </c>
      <c r="L19" s="7">
        <f>ROUND(1551.9166666667/E19,3)</f>
        <v>18.925999999999998</v>
      </c>
      <c r="M19" s="7">
        <f>ROUND(14/E19,3)</f>
        <v>0.17100000000000001</v>
      </c>
      <c r="N19" s="7" t="s">
        <v>1052</v>
      </c>
      <c r="O19" s="7" t="s">
        <v>1053</v>
      </c>
      <c r="P19" s="7">
        <f>ROUND(389/E19,3)</f>
        <v>4.7439999999999998</v>
      </c>
      <c r="Q19" s="7">
        <f>ROUND(298/E19,3)</f>
        <v>3.6339999999999999</v>
      </c>
      <c r="R19" s="7">
        <f>ROUND(281/E19,3)</f>
        <v>3.427</v>
      </c>
      <c r="S19" s="7">
        <f>ROUND(145/E19,3)</f>
        <v>1.768</v>
      </c>
      <c r="T19" s="7">
        <f>ROUND(33.51/E19,3)</f>
        <v>0.40899999999999997</v>
      </c>
      <c r="U19" s="7">
        <f>ROUND(57/E19,3)</f>
        <v>0.69499999999999995</v>
      </c>
      <c r="V19" s="7">
        <f>ROUND(29/E19,3)</f>
        <v>0.35399999999999998</v>
      </c>
      <c r="W19" s="7">
        <f>ROUND(29.88/E19,3)</f>
        <v>0.36399999999999999</v>
      </c>
      <c r="X19" s="7">
        <v>0.55000000000000004</v>
      </c>
      <c r="Y19" s="7">
        <v>0.52</v>
      </c>
      <c r="Z19" s="7">
        <v>0.51</v>
      </c>
      <c r="AA19" s="7">
        <f>ROUND(62.76/E19,3)</f>
        <v>0.76500000000000001</v>
      </c>
      <c r="AB19" s="7">
        <f>ROUND(30/E19,3)</f>
        <v>0.36599999999999999</v>
      </c>
      <c r="AC19" s="7">
        <v>8482740</v>
      </c>
    </row>
    <row r="20" spans="1:29" ht="15" customHeight="1" x14ac:dyDescent="0.2">
      <c r="A20" s="7" t="s">
        <v>122</v>
      </c>
      <c r="B20" s="7" t="s">
        <v>92</v>
      </c>
      <c r="C20" s="7" t="s">
        <v>106</v>
      </c>
      <c r="D20" s="7">
        <v>23</v>
      </c>
      <c r="E20" s="7">
        <v>82</v>
      </c>
      <c r="F20" s="7">
        <f>ROUND(27/E20,3)</f>
        <v>0.32900000000000001</v>
      </c>
      <c r="G20" s="7">
        <f>ROUND(46/E20,3)</f>
        <v>0.56100000000000005</v>
      </c>
      <c r="H20" s="7">
        <f>ROUND(272/E20,3)</f>
        <v>3.3170000000000002</v>
      </c>
      <c r="I20" s="7">
        <f>ROUND(51/E20,3)</f>
        <v>0.622</v>
      </c>
      <c r="J20" s="7">
        <f>ROUND(69/E20,3)</f>
        <v>0.84099999999999997</v>
      </c>
      <c r="K20" s="7">
        <f t="shared" si="0"/>
        <v>10.467000000000001</v>
      </c>
      <c r="L20" s="7">
        <f>ROUND(1663.6333333333/E20,3)</f>
        <v>20.288</v>
      </c>
      <c r="M20" s="7">
        <f>ROUND(51/E20,3)</f>
        <v>0.622</v>
      </c>
      <c r="N20" s="7" t="s">
        <v>1054</v>
      </c>
      <c r="O20" s="7" t="s">
        <v>1055</v>
      </c>
      <c r="P20" s="7">
        <f>ROUND(551/E20,3)</f>
        <v>6.72</v>
      </c>
      <c r="Q20" s="7">
        <f>ROUND(426/E20,3)</f>
        <v>5.1950000000000003</v>
      </c>
      <c r="R20" s="7">
        <f>ROUND(262/E20,3)</f>
        <v>3.1949999999999998</v>
      </c>
      <c r="S20" s="7">
        <f>ROUND(105/E20,3)</f>
        <v>1.28</v>
      </c>
      <c r="T20" s="7">
        <f>ROUND(32.05/E20,3)</f>
        <v>0.39100000000000001</v>
      </c>
      <c r="U20" s="7">
        <f>ROUND(84/E20,3)</f>
        <v>1.024</v>
      </c>
      <c r="V20" s="7">
        <f>ROUND(43/E20,3)</f>
        <v>0.52400000000000002</v>
      </c>
      <c r="W20" s="7">
        <f>ROUND(33.7/E20,3)</f>
        <v>0.41099999999999998</v>
      </c>
      <c r="X20" s="7">
        <v>0.61</v>
      </c>
      <c r="Y20" s="7">
        <v>0.56000000000000005</v>
      </c>
      <c r="Z20" s="7">
        <v>0.56999999999999995</v>
      </c>
      <c r="AA20" s="7">
        <f>ROUND(75.51/E20,3)</f>
        <v>0.92100000000000004</v>
      </c>
      <c r="AB20" s="7">
        <f>ROUND(36/E20,3)</f>
        <v>0.439</v>
      </c>
      <c r="AC20" s="7">
        <v>8481557</v>
      </c>
    </row>
    <row r="21" spans="1:29" ht="15" customHeight="1" x14ac:dyDescent="0.2">
      <c r="A21" s="7" t="s">
        <v>126</v>
      </c>
      <c r="B21" s="7" t="s">
        <v>60</v>
      </c>
      <c r="C21" s="7" t="s">
        <v>160</v>
      </c>
      <c r="D21" s="7">
        <v>26</v>
      </c>
      <c r="E21" s="7">
        <v>82</v>
      </c>
      <c r="F21" s="7">
        <f>ROUND(39/E21,3)</f>
        <v>0.47599999999999998</v>
      </c>
      <c r="G21" s="7">
        <f>ROUND(31/E21,3)</f>
        <v>0.378</v>
      </c>
      <c r="H21" s="7">
        <f>ROUND(244/E21,3)</f>
        <v>2.976</v>
      </c>
      <c r="I21" s="7">
        <f>ROUND(33/E21,3)</f>
        <v>0.40200000000000002</v>
      </c>
      <c r="J21" s="7">
        <f>ROUND(38/E21,3)</f>
        <v>0.46300000000000002</v>
      </c>
      <c r="K21" s="7">
        <f t="shared" si="0"/>
        <v>9.7159999999999993</v>
      </c>
      <c r="L21" s="7">
        <f>ROUND(1465.4333333333/E21,3)</f>
        <v>17.870999999999999</v>
      </c>
      <c r="M21" s="7">
        <f>ROUND(29/E21,3)</f>
        <v>0.35399999999999998</v>
      </c>
      <c r="N21" s="7" t="s">
        <v>115</v>
      </c>
      <c r="O21" s="7" t="s">
        <v>909</v>
      </c>
      <c r="P21" s="7">
        <f>ROUND(456/E21,3)</f>
        <v>5.5609999999999999</v>
      </c>
      <c r="Q21" s="7">
        <f>ROUND(358/E21,3)</f>
        <v>4.3659999999999997</v>
      </c>
      <c r="R21" s="7">
        <f>ROUND(249/E21,3)</f>
        <v>3.0369999999999999</v>
      </c>
      <c r="S21" s="7">
        <f>ROUND(99/E21,3)</f>
        <v>1.2070000000000001</v>
      </c>
      <c r="T21" s="7">
        <f>ROUND(31.96/E21,3)</f>
        <v>0.39</v>
      </c>
      <c r="U21" s="7">
        <f>ROUND(71/E21,3)</f>
        <v>0.86599999999999999</v>
      </c>
      <c r="V21" s="7">
        <f>ROUND(29/E21,3)</f>
        <v>0.35399999999999998</v>
      </c>
      <c r="W21" s="7">
        <f>ROUND(32.1/E21,3)</f>
        <v>0.39100000000000001</v>
      </c>
      <c r="X21" s="7">
        <v>0.57999999999999996</v>
      </c>
      <c r="Y21" s="7">
        <v>0.56999999999999995</v>
      </c>
      <c r="Z21" s="7">
        <v>0.57999999999999996</v>
      </c>
      <c r="AA21" s="7">
        <f>ROUND(73.19/E21,3)</f>
        <v>0.89300000000000002</v>
      </c>
      <c r="AB21" s="7">
        <f>ROUND(39/E21,3)</f>
        <v>0.47599999999999998</v>
      </c>
      <c r="AC21" s="7">
        <v>8479337</v>
      </c>
    </row>
    <row r="22" spans="1:29" ht="15" customHeight="1" x14ac:dyDescent="0.2">
      <c r="A22" s="7" t="s">
        <v>130</v>
      </c>
      <c r="B22" s="7" t="s">
        <v>92</v>
      </c>
      <c r="C22" s="7" t="s">
        <v>131</v>
      </c>
      <c r="D22" s="7">
        <v>32</v>
      </c>
      <c r="E22" s="7">
        <v>80</v>
      </c>
      <c r="F22" s="7">
        <f>ROUND(37/E22,3)</f>
        <v>0.46300000000000002</v>
      </c>
      <c r="G22" s="7">
        <f>ROUND(52/E22,3)</f>
        <v>0.65</v>
      </c>
      <c r="H22" s="7">
        <f>ROUND(237/E22,3)</f>
        <v>2.9630000000000001</v>
      </c>
      <c r="I22" s="7">
        <f>ROUND(18/E22,3)</f>
        <v>0.22500000000000001</v>
      </c>
      <c r="J22" s="7">
        <f>ROUND(11/E22,3)</f>
        <v>0.13800000000000001</v>
      </c>
      <c r="K22" s="7">
        <f t="shared" si="0"/>
        <v>10.817500000000001</v>
      </c>
      <c r="L22" s="7">
        <f>ROUND(1574.65/E22,3)</f>
        <v>19.683</v>
      </c>
      <c r="M22" s="7">
        <f>ROUND(16/E22,3)</f>
        <v>0.2</v>
      </c>
      <c r="N22" s="7" t="s">
        <v>1056</v>
      </c>
      <c r="O22" s="7" t="s">
        <v>1057</v>
      </c>
      <c r="P22" s="7">
        <f>ROUND(586/E22,3)</f>
        <v>7.3250000000000002</v>
      </c>
      <c r="Q22" s="7">
        <f>ROUND(398/E22,3)</f>
        <v>4.9749999999999996</v>
      </c>
      <c r="R22" s="7">
        <f>ROUND(263/E22,3)</f>
        <v>3.2879999999999998</v>
      </c>
      <c r="S22" s="7">
        <f>ROUND(54/E22,3)</f>
        <v>0.67500000000000004</v>
      </c>
      <c r="T22" s="7">
        <f>ROUND(26.33/E22,3)</f>
        <v>0.32900000000000001</v>
      </c>
      <c r="U22" s="7">
        <f>ROUND(97/E22,3)</f>
        <v>1.2130000000000001</v>
      </c>
      <c r="V22" s="7">
        <f>ROUND(25/E22,3)</f>
        <v>0.313</v>
      </c>
      <c r="W22" s="7">
        <f>ROUND(25.37/E22,3)</f>
        <v>0.317</v>
      </c>
      <c r="X22" s="7">
        <v>0.56999999999999995</v>
      </c>
      <c r="Y22" s="7">
        <v>0.61</v>
      </c>
      <c r="Z22" s="7">
        <v>0.61</v>
      </c>
      <c r="AA22" s="7">
        <f>ROUND(89.02/E22,3)</f>
        <v>1.113</v>
      </c>
      <c r="AB22" s="7">
        <f>ROUND(20/E22,3)</f>
        <v>0.25</v>
      </c>
      <c r="AC22" s="7">
        <v>8478550</v>
      </c>
    </row>
    <row r="23" spans="1:29" ht="15" customHeight="1" x14ac:dyDescent="0.2">
      <c r="A23" s="7" t="s">
        <v>134</v>
      </c>
      <c r="B23" s="7" t="s">
        <v>55</v>
      </c>
      <c r="C23" s="7" t="s">
        <v>135</v>
      </c>
      <c r="D23" s="7">
        <v>22</v>
      </c>
      <c r="E23" s="7">
        <v>82</v>
      </c>
      <c r="F23" s="7">
        <f>ROUND(24/E23,3)</f>
        <v>0.29299999999999998</v>
      </c>
      <c r="G23" s="7">
        <f>ROUND(55/E23,3)</f>
        <v>0.67100000000000004</v>
      </c>
      <c r="H23" s="7">
        <f>ROUND(162/E23,3)</f>
        <v>1.976</v>
      </c>
      <c r="I23" s="7">
        <f>ROUND(128/E23,3)</f>
        <v>1.5609999999999999</v>
      </c>
      <c r="J23" s="7">
        <f>ROUND(45/E23,3)</f>
        <v>0.54900000000000004</v>
      </c>
      <c r="K23" s="7">
        <f t="shared" si="0"/>
        <v>9.6754999999999995</v>
      </c>
      <c r="L23" s="7">
        <f>ROUND(1624.6666666667/E23,3)</f>
        <v>19.812999999999999</v>
      </c>
      <c r="M23" s="7">
        <f>ROUND(46/E23,3)</f>
        <v>0.56100000000000005</v>
      </c>
      <c r="N23" s="7" t="s">
        <v>1058</v>
      </c>
      <c r="O23" s="7" t="s">
        <v>805</v>
      </c>
      <c r="P23" s="7">
        <f>ROUND(326/E23,3)</f>
        <v>3.976</v>
      </c>
      <c r="Q23" s="7">
        <f>ROUND(230/E23,3)</f>
        <v>2.8050000000000002</v>
      </c>
      <c r="R23" s="7">
        <f>ROUND(186/E23,3)</f>
        <v>2.2679999999999998</v>
      </c>
      <c r="S23" s="7">
        <f>ROUND(68/E23,3)</f>
        <v>0.82899999999999996</v>
      </c>
      <c r="T23" s="7">
        <f>ROUND(19.37/E23,3)</f>
        <v>0.23599999999999999</v>
      </c>
      <c r="U23" s="7">
        <f>ROUND(69/E23,3)</f>
        <v>0.84099999999999997</v>
      </c>
      <c r="V23" s="7">
        <f>ROUND(23/E23,3)</f>
        <v>0.28000000000000003</v>
      </c>
      <c r="W23" s="7">
        <f>ROUND(20.2/E23,3)</f>
        <v>0.246</v>
      </c>
      <c r="X23" s="7">
        <v>0.6</v>
      </c>
      <c r="Y23" s="7">
        <v>0.61</v>
      </c>
      <c r="Z23" s="7">
        <v>0.62</v>
      </c>
      <c r="AA23" s="7">
        <f>ROUND(80.87/E23,3)</f>
        <v>0.98599999999999999</v>
      </c>
      <c r="AB23" s="7">
        <f>ROUND(21/E23,3)</f>
        <v>0.25600000000000001</v>
      </c>
      <c r="AC23" s="7">
        <v>8482116</v>
      </c>
    </row>
    <row r="24" spans="1:29" ht="15" customHeight="1" x14ac:dyDescent="0.2">
      <c r="A24" s="7" t="s">
        <v>137</v>
      </c>
      <c r="B24" s="7" t="s">
        <v>55</v>
      </c>
      <c r="C24" s="7" t="s">
        <v>138</v>
      </c>
      <c r="D24" s="7">
        <v>26</v>
      </c>
      <c r="E24" s="7">
        <v>76</v>
      </c>
      <c r="F24" s="7">
        <f>ROUND(44/E24,3)</f>
        <v>0.57899999999999996</v>
      </c>
      <c r="G24" s="7">
        <f>ROUND(28/E24,3)</f>
        <v>0.36799999999999999</v>
      </c>
      <c r="H24" s="7">
        <f>ROUND(242/E24,3)</f>
        <v>3.1840000000000002</v>
      </c>
      <c r="I24" s="7">
        <f>ROUND(70/E24,3)</f>
        <v>0.92100000000000004</v>
      </c>
      <c r="J24" s="7">
        <f>ROUND(31/E24,3)</f>
        <v>0.40799999999999997</v>
      </c>
      <c r="K24" s="7">
        <f t="shared" si="0"/>
        <v>10.8925</v>
      </c>
      <c r="L24" s="7">
        <f>ROUND(1425.4833333333/E24,3)</f>
        <v>18.756</v>
      </c>
      <c r="M24" s="7">
        <f>ROUND(35/E24,3)</f>
        <v>0.46100000000000002</v>
      </c>
      <c r="N24" s="7" t="s">
        <v>1060</v>
      </c>
      <c r="O24" s="7" t="s">
        <v>524</v>
      </c>
      <c r="P24" s="7">
        <f>ROUND(506/E24,3)</f>
        <v>6.6580000000000004</v>
      </c>
      <c r="Q24" s="7">
        <f>ROUND(355/E24,3)</f>
        <v>4.6710000000000003</v>
      </c>
      <c r="R24" s="7">
        <f>ROUND(214/E24,3)</f>
        <v>2.8159999999999998</v>
      </c>
      <c r="S24" s="7">
        <f>ROUND(79/E24,3)</f>
        <v>1.0389999999999999</v>
      </c>
      <c r="T24" s="7">
        <f>ROUND(23.37/E24,3)</f>
        <v>0.308</v>
      </c>
      <c r="U24" s="7">
        <f>ROUND(54/E24,3)</f>
        <v>0.71099999999999997</v>
      </c>
      <c r="V24" s="7">
        <f>ROUND(21/E24,3)</f>
        <v>0.27600000000000002</v>
      </c>
      <c r="W24" s="7">
        <f>ROUND(24.46/E24,3)</f>
        <v>0.32200000000000001</v>
      </c>
      <c r="X24" s="7">
        <v>0.56999999999999995</v>
      </c>
      <c r="Y24" s="7">
        <v>0.56999999999999995</v>
      </c>
      <c r="Z24" s="7">
        <v>0.56999999999999995</v>
      </c>
      <c r="AA24" s="7">
        <f>ROUND(73.23/E24,3)</f>
        <v>0.96399999999999997</v>
      </c>
      <c r="AB24" s="7">
        <f>ROUND(24/E24,3)</f>
        <v>0.316</v>
      </c>
      <c r="AC24" s="7">
        <v>8479420</v>
      </c>
    </row>
    <row r="25" spans="1:29" ht="15" customHeight="1" x14ac:dyDescent="0.2">
      <c r="A25" s="7" t="s">
        <v>141</v>
      </c>
      <c r="B25" s="7" t="s">
        <v>55</v>
      </c>
      <c r="C25" s="7" t="s">
        <v>80</v>
      </c>
      <c r="D25" s="7">
        <v>27</v>
      </c>
      <c r="E25" s="7">
        <v>79</v>
      </c>
      <c r="F25" s="7">
        <f>ROUND(29/E25,3)</f>
        <v>0.36699999999999999</v>
      </c>
      <c r="G25" s="7">
        <f>ROUND(45/E25,3)</f>
        <v>0.56999999999999995</v>
      </c>
      <c r="H25" s="7">
        <f>ROUND(207/E25,3)</f>
        <v>2.62</v>
      </c>
      <c r="I25" s="7">
        <f>ROUND(59/E25,3)</f>
        <v>0.747</v>
      </c>
      <c r="J25" s="7">
        <f>ROUND(30/E25,3)</f>
        <v>0.38</v>
      </c>
      <c r="K25" s="7">
        <f t="shared" si="0"/>
        <v>9.7294999999999998</v>
      </c>
      <c r="L25" s="7">
        <f>ROUND(1587.9166666667/E25,3)</f>
        <v>20.100000000000001</v>
      </c>
      <c r="M25" s="7">
        <f>ROUND(46/E25,3)</f>
        <v>0.58199999999999996</v>
      </c>
      <c r="N25" s="7" t="s">
        <v>687</v>
      </c>
      <c r="O25" s="7" t="s">
        <v>923</v>
      </c>
      <c r="P25" s="7">
        <f>ROUND(447/E25,3)</f>
        <v>5.6580000000000004</v>
      </c>
      <c r="Q25" s="7">
        <f>ROUND(338/E25,3)</f>
        <v>4.2779999999999996</v>
      </c>
      <c r="R25" s="7">
        <f>ROUND(258/E25,3)</f>
        <v>3.266</v>
      </c>
      <c r="S25" s="7">
        <f>ROUND(87/E25,3)</f>
        <v>1.101</v>
      </c>
      <c r="T25" s="7">
        <f>ROUND(25.32/E25,3)</f>
        <v>0.32100000000000001</v>
      </c>
      <c r="U25" s="7">
        <f>ROUND(93/E25,3)</f>
        <v>1.177</v>
      </c>
      <c r="V25" s="7">
        <f>ROUND(23/E25,3)</f>
        <v>0.29099999999999998</v>
      </c>
      <c r="W25" s="7">
        <f>ROUND(24.86/E25,3)</f>
        <v>0.315</v>
      </c>
      <c r="X25" s="7">
        <v>0.6</v>
      </c>
      <c r="Y25" s="7">
        <v>0.63</v>
      </c>
      <c r="Z25" s="7">
        <v>0.63</v>
      </c>
      <c r="AA25" s="7">
        <f>ROUND(90.91/E25,3)</f>
        <v>1.151</v>
      </c>
      <c r="AB25" s="7">
        <f>ROUND(20/E25,3)</f>
        <v>0.253</v>
      </c>
      <c r="AC25" s="7">
        <v>8478427</v>
      </c>
    </row>
    <row r="26" spans="1:29" ht="15" customHeight="1" x14ac:dyDescent="0.2">
      <c r="A26" s="7" t="s">
        <v>144</v>
      </c>
      <c r="B26" s="7" t="s">
        <v>60</v>
      </c>
      <c r="C26" s="7" t="s">
        <v>146</v>
      </c>
      <c r="D26" s="7">
        <v>27</v>
      </c>
      <c r="E26" s="7">
        <v>81</v>
      </c>
      <c r="F26" s="7">
        <f>ROUND(27/E26,3)</f>
        <v>0.33300000000000002</v>
      </c>
      <c r="G26" s="7">
        <f>ROUND(75/E26,3)</f>
        <v>0.92600000000000005</v>
      </c>
      <c r="H26" s="7">
        <f>ROUND(173/E26,3)</f>
        <v>2.1360000000000001</v>
      </c>
      <c r="I26" s="7">
        <f>ROUND(49/E26,3)</f>
        <v>0.60499999999999998</v>
      </c>
      <c r="J26" s="7">
        <f>ROUND(40/E26,3)</f>
        <v>0.49399999999999999</v>
      </c>
      <c r="K26" s="7">
        <f t="shared" si="0"/>
        <v>11.152500000000002</v>
      </c>
      <c r="L26" s="7">
        <f>ROUND(1726.55/E26,3)</f>
        <v>21.315000000000001</v>
      </c>
      <c r="M26" s="7">
        <f>ROUND(14/E26,3)</f>
        <v>0.17299999999999999</v>
      </c>
      <c r="N26" s="7" t="s">
        <v>593</v>
      </c>
      <c r="O26" s="7" t="s">
        <v>1057</v>
      </c>
      <c r="P26" s="7">
        <f>ROUND(393/E26,3)</f>
        <v>4.8520000000000003</v>
      </c>
      <c r="Q26" s="7">
        <f>ROUND(263/E26,3)</f>
        <v>3.2469999999999999</v>
      </c>
      <c r="R26" s="7">
        <f>ROUND(201/E26,3)</f>
        <v>2.4809999999999999</v>
      </c>
      <c r="S26" s="7">
        <f>ROUND(61/E26,3)</f>
        <v>0.753</v>
      </c>
      <c r="T26" s="7">
        <f>ROUND(19.92/E26,3)</f>
        <v>0.246</v>
      </c>
      <c r="U26" s="7">
        <f>ROUND(106/E26,3)</f>
        <v>1.3089999999999999</v>
      </c>
      <c r="V26" s="7">
        <f>ROUND(56/E26,3)</f>
        <v>0.69099999999999995</v>
      </c>
      <c r="W26" s="7">
        <f>ROUND(23.73/E26,3)</f>
        <v>0.29299999999999998</v>
      </c>
      <c r="X26" s="7">
        <v>0.53</v>
      </c>
      <c r="Y26" s="7">
        <v>0.51</v>
      </c>
      <c r="Z26" s="7">
        <v>0.52</v>
      </c>
      <c r="AA26" s="7">
        <f>ROUND(87.64/E26,3)</f>
        <v>1.0820000000000001</v>
      </c>
      <c r="AB26" s="7">
        <f>ROUND(30/E26,3)</f>
        <v>0.37</v>
      </c>
      <c r="AC26" s="7">
        <v>8478483</v>
      </c>
    </row>
    <row r="27" spans="1:29" ht="15" customHeight="1" x14ac:dyDescent="0.2">
      <c r="A27" s="7" t="s">
        <v>145</v>
      </c>
      <c r="B27" s="7" t="s">
        <v>60</v>
      </c>
      <c r="C27" s="7" t="s">
        <v>146</v>
      </c>
      <c r="D27" s="7">
        <v>28</v>
      </c>
      <c r="E27" s="7">
        <v>82</v>
      </c>
      <c r="F27" s="7">
        <f>ROUND(45/E27,3)</f>
        <v>0.54900000000000004</v>
      </c>
      <c r="G27" s="7">
        <f>ROUND(39/E27,3)</f>
        <v>0.47599999999999998</v>
      </c>
      <c r="H27" s="7">
        <f>ROUND(253/E27,3)</f>
        <v>3.085</v>
      </c>
      <c r="I27" s="7">
        <f>ROUND(14/E27,3)</f>
        <v>0.17100000000000001</v>
      </c>
      <c r="J27" s="7">
        <f>ROUND(27/E27,3)</f>
        <v>0.32900000000000001</v>
      </c>
      <c r="K27" s="7">
        <f t="shared" si="0"/>
        <v>10.7475</v>
      </c>
      <c r="L27" s="7">
        <f>ROUND(1599.7833333333/E27,3)</f>
        <v>19.510000000000002</v>
      </c>
      <c r="M27" s="7">
        <f>ROUND(26/E27,3)</f>
        <v>0.317</v>
      </c>
      <c r="N27" s="7" t="s">
        <v>1061</v>
      </c>
      <c r="O27" s="7" t="s">
        <v>1062</v>
      </c>
      <c r="P27" s="7">
        <f>ROUND(467/E27,3)</f>
        <v>5.6950000000000003</v>
      </c>
      <c r="Q27" s="7">
        <f>ROUND(352/E27,3)</f>
        <v>4.2930000000000001</v>
      </c>
      <c r="R27" s="7">
        <f>ROUND(234/E27,3)</f>
        <v>2.8540000000000001</v>
      </c>
      <c r="S27" s="7">
        <f>ROUND(91/E27,3)</f>
        <v>1.1100000000000001</v>
      </c>
      <c r="T27" s="7">
        <f>ROUND(30.91/E27,3)</f>
        <v>0.377</v>
      </c>
      <c r="U27" s="7">
        <f>ROUND(79/E27,3)</f>
        <v>0.96299999999999997</v>
      </c>
      <c r="V27" s="7">
        <f>ROUND(28/E27,3)</f>
        <v>0.34100000000000003</v>
      </c>
      <c r="W27" s="7">
        <f>ROUND(31.18/E27,3)</f>
        <v>0.38</v>
      </c>
      <c r="X27" s="7">
        <v>0.56999999999999995</v>
      </c>
      <c r="Y27" s="7">
        <v>0.55000000000000004</v>
      </c>
      <c r="Z27" s="7">
        <v>0.55000000000000004</v>
      </c>
      <c r="AA27" s="7">
        <f>ROUND(77.47/E27,3)</f>
        <v>0.94499999999999995</v>
      </c>
      <c r="AB27" s="7">
        <f>ROUND(38/E27,3)</f>
        <v>0.46300000000000002</v>
      </c>
      <c r="AC27" s="7">
        <v>8477939</v>
      </c>
    </row>
    <row r="28" spans="1:29" ht="15" customHeight="1" x14ac:dyDescent="0.2">
      <c r="A28" s="7" t="s">
        <v>149</v>
      </c>
      <c r="B28" s="7" t="s">
        <v>55</v>
      </c>
      <c r="C28" s="7" t="s">
        <v>131</v>
      </c>
      <c r="D28" s="7">
        <v>31</v>
      </c>
      <c r="E28" s="7">
        <v>82</v>
      </c>
      <c r="F28" s="7">
        <f>ROUND(20/E28,3)</f>
        <v>0.24399999999999999</v>
      </c>
      <c r="G28" s="7">
        <f>ROUND(42/E28,3)</f>
        <v>0.51200000000000001</v>
      </c>
      <c r="H28" s="7">
        <f>ROUND(183/E28,3)</f>
        <v>2.2320000000000002</v>
      </c>
      <c r="I28" s="7">
        <f>ROUND(44/E28,3)</f>
        <v>0.53700000000000003</v>
      </c>
      <c r="J28" s="7">
        <f>ROUND(46/E28,3)</f>
        <v>0.56100000000000005</v>
      </c>
      <c r="K28" s="7">
        <f t="shared" si="0"/>
        <v>8.0854999999999997</v>
      </c>
      <c r="L28" s="7">
        <f>ROUND(1538.5166666667/E28,3)</f>
        <v>18.762</v>
      </c>
      <c r="M28" s="7">
        <f>ROUND(22/E28,3)</f>
        <v>0.26800000000000002</v>
      </c>
      <c r="N28" s="7" t="s">
        <v>1063</v>
      </c>
      <c r="O28" s="7" t="s">
        <v>1064</v>
      </c>
      <c r="P28" s="7">
        <f>ROUND(383/E28,3)</f>
        <v>4.6710000000000003</v>
      </c>
      <c r="Q28" s="7">
        <f>ROUND(304/E28,3)</f>
        <v>3.7069999999999999</v>
      </c>
      <c r="R28" s="7">
        <f>ROUND(181/E28,3)</f>
        <v>2.2069999999999999</v>
      </c>
      <c r="S28" s="7">
        <f>ROUND(72/E28,3)</f>
        <v>0.878</v>
      </c>
      <c r="T28" s="7">
        <f>ROUND(24.01/E28,3)</f>
        <v>0.29299999999999998</v>
      </c>
      <c r="U28" s="7">
        <f>ROUND(83/E28,3)</f>
        <v>1.012</v>
      </c>
      <c r="V28" s="7">
        <f>ROUND(29/E28,3)</f>
        <v>0.35399999999999998</v>
      </c>
      <c r="W28" s="7">
        <f>ROUND(24.53/E28,3)</f>
        <v>0.29899999999999999</v>
      </c>
      <c r="X28" s="7">
        <v>0.52</v>
      </c>
      <c r="Y28" s="7">
        <v>0.53</v>
      </c>
      <c r="Z28" s="7">
        <v>0.54</v>
      </c>
      <c r="AA28" s="7">
        <f>ROUND(55.04/E28,3)</f>
        <v>0.67100000000000004</v>
      </c>
      <c r="AB28" s="7">
        <f>ROUND(32/E28,3)</f>
        <v>0.39</v>
      </c>
      <c r="AC28" s="7">
        <v>8476459</v>
      </c>
    </row>
    <row r="29" spans="1:29" ht="15" customHeight="1" x14ac:dyDescent="0.2">
      <c r="A29" s="7" t="s">
        <v>152</v>
      </c>
      <c r="B29" s="7" t="s">
        <v>55</v>
      </c>
      <c r="C29" s="7" t="s">
        <v>153</v>
      </c>
      <c r="D29" s="7">
        <v>23</v>
      </c>
      <c r="E29" s="7">
        <v>62</v>
      </c>
      <c r="F29" s="7">
        <f>ROUND(27/E29,3)</f>
        <v>0.435</v>
      </c>
      <c r="G29" s="7">
        <f>ROUND(43/E29,3)</f>
        <v>0.69399999999999995</v>
      </c>
      <c r="H29" s="7">
        <f>ROUND(229/E29,3)</f>
        <v>3.694</v>
      </c>
      <c r="I29" s="7">
        <f>ROUND(6/E29,3)</f>
        <v>9.7000000000000003E-2</v>
      </c>
      <c r="J29" s="7">
        <f>ROUND(29/E29,3)</f>
        <v>0.46800000000000003</v>
      </c>
      <c r="K29" s="7">
        <f t="shared" si="0"/>
        <v>11.854500000000002</v>
      </c>
      <c r="L29" s="7">
        <f>ROUND(1295.85/E29,3)</f>
        <v>20.901</v>
      </c>
      <c r="M29" s="7">
        <f>ROUND(18/E29,3)</f>
        <v>0.28999999999999998</v>
      </c>
      <c r="N29" s="7" t="s">
        <v>73</v>
      </c>
      <c r="O29" s="7" t="s">
        <v>814</v>
      </c>
      <c r="P29" s="7">
        <f>ROUND(465/E29,3)</f>
        <v>7.5</v>
      </c>
      <c r="Q29" s="7">
        <f>ROUND(321/E29,3)</f>
        <v>5.1769999999999996</v>
      </c>
      <c r="R29" s="7">
        <f>ROUND(231/E29,3)</f>
        <v>3.726</v>
      </c>
      <c r="S29" s="7">
        <f>ROUND(74/E29,3)</f>
        <v>1.194</v>
      </c>
      <c r="T29" s="7">
        <f>ROUND(23.29/E29,3)</f>
        <v>0.376</v>
      </c>
      <c r="U29" s="7">
        <f>ROUND(87/E29,3)</f>
        <v>1.403</v>
      </c>
      <c r="V29" s="7">
        <f>ROUND(22/E29,3)</f>
        <v>0.35499999999999998</v>
      </c>
      <c r="W29" s="7">
        <f>ROUND(25.43/E29,3)</f>
        <v>0.41</v>
      </c>
      <c r="X29" s="7">
        <v>0.65</v>
      </c>
      <c r="Y29" s="7">
        <v>0.62</v>
      </c>
      <c r="Z29" s="7">
        <v>0.61</v>
      </c>
      <c r="AA29" s="7">
        <f>ROUND(79.12/E29,3)</f>
        <v>1.276</v>
      </c>
      <c r="AB29" s="7">
        <f>ROUND(27/E29,3)</f>
        <v>0.435</v>
      </c>
      <c r="AC29" s="7">
        <v>8481559</v>
      </c>
    </row>
    <row r="30" spans="1:29" ht="15" customHeight="1" x14ac:dyDescent="0.2">
      <c r="A30" s="7" t="s">
        <v>156</v>
      </c>
      <c r="B30" s="7" t="s">
        <v>60</v>
      </c>
      <c r="C30" s="7" t="s">
        <v>1065</v>
      </c>
      <c r="D30" s="7">
        <v>27</v>
      </c>
      <c r="E30" s="7">
        <v>82</v>
      </c>
      <c r="F30" s="7">
        <f>ROUND(32/E30,3)</f>
        <v>0.39</v>
      </c>
      <c r="G30" s="7">
        <f>ROUND(56/E30,3)</f>
        <v>0.68300000000000005</v>
      </c>
      <c r="H30" s="7">
        <f>ROUND(212/E30,3)</f>
        <v>2.585</v>
      </c>
      <c r="I30" s="7">
        <f>ROUND(48/E30,3)</f>
        <v>0.58499999999999996</v>
      </c>
      <c r="J30" s="7">
        <f>ROUND(44/E30,3)</f>
        <v>0.53700000000000003</v>
      </c>
      <c r="K30" s="7">
        <f t="shared" si="0"/>
        <v>10.632500000000002</v>
      </c>
      <c r="L30" s="7">
        <f>ROUND(1742.4333333333/E30,3)</f>
        <v>21.248999999999999</v>
      </c>
      <c r="M30" s="7">
        <f>ROUND(60/E30,3)</f>
        <v>0.73199999999999998</v>
      </c>
      <c r="N30" s="7" t="s">
        <v>1066</v>
      </c>
      <c r="O30" s="7" t="s">
        <v>340</v>
      </c>
      <c r="P30" s="7">
        <f>ROUND(444/E30,3)</f>
        <v>5.415</v>
      </c>
      <c r="Q30" s="7">
        <f>ROUND(335/E30,3)</f>
        <v>4.085</v>
      </c>
      <c r="R30" s="7">
        <f>ROUND(266/E30,3)</f>
        <v>3.2440000000000002</v>
      </c>
      <c r="S30" s="7">
        <f>ROUND(113/E30,3)</f>
        <v>1.3779999999999999</v>
      </c>
      <c r="T30" s="7">
        <f>ROUND(35.33/E30,3)</f>
        <v>0.43099999999999999</v>
      </c>
      <c r="U30" s="7">
        <f>ROUND(82/E30,3)</f>
        <v>1</v>
      </c>
      <c r="V30" s="7">
        <f>ROUND(40/E30,3)</f>
        <v>0.48799999999999999</v>
      </c>
      <c r="W30" s="7">
        <f>ROUND(36.26/E30,3)</f>
        <v>0.442</v>
      </c>
      <c r="X30" s="7">
        <v>0.6</v>
      </c>
      <c r="Y30" s="7">
        <v>0.6</v>
      </c>
      <c r="Z30" s="7">
        <v>0.59</v>
      </c>
      <c r="AA30" s="7">
        <f>ROUND(89.3/E30,3)</f>
        <v>1.089</v>
      </c>
      <c r="AB30" s="7">
        <f>ROUND(48/E30,3)</f>
        <v>0.58499999999999996</v>
      </c>
      <c r="AC30" s="7">
        <v>8478420</v>
      </c>
    </row>
    <row r="31" spans="1:29" ht="15" customHeight="1" x14ac:dyDescent="0.2">
      <c r="A31" s="7" t="s">
        <v>159</v>
      </c>
      <c r="B31" s="7" t="s">
        <v>92</v>
      </c>
      <c r="C31" s="7" t="s">
        <v>160</v>
      </c>
      <c r="D31" s="7">
        <v>22</v>
      </c>
      <c r="E31" s="7">
        <v>82</v>
      </c>
      <c r="F31" s="7">
        <f>ROUND(27/E31,3)</f>
        <v>0.32900000000000001</v>
      </c>
      <c r="G31" s="7">
        <f>ROUND(53/E31,3)</f>
        <v>0.64600000000000002</v>
      </c>
      <c r="H31" s="7">
        <f>ROUND(192/E31,3)</f>
        <v>2.3410000000000002</v>
      </c>
      <c r="I31" s="7">
        <f>ROUND(42/E31,3)</f>
        <v>0.51200000000000001</v>
      </c>
      <c r="J31" s="7">
        <f>ROUND(34/E31,3)</f>
        <v>0.41499999999999998</v>
      </c>
      <c r="K31" s="7">
        <f t="shared" si="0"/>
        <v>9.52</v>
      </c>
      <c r="L31" s="7">
        <f>ROUND(1540.2333333333/E31,3)</f>
        <v>18.783000000000001</v>
      </c>
      <c r="M31" s="7">
        <f>ROUND(18/E31,3)</f>
        <v>0.22</v>
      </c>
      <c r="N31" s="7" t="s">
        <v>1067</v>
      </c>
      <c r="O31" s="7" t="s">
        <v>1068</v>
      </c>
      <c r="P31" s="7">
        <f>ROUND(382/E31,3)</f>
        <v>4.6589999999999998</v>
      </c>
      <c r="Q31" s="7">
        <f>ROUND(283/E31,3)</f>
        <v>3.4510000000000001</v>
      </c>
      <c r="R31" s="7">
        <f>ROUND(226/E31,3)</f>
        <v>2.7559999999999998</v>
      </c>
      <c r="S31" s="7">
        <f>ROUND(75/E31,3)</f>
        <v>0.91500000000000004</v>
      </c>
      <c r="T31" s="7">
        <f>ROUND(23.51/E31,3)</f>
        <v>0.28699999999999998</v>
      </c>
      <c r="U31" s="7">
        <f>ROUND(80/E31,3)</f>
        <v>0.97599999999999998</v>
      </c>
      <c r="V31" s="7">
        <f>ROUND(28/E31,3)</f>
        <v>0.34100000000000003</v>
      </c>
      <c r="W31" s="7">
        <f>ROUND(24.67/E31,3)</f>
        <v>0.30099999999999999</v>
      </c>
      <c r="X31" s="7">
        <v>0.57999999999999996</v>
      </c>
      <c r="Y31" s="7">
        <v>0.56999999999999995</v>
      </c>
      <c r="Z31" s="7">
        <v>0.56999999999999995</v>
      </c>
      <c r="AA31" s="7">
        <f>ROUND(75.34/E31,3)</f>
        <v>0.91900000000000004</v>
      </c>
      <c r="AB31" s="7">
        <f>ROUND(24/E31,3)</f>
        <v>0.29299999999999998</v>
      </c>
      <c r="AC31" s="7">
        <v>8482078</v>
      </c>
    </row>
    <row r="32" spans="1:29" ht="15" customHeight="1" x14ac:dyDescent="0.2">
      <c r="A32" s="7" t="s">
        <v>163</v>
      </c>
      <c r="B32" s="7" t="s">
        <v>92</v>
      </c>
      <c r="C32" s="7" t="s">
        <v>164</v>
      </c>
      <c r="D32" s="7">
        <v>30</v>
      </c>
      <c r="E32" s="7">
        <v>82</v>
      </c>
      <c r="F32" s="7">
        <f>ROUND(31/E32,3)</f>
        <v>0.378</v>
      </c>
      <c r="G32" s="7">
        <f>ROUND(45/E32,3)</f>
        <v>0.54900000000000004</v>
      </c>
      <c r="H32" s="7">
        <f>ROUND(281/E32,3)</f>
        <v>3.427</v>
      </c>
      <c r="I32" s="7">
        <f>ROUND(150/E32,3)</f>
        <v>1.829</v>
      </c>
      <c r="J32" s="7">
        <f>ROUND(52/E32,3)</f>
        <v>0.63400000000000001</v>
      </c>
      <c r="K32" s="7">
        <f t="shared" si="0"/>
        <v>11.293500000000002</v>
      </c>
      <c r="L32" s="7">
        <f>ROUND(1527.4833333333/E32,3)</f>
        <v>18.628</v>
      </c>
      <c r="M32" s="7">
        <f>ROUND(44/E32,3)</f>
        <v>0.53700000000000003</v>
      </c>
      <c r="N32" s="7" t="s">
        <v>1069</v>
      </c>
      <c r="O32" s="7" t="s">
        <v>1070</v>
      </c>
      <c r="P32" s="7">
        <f>ROUND(602/E32,3)</f>
        <v>7.3410000000000002</v>
      </c>
      <c r="Q32" s="7">
        <f>ROUND(437/E32,3)</f>
        <v>5.3289999999999997</v>
      </c>
      <c r="R32" s="7">
        <f>ROUND(265/E32,3)</f>
        <v>3.2320000000000002</v>
      </c>
      <c r="S32" s="7">
        <f>ROUND(96/E32,3)</f>
        <v>1.171</v>
      </c>
      <c r="T32" s="7">
        <f>ROUND(31.77/E32,3)</f>
        <v>0.38700000000000001</v>
      </c>
      <c r="U32" s="7">
        <f>ROUND(113/E32,3)</f>
        <v>1.3779999999999999</v>
      </c>
      <c r="V32" s="7">
        <f>ROUND(38/E32,3)</f>
        <v>0.46300000000000002</v>
      </c>
      <c r="W32" s="7">
        <f>ROUND(32.29/E32,3)</f>
        <v>0.39400000000000002</v>
      </c>
      <c r="X32" s="7">
        <v>0.57999999999999996</v>
      </c>
      <c r="Y32" s="7">
        <v>0.59</v>
      </c>
      <c r="Z32" s="7">
        <v>0.57999999999999996</v>
      </c>
      <c r="AA32" s="7">
        <f>ROUND(76.08/E32,3)</f>
        <v>0.92800000000000005</v>
      </c>
      <c r="AB32" s="7">
        <f>ROUND(36/E32,3)</f>
        <v>0.439</v>
      </c>
      <c r="AC32" s="7">
        <v>8476887</v>
      </c>
    </row>
    <row r="33" spans="1:29" ht="15" customHeight="1" x14ac:dyDescent="0.2">
      <c r="A33" s="7" t="s">
        <v>167</v>
      </c>
      <c r="B33" s="7" t="s">
        <v>55</v>
      </c>
      <c r="C33" s="7" t="s">
        <v>127</v>
      </c>
      <c r="D33" s="7">
        <v>19</v>
      </c>
      <c r="E33" s="7">
        <v>82</v>
      </c>
      <c r="F33" s="7">
        <f>ROUND(23/E33,3)</f>
        <v>0.28000000000000003</v>
      </c>
      <c r="G33" s="7">
        <f>ROUND(44/E33,3)</f>
        <v>0.53700000000000003</v>
      </c>
      <c r="H33" s="7">
        <f>ROUND(195/E33,3)</f>
        <v>2.3780000000000001</v>
      </c>
      <c r="I33" s="7">
        <f>ROUND(47/E33,3)</f>
        <v>0.57299999999999995</v>
      </c>
      <c r="J33" s="7">
        <f>ROUND(37/E33,3)</f>
        <v>0.45100000000000001</v>
      </c>
      <c r="K33" s="7">
        <f t="shared" si="0"/>
        <v>8.5775000000000006</v>
      </c>
      <c r="L33" s="7">
        <f>ROUND(1663.4166666667/E33,3)</f>
        <v>20.286000000000001</v>
      </c>
      <c r="M33" s="7">
        <f>ROUND(70/E33,3)</f>
        <v>0.85399999999999998</v>
      </c>
      <c r="N33" s="7" t="s">
        <v>1071</v>
      </c>
      <c r="O33" s="7" t="s">
        <v>814</v>
      </c>
      <c r="P33" s="7">
        <f>ROUND(402/E33,3)</f>
        <v>4.9020000000000001</v>
      </c>
      <c r="Q33" s="7">
        <f>ROUND(288/E33,3)</f>
        <v>3.512</v>
      </c>
      <c r="R33" s="7">
        <f>ROUND(201/E33,3)</f>
        <v>2.4510000000000001</v>
      </c>
      <c r="S33" s="7">
        <f>ROUND(45/E33,3)</f>
        <v>0.54900000000000004</v>
      </c>
      <c r="T33" s="7">
        <f>ROUND(19.86/E33,3)</f>
        <v>0.24199999999999999</v>
      </c>
      <c r="U33" s="7">
        <f>ROUND(90/E33,3)</f>
        <v>1.0980000000000001</v>
      </c>
      <c r="V33" s="7">
        <f>ROUND(26/E33,3)</f>
        <v>0.317</v>
      </c>
      <c r="W33" s="7">
        <f>ROUND(19.09/E33,3)</f>
        <v>0.23300000000000001</v>
      </c>
      <c r="X33" s="7">
        <v>0.47</v>
      </c>
      <c r="Y33" s="7">
        <v>0.49</v>
      </c>
      <c r="Z33" s="7">
        <v>0.48</v>
      </c>
      <c r="AA33" s="7">
        <f>ROUND(37.73/E33,3)</f>
        <v>0.46</v>
      </c>
      <c r="AB33" s="7">
        <f>ROUND(17/E33,3)</f>
        <v>0.20699999999999999</v>
      </c>
      <c r="AC33" s="7">
        <v>8484144</v>
      </c>
    </row>
    <row r="34" spans="1:29" ht="15" customHeight="1" x14ac:dyDescent="0.2">
      <c r="A34" s="7" t="s">
        <v>168</v>
      </c>
      <c r="B34" s="7" t="s">
        <v>92</v>
      </c>
      <c r="C34" s="7" t="s">
        <v>61</v>
      </c>
      <c r="D34" s="7">
        <v>26</v>
      </c>
      <c r="E34" s="7">
        <v>82</v>
      </c>
      <c r="F34" s="7">
        <f>ROUND(35/E34,3)</f>
        <v>0.42699999999999999</v>
      </c>
      <c r="G34" s="7">
        <f>ROUND(55/E34,3)</f>
        <v>0.67100000000000004</v>
      </c>
      <c r="H34" s="7">
        <f>ROUND(228/E34,3)</f>
        <v>2.78</v>
      </c>
      <c r="I34" s="7">
        <f>ROUND(59/E34,3)</f>
        <v>0.72</v>
      </c>
      <c r="J34" s="7">
        <f>ROUND(60/E34,3)</f>
        <v>0.73199999999999998</v>
      </c>
      <c r="K34" s="7">
        <f t="shared" si="0"/>
        <v>11.313999999999998</v>
      </c>
      <c r="L34" s="7">
        <f>ROUND(1700.95/E34,3)</f>
        <v>20.742999999999999</v>
      </c>
      <c r="M34" s="7">
        <f>ROUND(58/E34,3)</f>
        <v>0.70699999999999996</v>
      </c>
      <c r="N34" s="7" t="s">
        <v>630</v>
      </c>
      <c r="O34" s="7" t="s">
        <v>1072</v>
      </c>
      <c r="P34" s="7">
        <f>ROUND(444/E34,3)</f>
        <v>5.415</v>
      </c>
      <c r="Q34" s="7">
        <f>ROUND(319/E34,3)</f>
        <v>3.89</v>
      </c>
      <c r="R34" s="7">
        <f>ROUND(261/E34,3)</f>
        <v>3.1829999999999998</v>
      </c>
      <c r="S34" s="7">
        <f>ROUND(122/E34,3)</f>
        <v>1.488</v>
      </c>
      <c r="T34" s="7">
        <f>ROUND(30.51/E34,3)</f>
        <v>0.372</v>
      </c>
      <c r="U34" s="7">
        <f>ROUND(96/E34,3)</f>
        <v>1.171</v>
      </c>
      <c r="V34" s="7">
        <f>ROUND(30/E34,3)</f>
        <v>0.36599999999999999</v>
      </c>
      <c r="W34" s="7">
        <f>ROUND(32.55/E34,3)</f>
        <v>0.39700000000000002</v>
      </c>
      <c r="X34" s="7">
        <v>0.6</v>
      </c>
      <c r="Y34" s="7">
        <v>0.55000000000000004</v>
      </c>
      <c r="Z34" s="7">
        <v>0.54</v>
      </c>
      <c r="AA34" s="7">
        <f>ROUND(93.68/E34,3)</f>
        <v>1.1419999999999999</v>
      </c>
      <c r="AB34" s="7">
        <f>ROUND(40/E34,3)</f>
        <v>0.48799999999999999</v>
      </c>
      <c r="AC34" s="7">
        <v>8479542</v>
      </c>
    </row>
    <row r="35" spans="1:29" ht="15" customHeight="1" x14ac:dyDescent="0.2">
      <c r="A35" s="7" t="s">
        <v>173</v>
      </c>
      <c r="B35" s="7" t="s">
        <v>55</v>
      </c>
      <c r="C35" s="7" t="s">
        <v>1049</v>
      </c>
      <c r="D35" s="7">
        <v>28</v>
      </c>
      <c r="E35" s="7">
        <v>82</v>
      </c>
      <c r="F35" s="7">
        <f>ROUND(20/E35,3)</f>
        <v>0.24399999999999999</v>
      </c>
      <c r="G35" s="7">
        <f>ROUND(43/E35,3)</f>
        <v>0.52400000000000002</v>
      </c>
      <c r="H35" s="7">
        <f>ROUND(186/E35,3)</f>
        <v>2.2679999999999998</v>
      </c>
      <c r="I35" s="7">
        <f>ROUND(14/E35,3)</f>
        <v>0.17100000000000001</v>
      </c>
      <c r="J35" s="7">
        <f>ROUND(45/E35,3)</f>
        <v>0.54900000000000004</v>
      </c>
      <c r="K35" s="7">
        <f t="shared" ref="K35:K66" si="1">8*F35+6*G35+1*H35+1*J35+0.5*I35</f>
        <v>7.9984999999999999</v>
      </c>
      <c r="L35" s="7">
        <f>ROUND(1524.2333333333/E35,3)</f>
        <v>18.588000000000001</v>
      </c>
      <c r="M35" s="7">
        <f>ROUND(14/E35,3)</f>
        <v>0.17100000000000001</v>
      </c>
      <c r="N35" s="7" t="s">
        <v>1073</v>
      </c>
      <c r="O35" s="7" t="s">
        <v>1074</v>
      </c>
      <c r="P35" s="7">
        <f>ROUND(374/E35,3)</f>
        <v>4.5609999999999999</v>
      </c>
      <c r="Q35" s="7">
        <f>ROUND(264/E35,3)</f>
        <v>3.22</v>
      </c>
      <c r="R35" s="7">
        <f>ROUND(234/E35,3)</f>
        <v>2.8540000000000001</v>
      </c>
      <c r="S35" s="7">
        <f>ROUND(95/E35,3)</f>
        <v>1.159</v>
      </c>
      <c r="T35" s="7">
        <f>ROUND(23.31/E35,3)</f>
        <v>0.28399999999999997</v>
      </c>
      <c r="U35" s="7">
        <f>ROUND(93/E35,3)</f>
        <v>1.1339999999999999</v>
      </c>
      <c r="V35" s="7">
        <f>ROUND(31/E35,3)</f>
        <v>0.378</v>
      </c>
      <c r="W35" s="7">
        <f>ROUND(26.2/E35,3)</f>
        <v>0.32</v>
      </c>
      <c r="X35" s="7">
        <v>0.61</v>
      </c>
      <c r="Y35" s="7">
        <v>0.59</v>
      </c>
      <c r="Z35" s="7">
        <v>0.57999999999999996</v>
      </c>
      <c r="AA35" s="7">
        <f>ROUND(67.99/E35,3)</f>
        <v>0.82899999999999996</v>
      </c>
      <c r="AB35" s="7">
        <f>ROUND(27/E35,3)</f>
        <v>0.32900000000000001</v>
      </c>
      <c r="AC35" s="7">
        <v>8477951</v>
      </c>
    </row>
    <row r="36" spans="1:29" ht="15" customHeight="1" x14ac:dyDescent="0.2">
      <c r="A36" s="7" t="s">
        <v>176</v>
      </c>
      <c r="B36" s="7" t="s">
        <v>55</v>
      </c>
      <c r="C36" s="7" t="s">
        <v>114</v>
      </c>
      <c r="D36" s="7">
        <v>37</v>
      </c>
      <c r="E36" s="7">
        <v>80</v>
      </c>
      <c r="F36" s="7">
        <f>ROUND(33/E36,3)</f>
        <v>0.41299999999999998</v>
      </c>
      <c r="G36" s="7">
        <f>ROUND(58/E36,3)</f>
        <v>0.72499999999999998</v>
      </c>
      <c r="H36" s="7">
        <f>ROUND(227/E36,3)</f>
        <v>2.8380000000000001</v>
      </c>
      <c r="I36" s="7">
        <f>ROUND(66/E36,3)</f>
        <v>0.82499999999999996</v>
      </c>
      <c r="J36" s="7">
        <f>ROUND(39/E36,3)</f>
        <v>0.48799999999999999</v>
      </c>
      <c r="K36" s="7">
        <f t="shared" si="1"/>
        <v>11.3925</v>
      </c>
      <c r="L36" s="7">
        <f>ROUND(1629.9666666667/E36,3)</f>
        <v>20.375</v>
      </c>
      <c r="M36" s="7">
        <f>ROUND(31/E36,3)</f>
        <v>0.38800000000000001</v>
      </c>
      <c r="N36" s="7" t="s">
        <v>1075</v>
      </c>
      <c r="O36" s="7" t="s">
        <v>1076</v>
      </c>
      <c r="P36" s="7">
        <f>ROUND(415/E36,3)</f>
        <v>5.1879999999999997</v>
      </c>
      <c r="Q36" s="7">
        <f>ROUND(339/E36,3)</f>
        <v>4.2380000000000004</v>
      </c>
      <c r="R36" s="7">
        <f>ROUND(236/E36,3)</f>
        <v>2.95</v>
      </c>
      <c r="S36" s="7">
        <f>ROUND(115/E36,3)</f>
        <v>1.4379999999999999</v>
      </c>
      <c r="T36" s="7">
        <f>ROUND(34.31/E36,3)</f>
        <v>0.42899999999999999</v>
      </c>
      <c r="U36" s="7">
        <f>ROUND(86/E36,3)</f>
        <v>1.075</v>
      </c>
      <c r="V36" s="7">
        <f>ROUND(29/E36,3)</f>
        <v>0.36299999999999999</v>
      </c>
      <c r="W36" s="7">
        <f>ROUND(30.2/E36,3)</f>
        <v>0.378</v>
      </c>
      <c r="X36" s="7">
        <v>0.56000000000000005</v>
      </c>
      <c r="Y36" s="7">
        <v>0.56999999999999995</v>
      </c>
      <c r="Z36" s="7">
        <v>0.56000000000000005</v>
      </c>
      <c r="AA36" s="7">
        <f>ROUND(90.37/E36,3)</f>
        <v>1.1299999999999999</v>
      </c>
      <c r="AB36" s="7">
        <f>ROUND(34/E36,3)</f>
        <v>0.42499999999999999</v>
      </c>
      <c r="AC36" s="7">
        <v>8471675</v>
      </c>
    </row>
    <row r="37" spans="1:29" ht="15" customHeight="1" x14ac:dyDescent="0.2">
      <c r="A37" s="7" t="s">
        <v>179</v>
      </c>
      <c r="B37" s="7" t="s">
        <v>55</v>
      </c>
      <c r="C37" s="7" t="s">
        <v>164</v>
      </c>
      <c r="D37" s="7">
        <v>33</v>
      </c>
      <c r="E37" s="7">
        <v>79</v>
      </c>
      <c r="F37" s="7">
        <f>ROUND(21/E37,3)</f>
        <v>0.26600000000000001</v>
      </c>
      <c r="G37" s="7">
        <f>ROUND(32/E37,3)</f>
        <v>0.40500000000000003</v>
      </c>
      <c r="H37" s="7">
        <f>ROUND(151/E37,3)</f>
        <v>1.911</v>
      </c>
      <c r="I37" s="7">
        <f>ROUND(20/E37,3)</f>
        <v>0.253</v>
      </c>
      <c r="J37" s="7">
        <f>ROUND(72/E37,3)</f>
        <v>0.91100000000000003</v>
      </c>
      <c r="K37" s="7">
        <f t="shared" si="1"/>
        <v>7.5064999999999991</v>
      </c>
      <c r="L37" s="7">
        <f>ROUND(1500.0833333333/E37,3)</f>
        <v>18.988</v>
      </c>
      <c r="M37" s="7">
        <f>ROUND(24/E37,3)</f>
        <v>0.30399999999999999</v>
      </c>
      <c r="N37" s="7" t="s">
        <v>1077</v>
      </c>
      <c r="O37" s="7" t="s">
        <v>1078</v>
      </c>
      <c r="P37" s="7">
        <f>ROUND(270/E37,3)</f>
        <v>3.4180000000000001</v>
      </c>
      <c r="Q37" s="7">
        <f>ROUND(227/E37,3)</f>
        <v>2.8730000000000002</v>
      </c>
      <c r="R37" s="7">
        <f>ROUND(208/E37,3)</f>
        <v>2.633</v>
      </c>
      <c r="S37" s="7">
        <f>ROUND(115/E37,3)</f>
        <v>1.456</v>
      </c>
      <c r="T37" s="7">
        <f>ROUND(26.56/E37,3)</f>
        <v>0.33600000000000002</v>
      </c>
      <c r="U37" s="7">
        <f>ROUND(64/E37,3)</f>
        <v>0.81</v>
      </c>
      <c r="V37" s="7">
        <f>ROUND(31/E37,3)</f>
        <v>0.39200000000000002</v>
      </c>
      <c r="W37" s="7">
        <f>ROUND(28.75/E37,3)</f>
        <v>0.36399999999999999</v>
      </c>
      <c r="X37" s="7">
        <v>0.57999999999999996</v>
      </c>
      <c r="Y37" s="7">
        <v>0.59</v>
      </c>
      <c r="Z37" s="7">
        <v>0.59</v>
      </c>
      <c r="AA37" s="7">
        <f>ROUND(58.31/E37,3)</f>
        <v>0.73799999999999999</v>
      </c>
      <c r="AB37" s="7">
        <f>ROUND(42/E37,3)</f>
        <v>0.53200000000000003</v>
      </c>
      <c r="AC37" s="7">
        <v>8475158</v>
      </c>
    </row>
    <row r="38" spans="1:29" ht="15" customHeight="1" x14ac:dyDescent="0.2">
      <c r="A38" s="7" t="s">
        <v>182</v>
      </c>
      <c r="B38" s="7" t="s">
        <v>60</v>
      </c>
      <c r="C38" s="7" t="s">
        <v>1049</v>
      </c>
      <c r="D38" s="7">
        <v>21</v>
      </c>
      <c r="E38" s="7">
        <v>70</v>
      </c>
      <c r="F38" s="7">
        <f>ROUND(27/E38,3)</f>
        <v>0.38600000000000001</v>
      </c>
      <c r="G38" s="7">
        <f>ROUND(33/E38,3)</f>
        <v>0.47099999999999997</v>
      </c>
      <c r="H38" s="7">
        <f>ROUND(204/E38,3)</f>
        <v>2.9140000000000001</v>
      </c>
      <c r="I38" s="7">
        <f>ROUND(53/E38,3)</f>
        <v>0.75700000000000001</v>
      </c>
      <c r="J38" s="7">
        <f>ROUND(42/E38,3)</f>
        <v>0.6</v>
      </c>
      <c r="K38" s="7">
        <f t="shared" si="1"/>
        <v>9.8064999999999998</v>
      </c>
      <c r="L38" s="7">
        <f>ROUND(1189.8/E38,3)</f>
        <v>16.997</v>
      </c>
      <c r="M38" s="7">
        <f>ROUND(26/E38,3)</f>
        <v>0.371</v>
      </c>
      <c r="N38" s="7" t="s">
        <v>1079</v>
      </c>
      <c r="O38" s="7" t="s">
        <v>151</v>
      </c>
      <c r="P38" s="7">
        <f>ROUND(450/E38,3)</f>
        <v>6.4290000000000003</v>
      </c>
      <c r="Q38" s="7">
        <f>ROUND(328/E38,3)</f>
        <v>4.6859999999999999</v>
      </c>
      <c r="R38" s="7">
        <f>ROUND(214/E38,3)</f>
        <v>3.0569999999999999</v>
      </c>
      <c r="S38" s="7">
        <f>ROUND(46/E38,3)</f>
        <v>0.65700000000000003</v>
      </c>
      <c r="T38" s="7">
        <f>ROUND(20.66/E38,3)</f>
        <v>0.29499999999999998</v>
      </c>
      <c r="U38" s="7">
        <f>ROUND(55/E38,3)</f>
        <v>0.78600000000000003</v>
      </c>
      <c r="V38" s="7">
        <f>ROUND(18/E38,3)</f>
        <v>0.25700000000000001</v>
      </c>
      <c r="W38" s="7">
        <f>ROUND(23.81/E38,3)</f>
        <v>0.34</v>
      </c>
      <c r="X38" s="7">
        <v>0.61</v>
      </c>
      <c r="Y38" s="7">
        <v>0.59</v>
      </c>
      <c r="Z38" s="7">
        <v>0.6</v>
      </c>
      <c r="AA38" s="7">
        <f>ROUND(64.96/E38,3)</f>
        <v>0.92800000000000005</v>
      </c>
      <c r="AB38" s="7">
        <f>ROUND(19/E38,3)</f>
        <v>0.27100000000000002</v>
      </c>
      <c r="AC38" s="7">
        <v>8482699</v>
      </c>
    </row>
    <row r="39" spans="1:29" ht="15" customHeight="1" x14ac:dyDescent="0.2">
      <c r="A39" s="7" t="s">
        <v>183</v>
      </c>
      <c r="B39" s="7" t="s">
        <v>60</v>
      </c>
      <c r="C39" s="7" t="s">
        <v>184</v>
      </c>
      <c r="D39" s="7">
        <v>28</v>
      </c>
      <c r="E39" s="7">
        <v>81</v>
      </c>
      <c r="F39" s="7">
        <f>ROUND(35/E39,3)</f>
        <v>0.432</v>
      </c>
      <c r="G39" s="7">
        <f>ROUND(38/E39,3)</f>
        <v>0.46899999999999997</v>
      </c>
      <c r="H39" s="7">
        <f>ROUND(237/E39,3)</f>
        <v>2.9260000000000002</v>
      </c>
      <c r="I39" s="7">
        <f>ROUND(99/E39,3)</f>
        <v>1.222</v>
      </c>
      <c r="J39" s="7">
        <f>ROUND(36/E39,3)</f>
        <v>0.44400000000000001</v>
      </c>
      <c r="K39" s="7">
        <f t="shared" si="1"/>
        <v>10.251000000000001</v>
      </c>
      <c r="L39" s="7">
        <f>ROUND(1551.5833333333/E39,3)</f>
        <v>19.155000000000001</v>
      </c>
      <c r="M39" s="7">
        <f>ROUND(36/E39,3)</f>
        <v>0.44400000000000001</v>
      </c>
      <c r="N39" s="7" t="s">
        <v>1080</v>
      </c>
      <c r="O39" s="7" t="s">
        <v>1081</v>
      </c>
      <c r="P39" s="7">
        <f>ROUND(496/E39,3)</f>
        <v>6.1230000000000002</v>
      </c>
      <c r="Q39" s="7">
        <f>ROUND(367/E39,3)</f>
        <v>4.5309999999999997</v>
      </c>
      <c r="R39" s="7">
        <f>ROUND(219/E39,3)</f>
        <v>2.7040000000000002</v>
      </c>
      <c r="S39" s="7">
        <f>ROUND(83/E39,3)</f>
        <v>1.0249999999999999</v>
      </c>
      <c r="T39" s="7">
        <f>ROUND(26.7/E39,3)</f>
        <v>0.33</v>
      </c>
      <c r="U39" s="7">
        <f>ROUND(78/E39,3)</f>
        <v>0.96299999999999997</v>
      </c>
      <c r="V39" s="7">
        <f>ROUND(13/E39,3)</f>
        <v>0.16</v>
      </c>
      <c r="W39" s="7">
        <f>ROUND(29.58/E39,3)</f>
        <v>0.36499999999999999</v>
      </c>
      <c r="X39" s="7">
        <v>0.56000000000000005</v>
      </c>
      <c r="Y39" s="7">
        <v>0.54</v>
      </c>
      <c r="Z39" s="7">
        <v>0.54</v>
      </c>
      <c r="AA39" s="7">
        <f>ROUND(78.56/E39,3)</f>
        <v>0.97</v>
      </c>
      <c r="AB39" s="7">
        <f>ROUND(29/E39,3)</f>
        <v>0.35799999999999998</v>
      </c>
      <c r="AC39" s="7">
        <v>8477960</v>
      </c>
    </row>
    <row r="40" spans="1:29" ht="15" customHeight="1" x14ac:dyDescent="0.2">
      <c r="A40" s="7" t="s">
        <v>186</v>
      </c>
      <c r="B40" s="7" t="s">
        <v>92</v>
      </c>
      <c r="C40" s="7" t="s">
        <v>76</v>
      </c>
      <c r="D40" s="7">
        <v>20</v>
      </c>
      <c r="E40" s="7">
        <v>79</v>
      </c>
      <c r="F40" s="7">
        <f>ROUND(18/E40,3)</f>
        <v>0.22800000000000001</v>
      </c>
      <c r="G40" s="7">
        <f>ROUND(33/E40,3)</f>
        <v>0.41799999999999998</v>
      </c>
      <c r="H40" s="7">
        <f>ROUND(133/E40,3)</f>
        <v>1.6839999999999999</v>
      </c>
      <c r="I40" s="7">
        <f>ROUND(193/E40,3)</f>
        <v>2.4430000000000001</v>
      </c>
      <c r="J40" s="7">
        <f>ROUND(62/E40,3)</f>
        <v>0.78500000000000003</v>
      </c>
      <c r="K40" s="7">
        <f t="shared" si="1"/>
        <v>8.0225000000000009</v>
      </c>
      <c r="L40" s="7">
        <f>ROUND(1370.5666666667/E40,3)</f>
        <v>17.349</v>
      </c>
      <c r="M40" s="7">
        <f>ROUND(45/E40,3)</f>
        <v>0.56999999999999995</v>
      </c>
      <c r="N40" s="7" t="s">
        <v>1082</v>
      </c>
      <c r="O40" s="7" t="s">
        <v>1083</v>
      </c>
      <c r="P40" s="7">
        <f>ROUND(286/E40,3)</f>
        <v>3.62</v>
      </c>
      <c r="Q40" s="7">
        <f>ROUND(224/E40,3)</f>
        <v>2.835</v>
      </c>
      <c r="R40" s="7">
        <f>ROUND(184/E40,3)</f>
        <v>2.3290000000000002</v>
      </c>
      <c r="S40" s="7">
        <f>ROUND(99/E40,3)</f>
        <v>1.2529999999999999</v>
      </c>
      <c r="T40" s="7">
        <f>ROUND(23.1/E40,3)</f>
        <v>0.29199999999999998</v>
      </c>
      <c r="U40" s="7">
        <f>ROUND(71/E40,3)</f>
        <v>0.89900000000000002</v>
      </c>
      <c r="V40" s="7">
        <f>ROUND(16/E40,3)</f>
        <v>0.20300000000000001</v>
      </c>
      <c r="W40" s="7">
        <f>ROUND(20.49/E40,3)</f>
        <v>0.25900000000000001</v>
      </c>
      <c r="X40" s="7">
        <v>0.53</v>
      </c>
      <c r="Y40" s="7">
        <v>0.56000000000000005</v>
      </c>
      <c r="Z40" s="7">
        <v>0.56999999999999995</v>
      </c>
      <c r="AA40" s="7">
        <f>ROUND(47.84/E40,3)</f>
        <v>0.60599999999999998</v>
      </c>
      <c r="AB40" s="7">
        <f>ROUND(21/E40,3)</f>
        <v>0.26600000000000001</v>
      </c>
      <c r="AC40" s="7">
        <v>8483515</v>
      </c>
    </row>
    <row r="41" spans="1:29" ht="15" customHeight="1" x14ac:dyDescent="0.2">
      <c r="A41" s="7" t="s">
        <v>187</v>
      </c>
      <c r="B41" s="7" t="s">
        <v>60</v>
      </c>
      <c r="C41" s="7" t="s">
        <v>102</v>
      </c>
      <c r="D41" s="7">
        <v>32</v>
      </c>
      <c r="E41" s="7">
        <v>66</v>
      </c>
      <c r="F41" s="7">
        <f>ROUND(19/E41,3)</f>
        <v>0.28799999999999998</v>
      </c>
      <c r="G41" s="7">
        <f>ROUND(48/E41,3)</f>
        <v>0.72699999999999998</v>
      </c>
      <c r="H41" s="7">
        <f>ROUND(131/E41,3)</f>
        <v>1.9850000000000001</v>
      </c>
      <c r="I41" s="7">
        <f>ROUND(32/E41,3)</f>
        <v>0.48499999999999999</v>
      </c>
      <c r="J41" s="7">
        <f>ROUND(42/E41,3)</f>
        <v>0.63600000000000001</v>
      </c>
      <c r="K41" s="7">
        <f t="shared" si="1"/>
        <v>9.5294999999999987</v>
      </c>
      <c r="L41" s="7">
        <f>ROUND(1270.7833333333/E41,3)</f>
        <v>19.254000000000001</v>
      </c>
      <c r="M41" s="7">
        <f>ROUND(14/E41,3)</f>
        <v>0.21199999999999999</v>
      </c>
      <c r="N41" s="7" t="s">
        <v>566</v>
      </c>
      <c r="O41" s="7" t="s">
        <v>1084</v>
      </c>
      <c r="P41" s="7">
        <f>ROUND(227/E41,3)</f>
        <v>3.4390000000000001</v>
      </c>
      <c r="Q41" s="7">
        <f>ROUND(191/E41,3)</f>
        <v>2.8940000000000001</v>
      </c>
      <c r="R41" s="7">
        <f>ROUND(158/E41,3)</f>
        <v>2.3940000000000001</v>
      </c>
      <c r="S41" s="7">
        <f>ROUND(82/E41,3)</f>
        <v>1.242</v>
      </c>
      <c r="T41" s="7">
        <f>ROUND(19/E41,3)</f>
        <v>0.28799999999999998</v>
      </c>
      <c r="U41" s="7">
        <f>ROUND(73/E41,3)</f>
        <v>1.1060000000000001</v>
      </c>
      <c r="V41" s="7">
        <f>ROUND(38/E41,3)</f>
        <v>0.57599999999999996</v>
      </c>
      <c r="W41" s="7">
        <f>ROUND(19.64/E41,3)</f>
        <v>0.29799999999999999</v>
      </c>
      <c r="X41" s="7">
        <v>0.62</v>
      </c>
      <c r="Y41" s="7">
        <v>0.55000000000000004</v>
      </c>
      <c r="Z41" s="7">
        <v>0.56000000000000005</v>
      </c>
      <c r="AA41" s="7">
        <f>ROUND(64.57/E41,3)</f>
        <v>0.97799999999999998</v>
      </c>
      <c r="AB41" s="7">
        <f>ROUND(29/E41,3)</f>
        <v>0.439</v>
      </c>
      <c r="AC41" s="7">
        <v>8475913</v>
      </c>
    </row>
    <row r="42" spans="1:29" ht="15" customHeight="1" x14ac:dyDescent="0.2">
      <c r="A42" s="7" t="s">
        <v>190</v>
      </c>
      <c r="B42" s="7" t="s">
        <v>55</v>
      </c>
      <c r="C42" s="7" t="s">
        <v>191</v>
      </c>
      <c r="D42" s="7">
        <v>27</v>
      </c>
      <c r="E42" s="7">
        <v>30</v>
      </c>
      <c r="F42" s="7">
        <f>ROUND(6/E42,3)</f>
        <v>0.2</v>
      </c>
      <c r="G42" s="7">
        <f>ROUND(14/E42,3)</f>
        <v>0.46700000000000003</v>
      </c>
      <c r="H42" s="7">
        <f>ROUND(78/E42,3)</f>
        <v>2.6</v>
      </c>
      <c r="I42" s="7">
        <f>ROUND(24/E42,3)</f>
        <v>0.8</v>
      </c>
      <c r="J42" s="7">
        <f>ROUND(24/E42,3)</f>
        <v>0.8</v>
      </c>
      <c r="K42" s="7">
        <f t="shared" si="1"/>
        <v>8.202</v>
      </c>
      <c r="L42" s="7">
        <f>ROUND(610.48333333333/E42,3)</f>
        <v>20.349</v>
      </c>
      <c r="M42" s="7">
        <f>ROUND(4/E42,3)</f>
        <v>0.13300000000000001</v>
      </c>
      <c r="N42" s="7" t="s">
        <v>1085</v>
      </c>
      <c r="O42" s="7" t="s">
        <v>1086</v>
      </c>
      <c r="P42" s="7">
        <f>ROUND(171/E42,3)</f>
        <v>5.7</v>
      </c>
      <c r="Q42" s="7">
        <f>ROUND(116/E42,3)</f>
        <v>3.867</v>
      </c>
      <c r="R42" s="7">
        <f>ROUND(79/E42,3)</f>
        <v>2.633</v>
      </c>
      <c r="S42" s="7">
        <f>ROUND(28/E42,3)</f>
        <v>0.93300000000000005</v>
      </c>
      <c r="T42" s="7">
        <f>ROUND(7.9/E42,3)</f>
        <v>0.26300000000000001</v>
      </c>
      <c r="U42" s="7">
        <f>ROUND(36/E42,3)</f>
        <v>1.2</v>
      </c>
      <c r="V42" s="7">
        <f>ROUND(10/E42,3)</f>
        <v>0.33300000000000002</v>
      </c>
      <c r="W42" s="7">
        <f>ROUND(8.2/E42,3)</f>
        <v>0.27300000000000002</v>
      </c>
      <c r="X42" s="7">
        <v>0.63</v>
      </c>
      <c r="Y42" s="7">
        <v>0.63</v>
      </c>
      <c r="Z42" s="7">
        <v>0.63</v>
      </c>
      <c r="AA42" s="7">
        <f>ROUND(31.62/E42,3)</f>
        <v>1.054</v>
      </c>
      <c r="AB42" s="7">
        <f>ROUND(9/E42,3)</f>
        <v>0.3</v>
      </c>
      <c r="AC42" s="7">
        <v>8478445</v>
      </c>
    </row>
    <row r="43" spans="1:29" ht="15" customHeight="1" x14ac:dyDescent="0.2">
      <c r="A43" s="7" t="s">
        <v>195</v>
      </c>
      <c r="B43" s="7" t="s">
        <v>60</v>
      </c>
      <c r="C43" s="7" t="s">
        <v>135</v>
      </c>
      <c r="D43" s="7">
        <v>26</v>
      </c>
      <c r="E43" s="7">
        <v>82</v>
      </c>
      <c r="F43" s="7">
        <f>ROUND(26/E43,3)</f>
        <v>0.317</v>
      </c>
      <c r="G43" s="7">
        <f>ROUND(42/E43,3)</f>
        <v>0.51200000000000001</v>
      </c>
      <c r="H43" s="7">
        <f>ROUND(192/E43,3)</f>
        <v>2.3410000000000002</v>
      </c>
      <c r="I43" s="7">
        <f>ROUND(148/E43,3)</f>
        <v>1.8049999999999999</v>
      </c>
      <c r="J43" s="7">
        <f>ROUND(30/E43,3)</f>
        <v>0.36599999999999999</v>
      </c>
      <c r="K43" s="7">
        <f t="shared" si="1"/>
        <v>9.2175000000000011</v>
      </c>
      <c r="L43" s="7">
        <f>ROUND(1487.6833333333/E43,3)</f>
        <v>18.141999999999999</v>
      </c>
      <c r="M43" s="7">
        <f>ROUND(30/E43,3)</f>
        <v>0.36599999999999999</v>
      </c>
      <c r="N43" s="7" t="s">
        <v>1087</v>
      </c>
      <c r="O43" s="7" t="s">
        <v>1088</v>
      </c>
      <c r="P43" s="7">
        <f>ROUND(354/E43,3)</f>
        <v>4.3170000000000002</v>
      </c>
      <c r="Q43" s="7">
        <f>ROUND(283/E43,3)</f>
        <v>3.4510000000000001</v>
      </c>
      <c r="R43" s="7">
        <f>ROUND(198/E43,3)</f>
        <v>2.415</v>
      </c>
      <c r="S43" s="7">
        <f>ROUND(89/E43,3)</f>
        <v>1.085</v>
      </c>
      <c r="T43" s="7">
        <f>ROUND(22.67/E43,3)</f>
        <v>0.27600000000000002</v>
      </c>
      <c r="U43" s="7">
        <f>ROUND(52/E43,3)</f>
        <v>0.63400000000000001</v>
      </c>
      <c r="V43" s="7">
        <f>ROUND(23/E43,3)</f>
        <v>0.28000000000000003</v>
      </c>
      <c r="W43" s="7">
        <f>ROUND(21.66/E43,3)</f>
        <v>0.26400000000000001</v>
      </c>
      <c r="X43" s="7">
        <v>0.57999999999999996</v>
      </c>
      <c r="Y43" s="7">
        <v>0.57999999999999996</v>
      </c>
      <c r="Z43" s="7">
        <v>0.57999999999999996</v>
      </c>
      <c r="AA43" s="7">
        <f>ROUND(62.25/E43,3)</f>
        <v>0.75900000000000001</v>
      </c>
      <c r="AB43" s="7">
        <f>ROUND(21/E43,3)</f>
        <v>0.25600000000000001</v>
      </c>
      <c r="AC43" s="7">
        <v>8480208</v>
      </c>
    </row>
    <row r="44" spans="1:29" ht="15" customHeight="1" x14ac:dyDescent="0.2">
      <c r="A44" s="7" t="s">
        <v>198</v>
      </c>
      <c r="B44" s="7" t="s">
        <v>55</v>
      </c>
      <c r="C44" s="7" t="s">
        <v>146</v>
      </c>
      <c r="D44" s="7">
        <v>34</v>
      </c>
      <c r="E44" s="7">
        <v>75</v>
      </c>
      <c r="F44" s="7">
        <f>ROUND(38/E44,3)</f>
        <v>0.50700000000000001</v>
      </c>
      <c r="G44" s="7">
        <f>ROUND(36/E44,3)</f>
        <v>0.48</v>
      </c>
      <c r="H44" s="7">
        <f>ROUND(200/E44,3)</f>
        <v>2.6669999999999998</v>
      </c>
      <c r="I44" s="7">
        <f>ROUND(91/E44,3)</f>
        <v>1.2130000000000001</v>
      </c>
      <c r="J44" s="7">
        <f>ROUND(45/E44,3)</f>
        <v>0.6</v>
      </c>
      <c r="K44" s="7">
        <f t="shared" si="1"/>
        <v>10.8095</v>
      </c>
      <c r="L44" s="7">
        <f>ROUND(1366.9166666667/E44,3)</f>
        <v>18.225999999999999</v>
      </c>
      <c r="M44" s="7">
        <f>ROUND(46/E44,3)</f>
        <v>0.61299999999999999</v>
      </c>
      <c r="N44" s="7" t="s">
        <v>1089</v>
      </c>
      <c r="O44" s="7" t="s">
        <v>1090</v>
      </c>
      <c r="P44" s="7">
        <f>ROUND(342/E44,3)</f>
        <v>4.5599999999999996</v>
      </c>
      <c r="Q44" s="7">
        <f>ROUND(281/E44,3)</f>
        <v>3.7469999999999999</v>
      </c>
      <c r="R44" s="7">
        <f>ROUND(253/E44,3)</f>
        <v>3.3730000000000002</v>
      </c>
      <c r="S44" s="7">
        <f>ROUND(141/E44,3)</f>
        <v>1.88</v>
      </c>
      <c r="T44" s="7">
        <f>ROUND(31.71/E44,3)</f>
        <v>0.42299999999999999</v>
      </c>
      <c r="U44" s="7">
        <f>ROUND(69/E44,3)</f>
        <v>0.92</v>
      </c>
      <c r="V44" s="7">
        <f>ROUND(24/E44,3)</f>
        <v>0.32</v>
      </c>
      <c r="W44" s="7">
        <f>ROUND(32.37/E44,3)</f>
        <v>0.432</v>
      </c>
      <c r="X44" s="7">
        <v>0.56999999999999995</v>
      </c>
      <c r="Y44" s="7">
        <v>0.53</v>
      </c>
      <c r="Z44" s="7">
        <v>0.53</v>
      </c>
      <c r="AA44" s="7">
        <f>ROUND(63.11/E44,3)</f>
        <v>0.84099999999999997</v>
      </c>
      <c r="AB44" s="7">
        <f>ROUND(47/E44,3)</f>
        <v>0.627</v>
      </c>
      <c r="AC44" s="7">
        <v>8475166</v>
      </c>
    </row>
    <row r="45" spans="1:29" ht="15" customHeight="1" x14ac:dyDescent="0.2">
      <c r="A45" s="7" t="s">
        <v>201</v>
      </c>
      <c r="B45" s="7" t="s">
        <v>92</v>
      </c>
      <c r="C45" s="7" t="s">
        <v>72</v>
      </c>
      <c r="D45" s="7">
        <v>28</v>
      </c>
      <c r="E45" s="7">
        <v>69</v>
      </c>
      <c r="F45" s="7">
        <f>ROUND(24/E45,3)</f>
        <v>0.34799999999999998</v>
      </c>
      <c r="G45" s="7">
        <f>ROUND(39/E45,3)</f>
        <v>0.56499999999999995</v>
      </c>
      <c r="H45" s="7">
        <f>ROUND(174/E45,3)</f>
        <v>2.5219999999999998</v>
      </c>
      <c r="I45" s="7">
        <f>ROUND(38/E45,3)</f>
        <v>0.55100000000000005</v>
      </c>
      <c r="J45" s="7">
        <f>ROUND(33/E45,3)</f>
        <v>0.47799999999999998</v>
      </c>
      <c r="K45" s="7">
        <f t="shared" si="1"/>
        <v>9.4494999999999987</v>
      </c>
      <c r="L45" s="7">
        <f>ROUND(1090.0166666667/E45,3)</f>
        <v>15.797000000000001</v>
      </c>
      <c r="M45" s="7">
        <f>ROUND(17/E45,3)</f>
        <v>0.246</v>
      </c>
      <c r="N45" s="7" t="s">
        <v>165</v>
      </c>
      <c r="O45" s="7" t="s">
        <v>1091</v>
      </c>
      <c r="P45" s="7">
        <f>ROUND(365/E45,3)</f>
        <v>5.29</v>
      </c>
      <c r="Q45" s="7">
        <f>ROUND(280/E45,3)</f>
        <v>4.0579999999999998</v>
      </c>
      <c r="R45" s="7">
        <f>ROUND(168/E45,3)</f>
        <v>2.4350000000000001</v>
      </c>
      <c r="S45" s="7">
        <f>ROUND(63/E45,3)</f>
        <v>0.91300000000000003</v>
      </c>
      <c r="T45" s="7">
        <f>ROUND(19.76/E45,3)</f>
        <v>0.28599999999999998</v>
      </c>
      <c r="U45" s="7">
        <f>ROUND(52/E45,3)</f>
        <v>0.754</v>
      </c>
      <c r="V45" s="7">
        <f>ROUND(16/E45,3)</f>
        <v>0.23200000000000001</v>
      </c>
      <c r="W45" s="7">
        <f>ROUND(19.82/E45,3)</f>
        <v>0.28699999999999998</v>
      </c>
      <c r="X45" s="7">
        <v>0.6</v>
      </c>
      <c r="Y45" s="7">
        <v>0.57999999999999996</v>
      </c>
      <c r="Z45" s="7">
        <v>0.59</v>
      </c>
      <c r="AA45" s="7">
        <f>ROUND(67.46/E45,3)</f>
        <v>0.97799999999999998</v>
      </c>
      <c r="AB45" s="7">
        <f>ROUND(22/E45,3)</f>
        <v>0.31900000000000001</v>
      </c>
      <c r="AC45" s="7">
        <v>8477940</v>
      </c>
    </row>
    <row r="46" spans="1:29" ht="15" customHeight="1" x14ac:dyDescent="0.2">
      <c r="A46" s="7" t="s">
        <v>204</v>
      </c>
      <c r="B46" s="7" t="s">
        <v>92</v>
      </c>
      <c r="C46" s="7" t="s">
        <v>153</v>
      </c>
      <c r="D46" s="7">
        <v>26</v>
      </c>
      <c r="E46" s="7">
        <v>81</v>
      </c>
      <c r="F46" s="7">
        <f>ROUND(21/E46,3)</f>
        <v>0.25900000000000001</v>
      </c>
      <c r="G46" s="7">
        <f>ROUND(67/E46,3)</f>
        <v>0.82699999999999996</v>
      </c>
      <c r="H46" s="7">
        <f>ROUND(180/E46,3)</f>
        <v>2.222</v>
      </c>
      <c r="I46" s="7">
        <f>ROUND(96/E46,3)</f>
        <v>1.1850000000000001</v>
      </c>
      <c r="J46" s="7">
        <f>ROUND(42/E46,3)</f>
        <v>0.51900000000000002</v>
      </c>
      <c r="K46" s="7">
        <f t="shared" si="1"/>
        <v>10.3675</v>
      </c>
      <c r="L46" s="7">
        <f>ROUND(1534.8/E46,3)</f>
        <v>18.948</v>
      </c>
      <c r="M46" s="7">
        <f>ROUND(18/E46,3)</f>
        <v>0.222</v>
      </c>
      <c r="N46" s="7" t="s">
        <v>880</v>
      </c>
      <c r="O46" s="7" t="s">
        <v>385</v>
      </c>
      <c r="P46" s="7">
        <f>ROUND(391/E46,3)</f>
        <v>4.827</v>
      </c>
      <c r="Q46" s="7">
        <f>ROUND(284/E46,3)</f>
        <v>3.5059999999999998</v>
      </c>
      <c r="R46" s="7">
        <f>ROUND(226/E46,3)</f>
        <v>2.79</v>
      </c>
      <c r="S46" s="7">
        <f>ROUND(85/E46,3)</f>
        <v>1.0489999999999999</v>
      </c>
      <c r="T46" s="7">
        <f>ROUND(25.45/E46,3)</f>
        <v>0.314</v>
      </c>
      <c r="U46" s="7">
        <f>ROUND(62/E46,3)</f>
        <v>0.76500000000000001</v>
      </c>
      <c r="V46" s="7">
        <f>ROUND(11/E46,3)</f>
        <v>0.13600000000000001</v>
      </c>
      <c r="W46" s="7">
        <f>ROUND(26.19/E46,3)</f>
        <v>0.32300000000000001</v>
      </c>
      <c r="X46" s="7">
        <v>0.61</v>
      </c>
      <c r="Y46" s="7">
        <v>0.57999999999999996</v>
      </c>
      <c r="Z46" s="7">
        <v>0.56999999999999995</v>
      </c>
      <c r="AA46" s="7">
        <f>ROUND(82.52/E46,3)</f>
        <v>1.0189999999999999</v>
      </c>
      <c r="AB46" s="7">
        <f>ROUND(34/E46,3)</f>
        <v>0.42</v>
      </c>
      <c r="AC46" s="7">
        <v>8479407</v>
      </c>
    </row>
    <row r="47" spans="1:29" ht="15" customHeight="1" x14ac:dyDescent="0.2">
      <c r="A47" s="7" t="s">
        <v>208</v>
      </c>
      <c r="B47" s="7" t="s">
        <v>60</v>
      </c>
      <c r="C47" s="7" t="s">
        <v>80</v>
      </c>
      <c r="D47" s="7">
        <v>24</v>
      </c>
      <c r="E47" s="7">
        <v>72</v>
      </c>
      <c r="F47" s="7">
        <f>ROUND(20/E47,3)</f>
        <v>0.27800000000000002</v>
      </c>
      <c r="G47" s="7">
        <f>ROUND(28/E47,3)</f>
        <v>0.38900000000000001</v>
      </c>
      <c r="H47" s="7">
        <f>ROUND(180/E47,3)</f>
        <v>2.5</v>
      </c>
      <c r="I47" s="7">
        <f>ROUND(148/E47,3)</f>
        <v>2.056</v>
      </c>
      <c r="J47" s="7">
        <f>ROUND(22/E47,3)</f>
        <v>0.30599999999999999</v>
      </c>
      <c r="K47" s="7">
        <f t="shared" si="1"/>
        <v>8.3919999999999995</v>
      </c>
      <c r="L47" s="7">
        <f>ROUND(1232.1833333333/E47,3)</f>
        <v>17.114000000000001</v>
      </c>
      <c r="M47" s="7">
        <f>ROUND(59/E47,3)</f>
        <v>0.81899999999999995</v>
      </c>
      <c r="N47" s="7" t="s">
        <v>1092</v>
      </c>
      <c r="O47" s="7" t="s">
        <v>316</v>
      </c>
      <c r="P47" s="7">
        <f>ROUND(378/E47,3)</f>
        <v>5.25</v>
      </c>
      <c r="Q47" s="7">
        <f>ROUND(277/E47,3)</f>
        <v>3.847</v>
      </c>
      <c r="R47" s="7">
        <f>ROUND(202/E47,3)</f>
        <v>2.806</v>
      </c>
      <c r="S47" s="7">
        <f>ROUND(95/E47,3)</f>
        <v>1.319</v>
      </c>
      <c r="T47" s="7">
        <f>ROUND(26.81/E47,3)</f>
        <v>0.372</v>
      </c>
      <c r="U47" s="7">
        <f>ROUND(99/E47,3)</f>
        <v>1.375</v>
      </c>
      <c r="V47" s="7">
        <f>ROUND(17/E47,3)</f>
        <v>0.23599999999999999</v>
      </c>
      <c r="W47" s="7">
        <f>ROUND(25.59/E47,3)</f>
        <v>0.35499999999999998</v>
      </c>
      <c r="X47" s="7">
        <v>0.59</v>
      </c>
      <c r="Y47" s="7">
        <v>0.64</v>
      </c>
      <c r="Z47" s="7">
        <v>0.62</v>
      </c>
      <c r="AA47" s="7">
        <f>ROUND(60.03/E47,3)</f>
        <v>0.83399999999999996</v>
      </c>
      <c r="AB47" s="7">
        <f>ROUND(30/E47,3)</f>
        <v>0.41699999999999998</v>
      </c>
      <c r="AC47" s="7">
        <v>8480830</v>
      </c>
    </row>
    <row r="48" spans="1:29" ht="15" customHeight="1" x14ac:dyDescent="0.2">
      <c r="A48" s="7" t="s">
        <v>211</v>
      </c>
      <c r="B48" s="7" t="s">
        <v>92</v>
      </c>
      <c r="C48" s="7" t="s">
        <v>230</v>
      </c>
      <c r="D48" s="7">
        <v>20</v>
      </c>
      <c r="E48" s="7">
        <v>82</v>
      </c>
      <c r="F48" s="7">
        <f>ROUND(20/E48,3)</f>
        <v>0.24399999999999999</v>
      </c>
      <c r="G48" s="7">
        <f>ROUND(24/E48,3)</f>
        <v>0.29299999999999998</v>
      </c>
      <c r="H48" s="7">
        <f>ROUND(190/E48,3)</f>
        <v>2.3170000000000002</v>
      </c>
      <c r="I48" s="7">
        <f>ROUND(68/E48,3)</f>
        <v>0.82899999999999996</v>
      </c>
      <c r="J48" s="7">
        <f>ROUND(51/E48,3)</f>
        <v>0.622</v>
      </c>
      <c r="K48" s="7">
        <f t="shared" si="1"/>
        <v>7.0635000000000003</v>
      </c>
      <c r="L48" s="7">
        <f>ROUND(1160.75/E48,3)</f>
        <v>14.154999999999999</v>
      </c>
      <c r="M48" s="7">
        <f>ROUND(20/E48,3)</f>
        <v>0.24399999999999999</v>
      </c>
      <c r="N48" s="7" t="s">
        <v>372</v>
      </c>
      <c r="O48" s="7" t="s">
        <v>104</v>
      </c>
      <c r="P48" s="7">
        <f>ROUND(410/E48,3)</f>
        <v>5</v>
      </c>
      <c r="Q48" s="7">
        <f>ROUND(306/E48,3)</f>
        <v>3.7320000000000002</v>
      </c>
      <c r="R48" s="7">
        <f>ROUND(180/E48,3)</f>
        <v>2.1949999999999998</v>
      </c>
      <c r="S48" s="7">
        <f>ROUND(62/E48,3)</f>
        <v>0.75600000000000001</v>
      </c>
      <c r="T48" s="7">
        <f>ROUND(19.36/E48,3)</f>
        <v>0.23599999999999999</v>
      </c>
      <c r="U48" s="7">
        <f>ROUND(81/E48,3)</f>
        <v>0.98799999999999999</v>
      </c>
      <c r="V48" s="7">
        <f>ROUND(22/E48,3)</f>
        <v>0.26800000000000002</v>
      </c>
      <c r="W48" s="7">
        <f>ROUND(18.46/E48,3)</f>
        <v>0.22500000000000001</v>
      </c>
      <c r="X48" s="7">
        <v>0.49</v>
      </c>
      <c r="Y48" s="7">
        <v>0.5</v>
      </c>
      <c r="Z48" s="7">
        <v>0.5</v>
      </c>
      <c r="AA48" s="7">
        <f>ROUND(40.16/E48,3)</f>
        <v>0.49</v>
      </c>
      <c r="AB48" s="7">
        <f>ROUND(18/E48,3)</f>
        <v>0.22</v>
      </c>
      <c r="AC48" s="7">
        <v>8483445</v>
      </c>
    </row>
    <row r="49" spans="1:29" ht="15" customHeight="1" x14ac:dyDescent="0.2">
      <c r="A49" s="7" t="s">
        <v>212</v>
      </c>
      <c r="B49" s="7" t="s">
        <v>55</v>
      </c>
      <c r="C49" s="7" t="s">
        <v>84</v>
      </c>
      <c r="D49" s="7">
        <v>26</v>
      </c>
      <c r="E49" s="7">
        <v>77</v>
      </c>
      <c r="F49" s="7">
        <f>ROUND(33/E49,3)</f>
        <v>0.42899999999999999</v>
      </c>
      <c r="G49" s="7">
        <f>ROUND(24/E49,3)</f>
        <v>0.312</v>
      </c>
      <c r="H49" s="7">
        <f>ROUND(150/E49,3)</f>
        <v>1.948</v>
      </c>
      <c r="I49" s="7">
        <f>ROUND(110/E49,3)</f>
        <v>1.429</v>
      </c>
      <c r="J49" s="7">
        <f>ROUND(29/E49,3)</f>
        <v>0.377</v>
      </c>
      <c r="K49" s="7">
        <f t="shared" si="1"/>
        <v>8.3435000000000006</v>
      </c>
      <c r="L49" s="7">
        <f>ROUND(1302.8666666667/E49,3)</f>
        <v>16.920000000000002</v>
      </c>
      <c r="M49" s="7">
        <f>ROUND(22/E49,3)</f>
        <v>0.28599999999999998</v>
      </c>
      <c r="N49" s="7" t="s">
        <v>1093</v>
      </c>
      <c r="O49" s="7" t="s">
        <v>1094</v>
      </c>
      <c r="P49" s="7">
        <f>ROUND(307/E49,3)</f>
        <v>3.9870000000000001</v>
      </c>
      <c r="Q49" s="7">
        <f>ROUND(229/E49,3)</f>
        <v>2.9740000000000002</v>
      </c>
      <c r="R49" s="7">
        <f>ROUND(180/E49,3)</f>
        <v>2.3380000000000001</v>
      </c>
      <c r="S49" s="7">
        <f>ROUND(81/E49,3)</f>
        <v>1.052</v>
      </c>
      <c r="T49" s="7">
        <f>ROUND(19.73/E49,3)</f>
        <v>0.25600000000000001</v>
      </c>
      <c r="U49" s="7">
        <f>ROUND(51/E49,3)</f>
        <v>0.66200000000000003</v>
      </c>
      <c r="V49" s="7">
        <f>ROUND(31/E49,3)</f>
        <v>0.40300000000000002</v>
      </c>
      <c r="W49" s="7">
        <f>ROUND(20.44/E49,3)</f>
        <v>0.26500000000000001</v>
      </c>
      <c r="X49" s="7">
        <v>0.55000000000000004</v>
      </c>
      <c r="Y49" s="7">
        <v>0.55000000000000004</v>
      </c>
      <c r="Z49" s="7">
        <v>0.54</v>
      </c>
      <c r="AA49" s="7">
        <f>ROUND(57.34/E49,3)</f>
        <v>0.745</v>
      </c>
      <c r="AB49" s="7">
        <f>ROUND(24/E49,3)</f>
        <v>0.312</v>
      </c>
      <c r="AC49" s="7">
        <v>8479987</v>
      </c>
    </row>
    <row r="50" spans="1:29" ht="15" customHeight="1" x14ac:dyDescent="0.2">
      <c r="A50" s="7" t="s">
        <v>216</v>
      </c>
      <c r="B50" s="7" t="s">
        <v>55</v>
      </c>
      <c r="C50" s="7" t="s">
        <v>72</v>
      </c>
      <c r="D50" s="7">
        <v>25</v>
      </c>
      <c r="E50" s="7">
        <v>71</v>
      </c>
      <c r="F50" s="7">
        <f>ROUND(27/E50,3)</f>
        <v>0.38</v>
      </c>
      <c r="G50" s="7">
        <f>ROUND(34/E50,3)</f>
        <v>0.47899999999999998</v>
      </c>
      <c r="H50" s="7">
        <f>ROUND(130/E50,3)</f>
        <v>1.831</v>
      </c>
      <c r="I50" s="7">
        <f>ROUND(21/E50,3)</f>
        <v>0.29599999999999999</v>
      </c>
      <c r="J50" s="7">
        <f>ROUND(50/E50,3)</f>
        <v>0.70399999999999996</v>
      </c>
      <c r="K50" s="7">
        <f t="shared" si="1"/>
        <v>8.5969999999999995</v>
      </c>
      <c r="L50" s="7">
        <f>ROUND(1287.6666666667/E50,3)</f>
        <v>18.135999999999999</v>
      </c>
      <c r="M50" s="7">
        <f>ROUND(14/E50,3)</f>
        <v>0.19700000000000001</v>
      </c>
      <c r="N50" s="7" t="s">
        <v>1095</v>
      </c>
      <c r="O50" s="7" t="s">
        <v>1096</v>
      </c>
      <c r="P50" s="7">
        <f>ROUND(232/E50,3)</f>
        <v>3.2679999999999998</v>
      </c>
      <c r="Q50" s="7">
        <f>ROUND(187/E50,3)</f>
        <v>2.6339999999999999</v>
      </c>
      <c r="R50" s="7">
        <f>ROUND(168/E50,3)</f>
        <v>2.3660000000000001</v>
      </c>
      <c r="S50" s="7">
        <f>ROUND(108/E50,3)</f>
        <v>1.5209999999999999</v>
      </c>
      <c r="T50" s="7">
        <f>ROUND(19.9/E50,3)</f>
        <v>0.28000000000000003</v>
      </c>
      <c r="U50" s="7">
        <f>ROUND(41/E50,3)</f>
        <v>0.57699999999999996</v>
      </c>
      <c r="V50" s="7">
        <f>ROUND(22/E50,3)</f>
        <v>0.31</v>
      </c>
      <c r="W50" s="7">
        <f>ROUND(21.67/E50,3)</f>
        <v>0.30499999999999999</v>
      </c>
      <c r="X50" s="7">
        <v>0.57999999999999996</v>
      </c>
      <c r="Y50" s="7">
        <v>0.55000000000000004</v>
      </c>
      <c r="Z50" s="7">
        <v>0.54</v>
      </c>
      <c r="AA50" s="7">
        <f>ROUND(53.98/E50,3)</f>
        <v>0.76</v>
      </c>
      <c r="AB50" s="7">
        <f>ROUND(30/E50,3)</f>
        <v>0.42299999999999999</v>
      </c>
      <c r="AC50" s="7">
        <v>8480014</v>
      </c>
    </row>
    <row r="51" spans="1:29" ht="15" customHeight="1" x14ac:dyDescent="0.2">
      <c r="A51" s="7" t="s">
        <v>219</v>
      </c>
      <c r="B51" s="7" t="s">
        <v>60</v>
      </c>
      <c r="C51" s="7" t="s">
        <v>220</v>
      </c>
      <c r="D51" s="7">
        <v>27</v>
      </c>
      <c r="E51" s="7">
        <v>82</v>
      </c>
      <c r="F51" s="7">
        <f>ROUND(24/E51,3)</f>
        <v>0.29299999999999998</v>
      </c>
      <c r="G51" s="7">
        <f>ROUND(52/E51,3)</f>
        <v>0.63400000000000001</v>
      </c>
      <c r="H51" s="7">
        <f>ROUND(188/E51,3)</f>
        <v>2.2930000000000001</v>
      </c>
      <c r="I51" s="7">
        <f>ROUND(94/E51,3)</f>
        <v>1.1459999999999999</v>
      </c>
      <c r="J51" s="7">
        <f>ROUND(42/E51,3)</f>
        <v>0.51200000000000001</v>
      </c>
      <c r="K51" s="7">
        <f t="shared" si="1"/>
        <v>9.5259999999999998</v>
      </c>
      <c r="L51" s="7">
        <f>ROUND(1689.4333333333/E51,3)</f>
        <v>20.603000000000002</v>
      </c>
      <c r="M51" s="7">
        <f>ROUND(53/E51,3)</f>
        <v>0.64600000000000002</v>
      </c>
      <c r="N51" s="7" t="s">
        <v>599</v>
      </c>
      <c r="O51" s="7" t="s">
        <v>1097</v>
      </c>
      <c r="P51" s="7">
        <f>ROUND(404/E51,3)</f>
        <v>4.9269999999999996</v>
      </c>
      <c r="Q51" s="7">
        <f>ROUND(296/E51,3)</f>
        <v>3.61</v>
      </c>
      <c r="R51" s="7">
        <f>ROUND(197/E51,3)</f>
        <v>2.4020000000000001</v>
      </c>
      <c r="S51" s="7">
        <f>ROUND(59/E51,3)</f>
        <v>0.72</v>
      </c>
      <c r="T51" s="7">
        <f>ROUND(21.41/E51,3)</f>
        <v>0.26100000000000001</v>
      </c>
      <c r="U51" s="7">
        <f>ROUND(96/E51,3)</f>
        <v>1.171</v>
      </c>
      <c r="V51" s="7">
        <f>ROUND(26/E51,3)</f>
        <v>0.317</v>
      </c>
      <c r="W51" s="7">
        <f>ROUND(24.74/E51,3)</f>
        <v>0.30199999999999999</v>
      </c>
      <c r="X51" s="7">
        <v>0.54</v>
      </c>
      <c r="Y51" s="7">
        <v>0.52</v>
      </c>
      <c r="Z51" s="7">
        <v>0.53</v>
      </c>
      <c r="AA51" s="7">
        <f>ROUND(61.48/E51,3)</f>
        <v>0.75</v>
      </c>
      <c r="AB51" s="7">
        <f>ROUND(28/E51,3)</f>
        <v>0.34100000000000003</v>
      </c>
      <c r="AC51" s="7">
        <v>8478439</v>
      </c>
    </row>
    <row r="52" spans="1:29" ht="15" customHeight="1" x14ac:dyDescent="0.2">
      <c r="A52" s="7" t="s">
        <v>224</v>
      </c>
      <c r="B52" s="7" t="s">
        <v>55</v>
      </c>
      <c r="C52" s="7" t="s">
        <v>160</v>
      </c>
      <c r="D52" s="7">
        <v>28</v>
      </c>
      <c r="E52" s="7">
        <v>82</v>
      </c>
      <c r="F52" s="7">
        <f>ROUND(30/E52,3)</f>
        <v>0.36599999999999999</v>
      </c>
      <c r="G52" s="7">
        <f>ROUND(40/E52,3)</f>
        <v>0.48799999999999999</v>
      </c>
      <c r="H52" s="7">
        <f>ROUND(234/E52,3)</f>
        <v>2.8540000000000001</v>
      </c>
      <c r="I52" s="7">
        <f>ROUND(44/E52,3)</f>
        <v>0.53700000000000003</v>
      </c>
      <c r="J52" s="7">
        <f>ROUND(33/E52,3)</f>
        <v>0.40200000000000002</v>
      </c>
      <c r="K52" s="7">
        <f t="shared" si="1"/>
        <v>9.3804999999999996</v>
      </c>
      <c r="L52" s="7">
        <f>ROUND(1645.8/E52,3)</f>
        <v>20.071000000000002</v>
      </c>
      <c r="M52" s="7">
        <f>ROUND(40/E52,3)</f>
        <v>0.48799999999999999</v>
      </c>
      <c r="N52" s="7" t="s">
        <v>887</v>
      </c>
      <c r="O52" s="7" t="s">
        <v>86</v>
      </c>
      <c r="P52" s="7">
        <f>ROUND(456/E52,3)</f>
        <v>5.5609999999999999</v>
      </c>
      <c r="Q52" s="7">
        <f>ROUND(347/E52,3)</f>
        <v>4.2320000000000002</v>
      </c>
      <c r="R52" s="7">
        <f>ROUND(244/E52,3)</f>
        <v>2.976</v>
      </c>
      <c r="S52" s="7">
        <f>ROUND(109/E52,3)</f>
        <v>1.329</v>
      </c>
      <c r="T52" s="7">
        <f>ROUND(33.33/E52,3)</f>
        <v>0.40600000000000003</v>
      </c>
      <c r="U52" s="7">
        <f>ROUND(94/E52,3)</f>
        <v>1.1459999999999999</v>
      </c>
      <c r="V52" s="7">
        <f>ROUND(39/E52,3)</f>
        <v>0.47599999999999998</v>
      </c>
      <c r="W52" s="7">
        <f>ROUND(33.97/E52,3)</f>
        <v>0.41399999999999998</v>
      </c>
      <c r="X52" s="7">
        <v>0.56999999999999995</v>
      </c>
      <c r="Y52" s="7">
        <v>0.56000000000000005</v>
      </c>
      <c r="Z52" s="7">
        <v>0.56000000000000005</v>
      </c>
      <c r="AA52" s="7">
        <f>ROUND(74.38/E52,3)</f>
        <v>0.90700000000000003</v>
      </c>
      <c r="AB52" s="7">
        <f>ROUND(43/E52,3)</f>
        <v>0.52400000000000002</v>
      </c>
      <c r="AC52" s="7">
        <v>8477946</v>
      </c>
    </row>
    <row r="53" spans="1:29" ht="15" customHeight="1" x14ac:dyDescent="0.2">
      <c r="A53" s="7" t="s">
        <v>227</v>
      </c>
      <c r="B53" s="7" t="s">
        <v>55</v>
      </c>
      <c r="C53" s="7" t="s">
        <v>230</v>
      </c>
      <c r="D53" s="7">
        <v>19</v>
      </c>
      <c r="E53" s="7">
        <v>76</v>
      </c>
      <c r="F53" s="7">
        <f>ROUND(20/E53,3)</f>
        <v>0.26300000000000001</v>
      </c>
      <c r="G53" s="7">
        <f>ROUND(25/E53,3)</f>
        <v>0.32900000000000001</v>
      </c>
      <c r="H53" s="7">
        <f>ROUND(114/E53,3)</f>
        <v>1.5</v>
      </c>
      <c r="I53" s="7">
        <f>ROUND(24/E53,3)</f>
        <v>0.316</v>
      </c>
      <c r="J53" s="7">
        <f>ROUND(36/E53,3)</f>
        <v>0.47399999999999998</v>
      </c>
      <c r="K53" s="7">
        <f t="shared" si="1"/>
        <v>6.2100000000000009</v>
      </c>
      <c r="L53" s="7">
        <f>ROUND(1234.2666666667/E53,3)</f>
        <v>16.239999999999998</v>
      </c>
      <c r="M53" s="7">
        <f>ROUND(14/E53,3)</f>
        <v>0.184</v>
      </c>
      <c r="N53" s="7" t="s">
        <v>1098</v>
      </c>
      <c r="O53" s="7" t="s">
        <v>1099</v>
      </c>
      <c r="P53" s="7">
        <f>ROUND(227/E53,3)</f>
        <v>2.9870000000000001</v>
      </c>
      <c r="Q53" s="7">
        <f>ROUND(175/E53,3)</f>
        <v>2.3029999999999999</v>
      </c>
      <c r="R53" s="7">
        <f>ROUND(150/E53,3)</f>
        <v>1.974</v>
      </c>
      <c r="S53" s="7">
        <f>ROUND(73/E53,3)</f>
        <v>0.96099999999999997</v>
      </c>
      <c r="T53" s="7">
        <f>ROUND(15.25/E53,3)</f>
        <v>0.20100000000000001</v>
      </c>
      <c r="U53" s="7">
        <f>ROUND(51/E53,3)</f>
        <v>0.67100000000000004</v>
      </c>
      <c r="V53" s="7">
        <f>ROUND(18/E53,3)</f>
        <v>0.23699999999999999</v>
      </c>
      <c r="W53" s="7">
        <f>ROUND(17.18/E53,3)</f>
        <v>0.22600000000000001</v>
      </c>
      <c r="X53" s="7">
        <v>0.51</v>
      </c>
      <c r="Y53" s="7">
        <v>0.53</v>
      </c>
      <c r="Z53" s="7">
        <v>0.53</v>
      </c>
      <c r="AA53" s="7">
        <f>ROUND(35.19/E53,3)</f>
        <v>0.46300000000000002</v>
      </c>
      <c r="AB53" s="7">
        <f>ROUND(18/E53,3)</f>
        <v>0.23699999999999999</v>
      </c>
      <c r="AC53" s="7">
        <v>8484153</v>
      </c>
    </row>
    <row r="54" spans="1:29" ht="15" customHeight="1" x14ac:dyDescent="0.2">
      <c r="A54" s="7" t="s">
        <v>228</v>
      </c>
      <c r="B54" s="7" t="s">
        <v>60</v>
      </c>
      <c r="C54" s="7" t="s">
        <v>380</v>
      </c>
      <c r="D54" s="7">
        <v>24</v>
      </c>
      <c r="E54" s="7">
        <v>79</v>
      </c>
      <c r="F54" s="7">
        <f>ROUND(31/E54,3)</f>
        <v>0.39200000000000002</v>
      </c>
      <c r="G54" s="7">
        <f>ROUND(43/E54,3)</f>
        <v>0.54400000000000004</v>
      </c>
      <c r="H54" s="7">
        <f>ROUND(207/E54,3)</f>
        <v>2.62</v>
      </c>
      <c r="I54" s="7">
        <f>ROUND(55/E54,3)</f>
        <v>0.69599999999999995</v>
      </c>
      <c r="J54" s="7">
        <f>ROUND(38/E54,3)</f>
        <v>0.48099999999999998</v>
      </c>
      <c r="K54" s="7">
        <f t="shared" si="1"/>
        <v>9.8490000000000002</v>
      </c>
      <c r="L54" s="7">
        <f>ROUND(1468.0666666667/E54,3)</f>
        <v>18.582999999999998</v>
      </c>
      <c r="M54" s="7">
        <f>ROUND(20/E54,3)</f>
        <v>0.253</v>
      </c>
      <c r="N54" s="7" t="s">
        <v>1089</v>
      </c>
      <c r="O54" s="7" t="s">
        <v>1100</v>
      </c>
      <c r="P54" s="7">
        <f>ROUND(434/E54,3)</f>
        <v>5.4939999999999998</v>
      </c>
      <c r="Q54" s="7">
        <f>ROUND(299/E54,3)</f>
        <v>3.7850000000000001</v>
      </c>
      <c r="R54" s="7">
        <f>ROUND(199/E54,3)</f>
        <v>2.5190000000000001</v>
      </c>
      <c r="S54" s="7">
        <f>ROUND(62/E54,3)</f>
        <v>0.78500000000000003</v>
      </c>
      <c r="T54" s="7">
        <f>ROUND(22.61/E54,3)</f>
        <v>0.28599999999999998</v>
      </c>
      <c r="U54" s="7">
        <f>ROUND(84/E54,3)</f>
        <v>1.0629999999999999</v>
      </c>
      <c r="V54" s="7">
        <f>ROUND(36/E54,3)</f>
        <v>0.45600000000000002</v>
      </c>
      <c r="W54" s="7">
        <f>ROUND(20.45/E54,3)</f>
        <v>0.25900000000000001</v>
      </c>
      <c r="X54" s="7">
        <v>0.56999999999999995</v>
      </c>
      <c r="Y54" s="7">
        <v>0.57999999999999996</v>
      </c>
      <c r="Z54" s="7">
        <v>0.56999999999999995</v>
      </c>
      <c r="AA54" s="7">
        <f>ROUND(81.22/E54,3)</f>
        <v>1.028</v>
      </c>
      <c r="AB54" s="7">
        <f>ROUND(25/E54,3)</f>
        <v>0.316</v>
      </c>
      <c r="AC54" s="7">
        <v>8480893</v>
      </c>
    </row>
    <row r="55" spans="1:29" ht="15" customHeight="1" x14ac:dyDescent="0.2">
      <c r="A55" s="7" t="s">
        <v>229</v>
      </c>
      <c r="B55" s="7" t="s">
        <v>55</v>
      </c>
      <c r="C55" s="7" t="s">
        <v>230</v>
      </c>
      <c r="D55" s="7">
        <v>23</v>
      </c>
      <c r="E55" s="7">
        <v>57</v>
      </c>
      <c r="F55" s="7">
        <f>ROUND(12/E55,3)</f>
        <v>0.21099999999999999</v>
      </c>
      <c r="G55" s="7">
        <f>ROUND(20/E55,3)</f>
        <v>0.35099999999999998</v>
      </c>
      <c r="H55" s="7">
        <f>ROUND(98/E55,3)</f>
        <v>1.7190000000000001</v>
      </c>
      <c r="I55" s="7">
        <f>ROUND(50/E55,3)</f>
        <v>0.877</v>
      </c>
      <c r="J55" s="7">
        <f>ROUND(27/E55,3)</f>
        <v>0.47399999999999998</v>
      </c>
      <c r="K55" s="7">
        <f t="shared" si="1"/>
        <v>6.4255000000000004</v>
      </c>
      <c r="L55" s="7">
        <f>ROUND(971.23333333333/E55,3)</f>
        <v>17.039000000000001</v>
      </c>
      <c r="M55" s="7">
        <f>ROUND(23/E55,3)</f>
        <v>0.40400000000000003</v>
      </c>
      <c r="N55" s="7" t="s">
        <v>941</v>
      </c>
      <c r="O55" s="7" t="s">
        <v>1101</v>
      </c>
      <c r="P55" s="7">
        <f>ROUND(196/E55,3)</f>
        <v>3.4390000000000001</v>
      </c>
      <c r="Q55" s="7">
        <f>ROUND(153/E55,3)</f>
        <v>2.6840000000000002</v>
      </c>
      <c r="R55" s="7">
        <f>ROUND(89/E55,3)</f>
        <v>1.5609999999999999</v>
      </c>
      <c r="S55" s="7">
        <f>ROUND(38/E55,3)</f>
        <v>0.66700000000000004</v>
      </c>
      <c r="T55" s="7">
        <f>ROUND(11.86/E55,3)</f>
        <v>0.20799999999999999</v>
      </c>
      <c r="U55" s="7">
        <f>ROUND(51/E55,3)</f>
        <v>0.89500000000000002</v>
      </c>
      <c r="V55" s="7">
        <f>ROUND(13/E55,3)</f>
        <v>0.22800000000000001</v>
      </c>
      <c r="W55" s="7">
        <f>ROUND(11.63/E55,3)</f>
        <v>0.20399999999999999</v>
      </c>
      <c r="X55" s="7">
        <v>0.51</v>
      </c>
      <c r="Y55" s="7">
        <v>0.52</v>
      </c>
      <c r="Z55" s="7">
        <v>0.51</v>
      </c>
      <c r="AA55" s="7">
        <f>ROUND(21.95/E55,3)</f>
        <v>0.38500000000000001</v>
      </c>
      <c r="AB55" s="7">
        <f>ROUND(14/E55,3)</f>
        <v>0.246</v>
      </c>
      <c r="AC55" s="7">
        <v>8481533</v>
      </c>
    </row>
    <row r="56" spans="1:29" ht="15" customHeight="1" x14ac:dyDescent="0.2">
      <c r="A56" s="7" t="s">
        <v>233</v>
      </c>
      <c r="B56" s="7" t="s">
        <v>55</v>
      </c>
      <c r="C56" s="7" t="s">
        <v>164</v>
      </c>
      <c r="D56" s="7">
        <v>34</v>
      </c>
      <c r="E56" s="7">
        <v>82</v>
      </c>
      <c r="F56" s="7">
        <f>ROUND(27/E56,3)</f>
        <v>0.32900000000000001</v>
      </c>
      <c r="G56" s="7">
        <f>ROUND(26/E56,3)</f>
        <v>0.317</v>
      </c>
      <c r="H56" s="7">
        <f>ROUND(174/E56,3)</f>
        <v>2.1219999999999999</v>
      </c>
      <c r="I56" s="7">
        <f>ROUND(66/E56,3)</f>
        <v>0.80500000000000005</v>
      </c>
      <c r="J56" s="7">
        <f>ROUND(46/E56,3)</f>
        <v>0.56100000000000005</v>
      </c>
      <c r="K56" s="7">
        <f t="shared" si="1"/>
        <v>7.6195000000000004</v>
      </c>
      <c r="L56" s="7">
        <f>ROUND(1475.9833333333/E56,3)</f>
        <v>18</v>
      </c>
      <c r="M56" s="7">
        <f>ROUND(48/E56,3)</f>
        <v>0.58499999999999996</v>
      </c>
      <c r="N56" s="7" t="s">
        <v>1102</v>
      </c>
      <c r="O56" s="7" t="s">
        <v>1103</v>
      </c>
      <c r="P56" s="7">
        <f>ROUND(356/E56,3)</f>
        <v>4.3410000000000002</v>
      </c>
      <c r="Q56" s="7">
        <f>ROUND(258/E56,3)</f>
        <v>3.1459999999999999</v>
      </c>
      <c r="R56" s="7">
        <f>ROUND(188/E56,3)</f>
        <v>2.2930000000000001</v>
      </c>
      <c r="S56" s="7">
        <f>ROUND(64/E56,3)</f>
        <v>0.78</v>
      </c>
      <c r="T56" s="7">
        <f>ROUND(20.94/E56,3)</f>
        <v>0.255</v>
      </c>
      <c r="U56" s="7">
        <f>ROUND(57/E56,3)</f>
        <v>0.69499999999999995</v>
      </c>
      <c r="V56" s="7">
        <f>ROUND(18/E56,3)</f>
        <v>0.22</v>
      </c>
      <c r="W56" s="7">
        <f>ROUND(22.66/E56,3)</f>
        <v>0.27600000000000002</v>
      </c>
      <c r="X56" s="7">
        <v>0.57999999999999996</v>
      </c>
      <c r="Y56" s="7">
        <v>0.57999999999999996</v>
      </c>
      <c r="Z56" s="7">
        <v>0.56999999999999995</v>
      </c>
      <c r="AA56" s="7">
        <f>ROUND(44.33/E56,3)</f>
        <v>0.54100000000000004</v>
      </c>
      <c r="AB56" s="7">
        <f>ROUND(24/E56,3)</f>
        <v>0.29299999999999998</v>
      </c>
      <c r="AC56" s="7">
        <v>8474564</v>
      </c>
    </row>
    <row r="57" spans="1:29" ht="15" customHeight="1" x14ac:dyDescent="0.2">
      <c r="A57" s="7" t="s">
        <v>236</v>
      </c>
      <c r="B57" s="7" t="s">
        <v>60</v>
      </c>
      <c r="C57" s="7" t="s">
        <v>138</v>
      </c>
      <c r="D57" s="7">
        <v>28</v>
      </c>
      <c r="E57" s="7">
        <v>82</v>
      </c>
      <c r="F57" s="7">
        <f>ROUND(36/E57,3)</f>
        <v>0.439</v>
      </c>
      <c r="G57" s="7">
        <f>ROUND(31/E57,3)</f>
        <v>0.378</v>
      </c>
      <c r="H57" s="7">
        <f>ROUND(197/E57,3)</f>
        <v>2.4020000000000001</v>
      </c>
      <c r="I57" s="7">
        <f>ROUND(73/E57,3)</f>
        <v>0.89</v>
      </c>
      <c r="J57" s="7">
        <f>ROUND(113/E57,3)</f>
        <v>1.3779999999999999</v>
      </c>
      <c r="K57" s="7">
        <f t="shared" si="1"/>
        <v>10.004999999999999</v>
      </c>
      <c r="L57" s="7">
        <f>ROUND(1578.85/E57,3)</f>
        <v>19.254000000000001</v>
      </c>
      <c r="M57" s="7">
        <f>ROUND(47/E57,3)</f>
        <v>0.57299999999999995</v>
      </c>
      <c r="N57" s="7" t="s">
        <v>1104</v>
      </c>
      <c r="O57" s="7" t="s">
        <v>1105</v>
      </c>
      <c r="P57" s="7">
        <f>ROUND(392/E57,3)</f>
        <v>4.78</v>
      </c>
      <c r="Q57" s="7">
        <f>ROUND(314/E57,3)</f>
        <v>3.8290000000000002</v>
      </c>
      <c r="R57" s="7">
        <f>ROUND(231/E57,3)</f>
        <v>2.8170000000000002</v>
      </c>
      <c r="S57" s="7">
        <f>ROUND(118/E57,3)</f>
        <v>1.4390000000000001</v>
      </c>
      <c r="T57" s="7">
        <f>ROUND(30.44/E57,3)</f>
        <v>0.371</v>
      </c>
      <c r="U57" s="7">
        <f>ROUND(76/E57,3)</f>
        <v>0.92700000000000005</v>
      </c>
      <c r="V57" s="7">
        <f>ROUND(49/E57,3)</f>
        <v>0.59799999999999998</v>
      </c>
      <c r="W57" s="7">
        <f>ROUND(31.87/E57,3)</f>
        <v>0.38900000000000001</v>
      </c>
      <c r="X57" s="7">
        <v>0.51</v>
      </c>
      <c r="Y57" s="7">
        <v>0.51</v>
      </c>
      <c r="Z57" s="7">
        <v>0.51</v>
      </c>
      <c r="AA57" s="7">
        <f>ROUND(67.04/E57,3)</f>
        <v>0.81799999999999995</v>
      </c>
      <c r="AB57" s="7">
        <f>ROUND(42/E57,3)</f>
        <v>0.51200000000000001</v>
      </c>
      <c r="AC57" s="7">
        <v>8477949</v>
      </c>
    </row>
    <row r="58" spans="1:29" ht="15" customHeight="1" x14ac:dyDescent="0.2">
      <c r="A58" s="7" t="s">
        <v>239</v>
      </c>
      <c r="B58" s="7" t="s">
        <v>55</v>
      </c>
      <c r="C58" s="7" t="s">
        <v>80</v>
      </c>
      <c r="D58" s="7">
        <v>22</v>
      </c>
      <c r="E58" s="7">
        <v>73</v>
      </c>
      <c r="F58" s="7">
        <f>ROUND(32/E58,3)</f>
        <v>0.438</v>
      </c>
      <c r="G58" s="7">
        <f>ROUND(35/E58,3)</f>
        <v>0.47899999999999998</v>
      </c>
      <c r="H58" s="7">
        <f>ROUND(204/E58,3)</f>
        <v>2.7949999999999999</v>
      </c>
      <c r="I58" s="7">
        <f>ROUND(92/E58,3)</f>
        <v>1.26</v>
      </c>
      <c r="J58" s="7">
        <f>ROUND(51/E58,3)</f>
        <v>0.69899999999999995</v>
      </c>
      <c r="K58" s="7">
        <f t="shared" si="1"/>
        <v>10.502000000000001</v>
      </c>
      <c r="L58" s="7">
        <f>ROUND(1412.9833333333/E58,3)</f>
        <v>19.356000000000002</v>
      </c>
      <c r="M58" s="7">
        <f>ROUND(16/E58,3)</f>
        <v>0.219</v>
      </c>
      <c r="N58" s="7" t="s">
        <v>1106</v>
      </c>
      <c r="O58" s="7" t="s">
        <v>586</v>
      </c>
      <c r="P58" s="7">
        <f>ROUND(392/E58,3)</f>
        <v>5.37</v>
      </c>
      <c r="Q58" s="7">
        <f>ROUND(313/E58,3)</f>
        <v>4.2880000000000003</v>
      </c>
      <c r="R58" s="7">
        <f>ROUND(246/E58,3)</f>
        <v>3.37</v>
      </c>
      <c r="S58" s="7">
        <f>ROUND(118/E58,3)</f>
        <v>1.6160000000000001</v>
      </c>
      <c r="T58" s="7">
        <f>ROUND(31.54/E58,3)</f>
        <v>0.432</v>
      </c>
      <c r="U58" s="7">
        <f>ROUND(58/E58,3)</f>
        <v>0.79500000000000004</v>
      </c>
      <c r="V58" s="7">
        <f>ROUND(32/E58,3)</f>
        <v>0.438</v>
      </c>
      <c r="W58" s="7">
        <f>ROUND(30.81/E58,3)</f>
        <v>0.42199999999999999</v>
      </c>
      <c r="X58" s="7">
        <v>0.59</v>
      </c>
      <c r="Y58" s="7">
        <v>0.61</v>
      </c>
      <c r="Z58" s="7">
        <v>0.62</v>
      </c>
      <c r="AA58" s="7">
        <f>ROUND(85.07/E58,3)</f>
        <v>1.165</v>
      </c>
      <c r="AB58" s="7">
        <f>ROUND(32/E58,3)</f>
        <v>0.438</v>
      </c>
      <c r="AC58" s="7">
        <v>8482093</v>
      </c>
    </row>
    <row r="59" spans="1:29" ht="15" customHeight="1" x14ac:dyDescent="0.2">
      <c r="A59" s="7" t="s">
        <v>243</v>
      </c>
      <c r="B59" s="7" t="s">
        <v>55</v>
      </c>
      <c r="C59" s="7" t="s">
        <v>153</v>
      </c>
      <c r="D59" s="7">
        <v>25</v>
      </c>
      <c r="E59" s="7">
        <v>75</v>
      </c>
      <c r="F59" s="7">
        <f>ROUND(35/E59,3)</f>
        <v>0.46700000000000003</v>
      </c>
      <c r="G59" s="7">
        <f>ROUND(34/E59,3)</f>
        <v>0.45300000000000001</v>
      </c>
      <c r="H59" s="7">
        <f>ROUND(187/E59,3)</f>
        <v>2.4929999999999999</v>
      </c>
      <c r="I59" s="7">
        <f>ROUND(43/E59,3)</f>
        <v>0.57299999999999995</v>
      </c>
      <c r="J59" s="7">
        <f>ROUND(60/E59,3)</f>
        <v>0.8</v>
      </c>
      <c r="K59" s="7">
        <f t="shared" si="1"/>
        <v>10.033500000000002</v>
      </c>
      <c r="L59" s="7">
        <f>ROUND(1529.1/E59,3)</f>
        <v>20.388000000000002</v>
      </c>
      <c r="M59" s="7">
        <f>ROUND(20/E59,3)</f>
        <v>0.26700000000000002</v>
      </c>
      <c r="N59" s="7" t="s">
        <v>260</v>
      </c>
      <c r="O59" s="7" t="s">
        <v>1107</v>
      </c>
      <c r="P59" s="7">
        <f>ROUND(345/E59,3)</f>
        <v>4.5999999999999996</v>
      </c>
      <c r="Q59" s="7">
        <f>ROUND(268/E59,3)</f>
        <v>3.573</v>
      </c>
      <c r="R59" s="7">
        <f>ROUND(250/E59,3)</f>
        <v>3.3330000000000002</v>
      </c>
      <c r="S59" s="7">
        <f>ROUND(129/E59,3)</f>
        <v>1.72</v>
      </c>
      <c r="T59" s="7">
        <f>ROUND(31.26/E59,3)</f>
        <v>0.41699999999999998</v>
      </c>
      <c r="U59" s="7">
        <f>ROUND(53/E59,3)</f>
        <v>0.70699999999999996</v>
      </c>
      <c r="V59" s="7">
        <f>ROUND(24/E59,3)</f>
        <v>0.32</v>
      </c>
      <c r="W59" s="7">
        <f>ROUND(35.06/E59,3)</f>
        <v>0.46700000000000003</v>
      </c>
      <c r="X59" s="7">
        <v>0.6</v>
      </c>
      <c r="Y59" s="7">
        <v>0.56999999999999995</v>
      </c>
      <c r="Z59" s="7">
        <v>0.56999999999999995</v>
      </c>
      <c r="AA59" s="7">
        <f>ROUND(81.6/E59,3)</f>
        <v>1.0880000000000001</v>
      </c>
      <c r="AB59" s="7">
        <f>ROUND(49/E59,3)</f>
        <v>0.65300000000000002</v>
      </c>
      <c r="AC59" s="7">
        <v>8480002</v>
      </c>
    </row>
    <row r="60" spans="1:29" ht="15" customHeight="1" x14ac:dyDescent="0.2">
      <c r="A60" s="7" t="s">
        <v>246</v>
      </c>
      <c r="B60" s="7" t="s">
        <v>92</v>
      </c>
      <c r="C60" s="7" t="s">
        <v>146</v>
      </c>
      <c r="D60" s="7">
        <v>21</v>
      </c>
      <c r="E60" s="7">
        <v>78</v>
      </c>
      <c r="F60" s="7">
        <f>ROUND(29/E60,3)</f>
        <v>0.372</v>
      </c>
      <c r="G60" s="7">
        <f>ROUND(29/E60,3)</f>
        <v>0.372</v>
      </c>
      <c r="H60" s="7">
        <f>ROUND(152/E60,3)</f>
        <v>1.9490000000000001</v>
      </c>
      <c r="I60" s="7">
        <f>ROUND(181/E60,3)</f>
        <v>2.3210000000000002</v>
      </c>
      <c r="J60" s="7">
        <f>ROUND(41/E60,3)</f>
        <v>0.52600000000000002</v>
      </c>
      <c r="K60" s="7">
        <f t="shared" si="1"/>
        <v>8.8435000000000006</v>
      </c>
      <c r="L60" s="7">
        <f>ROUND(1444.1666666667/E60,3)</f>
        <v>18.515000000000001</v>
      </c>
      <c r="M60" s="7">
        <f>ROUND(43/E60,3)</f>
        <v>0.55100000000000005</v>
      </c>
      <c r="N60" s="7" t="s">
        <v>1108</v>
      </c>
      <c r="O60" s="7" t="s">
        <v>1109</v>
      </c>
      <c r="P60" s="7">
        <f>ROUND(258/E60,3)</f>
        <v>3.3079999999999998</v>
      </c>
      <c r="Q60" s="7">
        <f>ROUND(220/E60,3)</f>
        <v>2.8210000000000002</v>
      </c>
      <c r="R60" s="7">
        <f>ROUND(196/E60,3)</f>
        <v>2.5129999999999999</v>
      </c>
      <c r="S60" s="7">
        <f>ROUND(135/E60,3)</f>
        <v>1.7310000000000001</v>
      </c>
      <c r="T60" s="7">
        <f>ROUND(24.96/E60,3)</f>
        <v>0.32</v>
      </c>
      <c r="U60" s="7">
        <f>ROUND(51/E60,3)</f>
        <v>0.65400000000000003</v>
      </c>
      <c r="V60" s="7">
        <f>ROUND(14/E60,3)</f>
        <v>0.17899999999999999</v>
      </c>
      <c r="W60" s="7">
        <f>ROUND(27.2/E60,3)</f>
        <v>0.34899999999999998</v>
      </c>
      <c r="X60" s="7">
        <v>0.55000000000000004</v>
      </c>
      <c r="Y60" s="7">
        <v>0.52</v>
      </c>
      <c r="Z60" s="7">
        <v>0.52</v>
      </c>
      <c r="AA60" s="7">
        <f>ROUND(55.69/E60,3)</f>
        <v>0.71399999999999997</v>
      </c>
      <c r="AB60" s="7">
        <f>ROUND(40/E60,3)</f>
        <v>0.51300000000000001</v>
      </c>
      <c r="AC60" s="7">
        <v>8482720</v>
      </c>
    </row>
    <row r="61" spans="1:29" ht="15" customHeight="1" x14ac:dyDescent="0.2">
      <c r="A61" s="7" t="s">
        <v>247</v>
      </c>
      <c r="B61" s="7" t="s">
        <v>55</v>
      </c>
      <c r="C61" s="7" t="s">
        <v>1110</v>
      </c>
      <c r="D61" s="7">
        <v>32</v>
      </c>
      <c r="E61" s="7">
        <v>80</v>
      </c>
      <c r="F61" s="7">
        <f>ROUND(26/E61,3)</f>
        <v>0.32500000000000001</v>
      </c>
      <c r="G61" s="7">
        <f>ROUND(30/E61,3)</f>
        <v>0.375</v>
      </c>
      <c r="H61" s="7">
        <f>ROUND(193/E61,3)</f>
        <v>2.4129999999999998</v>
      </c>
      <c r="I61" s="7">
        <f>ROUND(34/E61,3)</f>
        <v>0.42499999999999999</v>
      </c>
      <c r="J61" s="7">
        <f>ROUND(43/E61,3)</f>
        <v>0.53800000000000003</v>
      </c>
      <c r="K61" s="7">
        <f t="shared" si="1"/>
        <v>8.0135000000000005</v>
      </c>
      <c r="L61" s="7">
        <f>ROUND(1513/E61,3)</f>
        <v>18.913</v>
      </c>
      <c r="M61" s="7">
        <f>ROUND(18/E61,3)</f>
        <v>0.22500000000000001</v>
      </c>
      <c r="N61" s="7" t="s">
        <v>1111</v>
      </c>
      <c r="O61" s="7" t="s">
        <v>1112</v>
      </c>
      <c r="P61" s="7">
        <f>ROUND(360/E61,3)</f>
        <v>4.5</v>
      </c>
      <c r="Q61" s="7">
        <f>ROUND(280/E61,3)</f>
        <v>3.5</v>
      </c>
      <c r="R61" s="7">
        <f>ROUND(231/E61,3)</f>
        <v>2.8879999999999999</v>
      </c>
      <c r="S61" s="7">
        <f>ROUND(89/E61,3)</f>
        <v>1.113</v>
      </c>
      <c r="T61" s="7">
        <f>ROUND(22.57/E61,3)</f>
        <v>0.28199999999999997</v>
      </c>
      <c r="U61" s="7">
        <f>ROUND(50/E61,3)</f>
        <v>0.625</v>
      </c>
      <c r="V61" s="7">
        <f>ROUND(40/E61,3)</f>
        <v>0.5</v>
      </c>
      <c r="W61" s="7">
        <f>ROUND(22.21/E61,3)</f>
        <v>0.27800000000000002</v>
      </c>
      <c r="X61" s="7">
        <v>0.5</v>
      </c>
      <c r="Y61" s="7">
        <v>0.52</v>
      </c>
      <c r="Z61" s="7">
        <v>0.53</v>
      </c>
      <c r="AA61" s="7">
        <f>ROUND(57.74/E61,3)</f>
        <v>0.72199999999999998</v>
      </c>
      <c r="AB61" s="7">
        <f>ROUND(25/E61,3)</f>
        <v>0.313</v>
      </c>
      <c r="AC61" s="7">
        <v>8475754</v>
      </c>
    </row>
    <row r="62" spans="1:29" ht="15" customHeight="1" x14ac:dyDescent="0.2">
      <c r="A62" s="7" t="s">
        <v>250</v>
      </c>
      <c r="B62" s="7" t="s">
        <v>55</v>
      </c>
      <c r="C62" s="7" t="s">
        <v>84</v>
      </c>
      <c r="D62" s="7">
        <v>27</v>
      </c>
      <c r="E62" s="7">
        <v>82</v>
      </c>
      <c r="F62" s="7">
        <f>ROUND(14/E62,3)</f>
        <v>0.17100000000000001</v>
      </c>
      <c r="G62" s="7">
        <f>ROUND(33/E62,3)</f>
        <v>0.40200000000000002</v>
      </c>
      <c r="H62" s="7">
        <f>ROUND(132/E62,3)</f>
        <v>1.61</v>
      </c>
      <c r="I62" s="7">
        <f>ROUND(63/E62,3)</f>
        <v>0.76800000000000002</v>
      </c>
      <c r="J62" s="7">
        <f>ROUND(26/E62,3)</f>
        <v>0.317</v>
      </c>
      <c r="K62" s="7">
        <f t="shared" si="1"/>
        <v>6.0910000000000011</v>
      </c>
      <c r="L62" s="7">
        <f>ROUND(1563.1166666667/E62,3)</f>
        <v>19.062000000000001</v>
      </c>
      <c r="M62" s="7">
        <f>ROUND(21/E62,3)</f>
        <v>0.25600000000000001</v>
      </c>
      <c r="N62" s="7" t="s">
        <v>1113</v>
      </c>
      <c r="O62" s="7" t="s">
        <v>1114</v>
      </c>
      <c r="P62" s="7">
        <f>ROUND(257/E62,3)</f>
        <v>3.1339999999999999</v>
      </c>
      <c r="Q62" s="7">
        <f>ROUND(199/E62,3)</f>
        <v>2.427</v>
      </c>
      <c r="R62" s="7">
        <f>ROUND(177/E62,3)</f>
        <v>2.1589999999999998</v>
      </c>
      <c r="S62" s="7">
        <f>ROUND(81/E62,3)</f>
        <v>0.98799999999999999</v>
      </c>
      <c r="T62" s="7">
        <f>ROUND(19.23/E62,3)</f>
        <v>0.23499999999999999</v>
      </c>
      <c r="U62" s="7">
        <f>ROUND(62/E62,3)</f>
        <v>0.75600000000000001</v>
      </c>
      <c r="V62" s="7">
        <f>ROUND(24/E62,3)</f>
        <v>0.29299999999999998</v>
      </c>
      <c r="W62" s="7">
        <f>ROUND(20.95/E62,3)</f>
        <v>0.255</v>
      </c>
      <c r="X62" s="7">
        <v>0.5</v>
      </c>
      <c r="Y62" s="7">
        <v>0.51</v>
      </c>
      <c r="Z62" s="7">
        <v>0.5</v>
      </c>
      <c r="AA62" s="7">
        <f>ROUND(40.87/E62,3)</f>
        <v>0.498</v>
      </c>
      <c r="AB62" s="7">
        <f>ROUND(27/E62,3)</f>
        <v>0.32900000000000001</v>
      </c>
      <c r="AC62" s="7">
        <v>8478401</v>
      </c>
    </row>
    <row r="63" spans="1:29" ht="15" customHeight="1" x14ac:dyDescent="0.2">
      <c r="A63" s="7" t="s">
        <v>253</v>
      </c>
      <c r="B63" s="7" t="s">
        <v>60</v>
      </c>
      <c r="C63" s="7" t="s">
        <v>114</v>
      </c>
      <c r="D63" s="7">
        <v>32</v>
      </c>
      <c r="E63" s="7">
        <v>71</v>
      </c>
      <c r="F63" s="7">
        <f>ROUND(31/E63,3)</f>
        <v>0.437</v>
      </c>
      <c r="G63" s="7">
        <f>ROUND(34/E63,3)</f>
        <v>0.47899999999999998</v>
      </c>
      <c r="H63" s="7">
        <f>ROUND(190/E63,3)</f>
        <v>2.6760000000000002</v>
      </c>
      <c r="I63" s="7">
        <f>ROUND(62/E63,3)</f>
        <v>0.873</v>
      </c>
      <c r="J63" s="7">
        <f>ROUND(54/E63,3)</f>
        <v>0.76100000000000001</v>
      </c>
      <c r="K63" s="7">
        <f t="shared" si="1"/>
        <v>10.243499999999999</v>
      </c>
      <c r="L63" s="7">
        <f>ROUND(1402.3/E63,3)</f>
        <v>19.751000000000001</v>
      </c>
      <c r="M63" s="7">
        <f>ROUND(18/E63,3)</f>
        <v>0.254</v>
      </c>
      <c r="N63" s="7" t="s">
        <v>1115</v>
      </c>
      <c r="O63" s="7" t="s">
        <v>1116</v>
      </c>
      <c r="P63" s="7">
        <f>ROUND(335/E63,3)</f>
        <v>4.718</v>
      </c>
      <c r="Q63" s="7">
        <f>ROUND(282/E63,3)</f>
        <v>3.972</v>
      </c>
      <c r="R63" s="7">
        <f>ROUND(214/E63,3)</f>
        <v>3.0139999999999998</v>
      </c>
      <c r="S63" s="7">
        <f>ROUND(124/E63,3)</f>
        <v>1.746</v>
      </c>
      <c r="T63" s="7">
        <f>ROUND(26.32/E63,3)</f>
        <v>0.371</v>
      </c>
      <c r="U63" s="7">
        <f>ROUND(64/E63,3)</f>
        <v>0.90100000000000002</v>
      </c>
      <c r="V63" s="7">
        <f>ROUND(17/E63,3)</f>
        <v>0.23899999999999999</v>
      </c>
      <c r="W63" s="7">
        <f>ROUND(27.94/E63,3)</f>
        <v>0.39400000000000002</v>
      </c>
      <c r="X63" s="7">
        <v>0.5</v>
      </c>
      <c r="Y63" s="7">
        <v>0.51</v>
      </c>
      <c r="Z63" s="7">
        <v>0.5</v>
      </c>
      <c r="AA63" s="7">
        <f>ROUND(60.08/E63,3)</f>
        <v>0.84599999999999997</v>
      </c>
      <c r="AB63" s="7">
        <f>ROUND(42/E63,3)</f>
        <v>0.59199999999999997</v>
      </c>
      <c r="AC63" s="7">
        <v>8475810</v>
      </c>
    </row>
    <row r="64" spans="1:29" ht="15" customHeight="1" x14ac:dyDescent="0.2">
      <c r="A64" s="7" t="s">
        <v>257</v>
      </c>
      <c r="B64" s="7" t="s">
        <v>60</v>
      </c>
      <c r="C64" s="7" t="s">
        <v>102</v>
      </c>
      <c r="D64" s="7">
        <v>23</v>
      </c>
      <c r="E64" s="7">
        <v>82</v>
      </c>
      <c r="F64" s="7">
        <f>ROUND(35/E64,3)</f>
        <v>0.42699999999999999</v>
      </c>
      <c r="G64" s="7">
        <f>ROUND(17/E64,3)</f>
        <v>0.20699999999999999</v>
      </c>
      <c r="H64" s="7">
        <f>ROUND(254/E64,3)</f>
        <v>3.0979999999999999</v>
      </c>
      <c r="I64" s="7">
        <f>ROUND(28/E64,3)</f>
        <v>0.34100000000000003</v>
      </c>
      <c r="J64" s="7">
        <f>ROUND(37/E64,3)</f>
        <v>0.45100000000000001</v>
      </c>
      <c r="K64" s="7">
        <f t="shared" si="1"/>
        <v>8.3774999999999995</v>
      </c>
      <c r="L64" s="7">
        <f>ROUND(1355.1833333333/E64,3)</f>
        <v>16.527000000000001</v>
      </c>
      <c r="M64" s="7">
        <f>ROUND(30/E64,3)</f>
        <v>0.36599999999999999</v>
      </c>
      <c r="N64" s="7" t="s">
        <v>1117</v>
      </c>
      <c r="O64" s="7" t="s">
        <v>1118</v>
      </c>
      <c r="P64" s="7">
        <f>ROUND(436/E64,3)</f>
        <v>5.3170000000000002</v>
      </c>
      <c r="Q64" s="7">
        <f>ROUND(355/E64,3)</f>
        <v>4.3289999999999997</v>
      </c>
      <c r="R64" s="7">
        <f>ROUND(248/E64,3)</f>
        <v>3.024</v>
      </c>
      <c r="S64" s="7">
        <f>ROUND(83/E64,3)</f>
        <v>1.012</v>
      </c>
      <c r="T64" s="7">
        <f>ROUND(26.65/E64,3)</f>
        <v>0.32500000000000001</v>
      </c>
      <c r="U64" s="7">
        <f>ROUND(55/E64,3)</f>
        <v>0.67100000000000004</v>
      </c>
      <c r="V64" s="7">
        <f>ROUND(24/E64,3)</f>
        <v>0.29299999999999998</v>
      </c>
      <c r="W64" s="7">
        <f>ROUND(28.05/E64,3)</f>
        <v>0.34200000000000003</v>
      </c>
      <c r="X64" s="7">
        <v>0.64</v>
      </c>
      <c r="Y64" s="7">
        <v>0.59</v>
      </c>
      <c r="Z64" s="7">
        <v>0.6</v>
      </c>
      <c r="AA64" s="7">
        <f>ROUND(65.48/E64,3)</f>
        <v>0.79900000000000004</v>
      </c>
      <c r="AB64" s="7">
        <f>ROUND(27/E64,3)</f>
        <v>0.32900000000000001</v>
      </c>
      <c r="AC64" s="7">
        <v>8481604</v>
      </c>
    </row>
    <row r="65" spans="1:29" ht="15" customHeight="1" x14ac:dyDescent="0.2">
      <c r="A65" s="7" t="s">
        <v>258</v>
      </c>
      <c r="B65" s="7" t="s">
        <v>60</v>
      </c>
      <c r="C65" s="7" t="s">
        <v>433</v>
      </c>
      <c r="D65" s="7">
        <v>30</v>
      </c>
      <c r="E65" s="7">
        <v>13</v>
      </c>
      <c r="F65" s="7">
        <f>ROUND(4/E65,3)</f>
        <v>0.308</v>
      </c>
      <c r="G65" s="7">
        <f>ROUND(3/E65,3)</f>
        <v>0.23100000000000001</v>
      </c>
      <c r="H65" s="7">
        <f>ROUND(15/E65,3)</f>
        <v>1.1539999999999999</v>
      </c>
      <c r="I65" s="7">
        <f>ROUND(15/E65,3)</f>
        <v>1.1539999999999999</v>
      </c>
      <c r="J65" s="7">
        <f>ROUND(8/E65,3)</f>
        <v>0.61499999999999999</v>
      </c>
      <c r="K65" s="7">
        <f t="shared" si="1"/>
        <v>6.1959999999999997</v>
      </c>
      <c r="L65" s="7">
        <f>ROUND(180.73333333333/E65,3)</f>
        <v>13.903</v>
      </c>
      <c r="M65" s="7">
        <f>ROUND(11/E65,3)</f>
        <v>0.84599999999999997</v>
      </c>
      <c r="N65" s="7" t="s">
        <v>217</v>
      </c>
      <c r="O65" s="7" t="s">
        <v>852</v>
      </c>
      <c r="P65" s="7">
        <f>ROUND(35/E65,3)</f>
        <v>2.6920000000000002</v>
      </c>
      <c r="Q65" s="7">
        <f>ROUND(28/E65,3)</f>
        <v>2.1539999999999999</v>
      </c>
      <c r="R65" s="7">
        <f>ROUND(20/E65,3)</f>
        <v>1.538</v>
      </c>
      <c r="S65" s="7">
        <f>ROUND(11/E65,3)</f>
        <v>0.84599999999999997</v>
      </c>
      <c r="T65" s="7">
        <f>ROUND(2.24/E65,3)</f>
        <v>0.17199999999999999</v>
      </c>
      <c r="U65" s="7">
        <f>ROUND(7/E65,3)</f>
        <v>0.53800000000000003</v>
      </c>
      <c r="V65" s="7">
        <f>ROUND(3/E65,3)</f>
        <v>0.23100000000000001</v>
      </c>
      <c r="W65" s="7">
        <f>ROUND(2/E65,3)</f>
        <v>0.154</v>
      </c>
      <c r="X65" s="7">
        <v>0.63</v>
      </c>
      <c r="Y65" s="7">
        <v>0.54</v>
      </c>
      <c r="Z65" s="7">
        <v>0.57999999999999996</v>
      </c>
      <c r="AA65" s="7">
        <f>ROUND(6.64/E65,3)</f>
        <v>0.51100000000000001</v>
      </c>
      <c r="AB65" s="7">
        <f>ROUND(2/E65,3)</f>
        <v>0.154</v>
      </c>
      <c r="AC65" s="7">
        <v>8477511</v>
      </c>
    </row>
    <row r="66" spans="1:29" ht="15" customHeight="1" x14ac:dyDescent="0.2">
      <c r="A66" s="7" t="s">
        <v>263</v>
      </c>
      <c r="B66" s="7" t="s">
        <v>92</v>
      </c>
      <c r="C66" s="7" t="s">
        <v>259</v>
      </c>
      <c r="D66" s="7">
        <v>39</v>
      </c>
      <c r="E66" s="7">
        <v>65</v>
      </c>
      <c r="F66" s="7">
        <f>ROUND(44/E66,3)</f>
        <v>0.67700000000000005</v>
      </c>
      <c r="G66" s="7">
        <f>ROUND(29/E66,3)</f>
        <v>0.44600000000000001</v>
      </c>
      <c r="H66" s="7">
        <f>ROUND(237/E66,3)</f>
        <v>3.6459999999999999</v>
      </c>
      <c r="I66" s="7">
        <f>ROUND(110/E66,3)</f>
        <v>1.6919999999999999</v>
      </c>
      <c r="J66" s="7">
        <f>ROUND(13/E66,3)</f>
        <v>0.2</v>
      </c>
      <c r="K66" s="7">
        <f t="shared" si="1"/>
        <v>12.783999999999999</v>
      </c>
      <c r="L66" s="7">
        <f>ROUND(1152.0833333333/E66,3)</f>
        <v>17.724</v>
      </c>
      <c r="M66" s="7">
        <f>ROUND(14/E66,3)</f>
        <v>0.215</v>
      </c>
      <c r="N66" s="7" t="s">
        <v>1054</v>
      </c>
      <c r="O66" s="7" t="s">
        <v>1119</v>
      </c>
      <c r="P66" s="7">
        <f>ROUND(508/E66,3)</f>
        <v>7.8150000000000004</v>
      </c>
      <c r="Q66" s="7">
        <f>ROUND(355/E66,3)</f>
        <v>5.4619999999999997</v>
      </c>
      <c r="R66" s="7">
        <f>ROUND(199/E66,3)</f>
        <v>3.0619999999999998</v>
      </c>
      <c r="S66" s="7">
        <f>ROUND(69/E66,3)</f>
        <v>1.0620000000000001</v>
      </c>
      <c r="T66" s="7">
        <f>ROUND(27.28/E66,3)</f>
        <v>0.42</v>
      </c>
      <c r="U66" s="7">
        <f>ROUND(47/E66,3)</f>
        <v>0.72299999999999998</v>
      </c>
      <c r="V66" s="7">
        <f>ROUND(12/E66,3)</f>
        <v>0.185</v>
      </c>
      <c r="W66" s="7">
        <f>ROUND(31.07/E66,3)</f>
        <v>0.47799999999999998</v>
      </c>
      <c r="X66" s="7">
        <v>0.59</v>
      </c>
      <c r="Y66" s="7">
        <v>0.57999999999999996</v>
      </c>
      <c r="Z66" s="7">
        <v>0.57999999999999996</v>
      </c>
      <c r="AA66" s="7">
        <f>ROUND(69.7/E66,3)</f>
        <v>1.0720000000000001</v>
      </c>
      <c r="AB66" s="7">
        <f>ROUND(37/E66,3)</f>
        <v>0.56899999999999995</v>
      </c>
      <c r="AC66" s="7">
        <v>8471214</v>
      </c>
    </row>
    <row r="67" spans="1:29" ht="15" customHeight="1" x14ac:dyDescent="0.2">
      <c r="A67" s="7" t="s">
        <v>266</v>
      </c>
      <c r="B67" s="7" t="s">
        <v>55</v>
      </c>
      <c r="C67" s="7" t="s">
        <v>180</v>
      </c>
      <c r="D67" s="7">
        <v>25</v>
      </c>
      <c r="E67" s="7">
        <v>70</v>
      </c>
      <c r="F67" s="7">
        <f>ROUND(21/E67,3)</f>
        <v>0.3</v>
      </c>
      <c r="G67" s="7">
        <f>ROUND(60/E67,3)</f>
        <v>0.85699999999999998</v>
      </c>
      <c r="H67" s="7">
        <f>ROUND(145/E67,3)</f>
        <v>2.0710000000000002</v>
      </c>
      <c r="I67" s="7">
        <f>ROUND(13/E67,3)</f>
        <v>0.186</v>
      </c>
      <c r="J67" s="7">
        <f>ROUND(48/E67,3)</f>
        <v>0.68600000000000005</v>
      </c>
      <c r="K67" s="7">
        <f t="shared" ref="K67:K98" si="2">8*F67+6*G67+1*H67+1*J67+0.5*I67</f>
        <v>10.391999999999999</v>
      </c>
      <c r="L67" s="7">
        <f>ROUND(1397.0666666667/E67,3)</f>
        <v>19.957999999999998</v>
      </c>
      <c r="M67" s="7">
        <f>ROUND(20/E67,3)</f>
        <v>0.28599999999999998</v>
      </c>
      <c r="N67" s="7" t="s">
        <v>1120</v>
      </c>
      <c r="O67" s="7" t="s">
        <v>1121</v>
      </c>
      <c r="P67" s="7">
        <f>ROUND(308/E67,3)</f>
        <v>4.4000000000000004</v>
      </c>
      <c r="Q67" s="7">
        <f>ROUND(222/E67,3)</f>
        <v>3.1709999999999998</v>
      </c>
      <c r="R67" s="7">
        <f>ROUND(173/E67,3)</f>
        <v>2.4710000000000001</v>
      </c>
      <c r="S67" s="7">
        <f>ROUND(58/E67,3)</f>
        <v>0.82899999999999996</v>
      </c>
      <c r="T67" s="7">
        <f>ROUND(17.05/E67,3)</f>
        <v>0.24399999999999999</v>
      </c>
      <c r="U67" s="7">
        <f>ROUND(99/E67,3)</f>
        <v>1.4139999999999999</v>
      </c>
      <c r="V67" s="7">
        <f>ROUND(22/E67,3)</f>
        <v>0.314</v>
      </c>
      <c r="W67" s="7">
        <f>ROUND(16.88/E67,3)</f>
        <v>0.24099999999999999</v>
      </c>
      <c r="X67" s="7">
        <v>0.53</v>
      </c>
      <c r="Y67" s="7">
        <v>0.53</v>
      </c>
      <c r="Z67" s="7">
        <v>0.53</v>
      </c>
      <c r="AA67" s="7">
        <f>ROUND(73.21/E67,3)</f>
        <v>1.046</v>
      </c>
      <c r="AB67" s="7">
        <f>ROUND(17/E67,3)</f>
        <v>0.24299999999999999</v>
      </c>
      <c r="AC67" s="7">
        <v>8480023</v>
      </c>
    </row>
    <row r="68" spans="1:29" ht="15" customHeight="1" x14ac:dyDescent="0.2">
      <c r="A68" s="7" t="s">
        <v>268</v>
      </c>
      <c r="B68" s="7" t="s">
        <v>60</v>
      </c>
      <c r="C68" s="7" t="s">
        <v>259</v>
      </c>
      <c r="D68" s="7">
        <v>30</v>
      </c>
      <c r="E68" s="7">
        <v>81</v>
      </c>
      <c r="F68" s="7">
        <f>ROUND(33/E68,3)</f>
        <v>0.40699999999999997</v>
      </c>
      <c r="G68" s="7">
        <f>ROUND(32/E68,3)</f>
        <v>0.39500000000000002</v>
      </c>
      <c r="H68" s="7">
        <f>ROUND(169/E68,3)</f>
        <v>2.0859999999999999</v>
      </c>
      <c r="I68" s="7">
        <f>ROUND(233/E68,3)</f>
        <v>2.8769999999999998</v>
      </c>
      <c r="J68" s="7">
        <f>ROUND(71/E68,3)</f>
        <v>0.877</v>
      </c>
      <c r="K68" s="7">
        <f t="shared" si="2"/>
        <v>10.0275</v>
      </c>
      <c r="L68" s="7">
        <f>ROUND(1516.8666666667/E68,3)</f>
        <v>18.727</v>
      </c>
      <c r="M68" s="7">
        <f>ROUND(100/E68,3)</f>
        <v>1.2350000000000001</v>
      </c>
      <c r="N68" s="7" t="s">
        <v>1122</v>
      </c>
      <c r="O68" s="7" t="s">
        <v>1123</v>
      </c>
      <c r="P68" s="7">
        <f>ROUND(335/E68,3)</f>
        <v>4.1360000000000001</v>
      </c>
      <c r="Q68" s="7">
        <f>ROUND(264/E68,3)</f>
        <v>3.2589999999999999</v>
      </c>
      <c r="R68" s="7">
        <f>ROUND(208/E68,3)</f>
        <v>2.5680000000000001</v>
      </c>
      <c r="S68" s="7">
        <f>ROUND(109/E68,3)</f>
        <v>1.3460000000000001</v>
      </c>
      <c r="T68" s="7">
        <f>ROUND(27.97/E68,3)</f>
        <v>0.34499999999999997</v>
      </c>
      <c r="U68" s="7">
        <f>ROUND(91/E68,3)</f>
        <v>1.123</v>
      </c>
      <c r="V68" s="7">
        <f>ROUND(20/E68,3)</f>
        <v>0.247</v>
      </c>
      <c r="W68" s="7">
        <f>ROUND(28.96/E68,3)</f>
        <v>0.35799999999999998</v>
      </c>
      <c r="X68" s="7">
        <v>0.59</v>
      </c>
      <c r="Y68" s="7">
        <v>0.54</v>
      </c>
      <c r="Z68" s="7">
        <v>0.56000000000000005</v>
      </c>
      <c r="AA68" s="7">
        <f>ROUND(65.03/E68,3)</f>
        <v>0.80300000000000005</v>
      </c>
      <c r="AB68" s="7">
        <f>ROUND(40/E68,3)</f>
        <v>0.49399999999999999</v>
      </c>
      <c r="AC68" s="7">
        <v>8476880</v>
      </c>
    </row>
    <row r="69" spans="1:29" ht="15" customHeight="1" x14ac:dyDescent="0.2">
      <c r="A69" s="7" t="s">
        <v>272</v>
      </c>
      <c r="B69" s="7" t="s">
        <v>60</v>
      </c>
      <c r="C69" s="7" t="s">
        <v>76</v>
      </c>
      <c r="D69" s="7">
        <v>18</v>
      </c>
      <c r="E69" s="7">
        <v>2</v>
      </c>
      <c r="F69" s="7">
        <f>ROUND(1/E69,3)</f>
        <v>0.5</v>
      </c>
      <c r="G69" s="7">
        <f>ROUND(1/E69,3)</f>
        <v>0.5</v>
      </c>
      <c r="H69" s="7">
        <f>ROUND(5/E69,3)</f>
        <v>2.5</v>
      </c>
      <c r="I69" s="7">
        <f>ROUND(2/E69,3)</f>
        <v>1</v>
      </c>
      <c r="J69" s="7">
        <f>ROUND(0/E69,3)</f>
        <v>0</v>
      </c>
      <c r="K69" s="7">
        <f t="shared" si="2"/>
        <v>10</v>
      </c>
      <c r="L69" s="7">
        <f>ROUND(27.416666666667/E69,3)</f>
        <v>13.708</v>
      </c>
      <c r="M69" s="7">
        <f>ROUND(0/E69,3)</f>
        <v>0</v>
      </c>
      <c r="N69" s="7" t="s">
        <v>64</v>
      </c>
      <c r="O69" s="7" t="s">
        <v>171</v>
      </c>
      <c r="P69" s="7">
        <f>ROUND(10/E69,3)</f>
        <v>5</v>
      </c>
      <c r="Q69" s="7">
        <f>ROUND(9/E69,3)</f>
        <v>4.5</v>
      </c>
      <c r="R69" s="7">
        <f>ROUND(5/E69,3)</f>
        <v>2.5</v>
      </c>
      <c r="S69" s="7">
        <f>ROUND(2/E69,3)</f>
        <v>1</v>
      </c>
      <c r="T69" s="7">
        <f>ROUND(0.56/E69,3)</f>
        <v>0.28000000000000003</v>
      </c>
      <c r="U69" s="7">
        <f>ROUND(1/E69,3)</f>
        <v>0.5</v>
      </c>
      <c r="V69" s="7">
        <f>ROUND(0/E69,3)</f>
        <v>0</v>
      </c>
      <c r="W69" s="7">
        <f>ROUND(0.6/E69,3)</f>
        <v>0.3</v>
      </c>
      <c r="X69" s="7">
        <v>0.67</v>
      </c>
      <c r="Y69" s="7">
        <v>0.56000000000000005</v>
      </c>
      <c r="Z69" s="7">
        <v>0.56999999999999995</v>
      </c>
      <c r="AA69" s="7">
        <f>ROUND(1.77/E69,3)</f>
        <v>0.88500000000000001</v>
      </c>
      <c r="AB69" s="7">
        <f>ROUND(0/E69,3)</f>
        <v>0</v>
      </c>
      <c r="AC69" s="7">
        <v>8484984</v>
      </c>
    </row>
    <row r="70" spans="1:29" ht="15" customHeight="1" x14ac:dyDescent="0.2">
      <c r="A70" s="7" t="s">
        <v>273</v>
      </c>
      <c r="B70" s="7" t="s">
        <v>55</v>
      </c>
      <c r="C70" s="7" t="s">
        <v>274</v>
      </c>
      <c r="D70" s="7">
        <v>28</v>
      </c>
      <c r="E70" s="7">
        <v>79</v>
      </c>
      <c r="F70" s="7">
        <f>ROUND(39/E70,3)</f>
        <v>0.49399999999999999</v>
      </c>
      <c r="G70" s="7">
        <f>ROUND(42/E70,3)</f>
        <v>0.53200000000000003</v>
      </c>
      <c r="H70" s="7">
        <f>ROUND(213/E70,3)</f>
        <v>2.6960000000000002</v>
      </c>
      <c r="I70" s="7">
        <f>ROUND(102/E70,3)</f>
        <v>1.2909999999999999</v>
      </c>
      <c r="J70" s="7">
        <f>ROUND(62/E70,3)</f>
        <v>0.78500000000000003</v>
      </c>
      <c r="K70" s="7">
        <f t="shared" si="2"/>
        <v>11.2705</v>
      </c>
      <c r="L70" s="7">
        <f>ROUND(1619.6833333333/E70,3)</f>
        <v>20.501999999999999</v>
      </c>
      <c r="M70" s="7">
        <f>ROUND(27/E70,3)</f>
        <v>0.34200000000000003</v>
      </c>
      <c r="N70" s="7" t="s">
        <v>1124</v>
      </c>
      <c r="O70" s="7" t="s">
        <v>1125</v>
      </c>
      <c r="P70" s="7">
        <f>ROUND(424/E70,3)</f>
        <v>5.367</v>
      </c>
      <c r="Q70" s="7">
        <f>ROUND(334/E70,3)</f>
        <v>4.2279999999999998</v>
      </c>
      <c r="R70" s="7">
        <f>ROUND(265/E70,3)</f>
        <v>3.3540000000000001</v>
      </c>
      <c r="S70" s="7">
        <f>ROUND(136/E70,3)</f>
        <v>1.722</v>
      </c>
      <c r="T70" s="7">
        <f>ROUND(32.57/E70,3)</f>
        <v>0.41199999999999998</v>
      </c>
      <c r="U70" s="7">
        <f>ROUND(74/E70,3)</f>
        <v>0.93700000000000006</v>
      </c>
      <c r="V70" s="7">
        <f>ROUND(24/E70,3)</f>
        <v>0.30399999999999999</v>
      </c>
      <c r="W70" s="7">
        <f>ROUND(36.77/E70,3)</f>
        <v>0.46500000000000002</v>
      </c>
      <c r="X70" s="7">
        <v>0.6</v>
      </c>
      <c r="Y70" s="7">
        <v>0.61</v>
      </c>
      <c r="Z70" s="7">
        <v>0.6</v>
      </c>
      <c r="AA70" s="7">
        <f>ROUND(95.53/E70,3)</f>
        <v>1.2090000000000001</v>
      </c>
      <c r="AB70" s="7">
        <f>ROUND(47/E70,3)</f>
        <v>0.59499999999999997</v>
      </c>
      <c r="AC70" s="7">
        <v>8477933</v>
      </c>
    </row>
    <row r="71" spans="1:29" ht="15" customHeight="1" x14ac:dyDescent="0.2">
      <c r="A71" s="7" t="s">
        <v>277</v>
      </c>
      <c r="B71" s="7" t="s">
        <v>92</v>
      </c>
      <c r="C71" s="7" t="s">
        <v>102</v>
      </c>
      <c r="D71" s="7">
        <v>28</v>
      </c>
      <c r="E71" s="7">
        <v>70</v>
      </c>
      <c r="F71" s="7">
        <f>ROUND(23/E71,3)</f>
        <v>0.32900000000000001</v>
      </c>
      <c r="G71" s="7">
        <f>ROUND(28/E71,3)</f>
        <v>0.4</v>
      </c>
      <c r="H71" s="7">
        <f>ROUND(111/E71,3)</f>
        <v>1.5860000000000001</v>
      </c>
      <c r="I71" s="7">
        <f>ROUND(104/E71,3)</f>
        <v>1.486</v>
      </c>
      <c r="J71" s="7">
        <f>ROUND(33/E71,3)</f>
        <v>0.47099999999999997</v>
      </c>
      <c r="K71" s="7">
        <f t="shared" si="2"/>
        <v>7.8320000000000007</v>
      </c>
      <c r="L71" s="7">
        <f>ROUND(1175.8833333333/E71,3)</f>
        <v>16.797999999999998</v>
      </c>
      <c r="M71" s="7">
        <f>ROUND(10/E71,3)</f>
        <v>0.14299999999999999</v>
      </c>
      <c r="N71" s="7" t="s">
        <v>1126</v>
      </c>
      <c r="O71" s="7" t="s">
        <v>1127</v>
      </c>
      <c r="P71" s="7">
        <f>ROUND(231/E71,3)</f>
        <v>3.3</v>
      </c>
      <c r="Q71" s="7">
        <f>ROUND(180/E71,3)</f>
        <v>2.5710000000000002</v>
      </c>
      <c r="R71" s="7">
        <f>ROUND(167/E71,3)</f>
        <v>2.3860000000000001</v>
      </c>
      <c r="S71" s="7">
        <f>ROUND(92/E71,3)</f>
        <v>1.3140000000000001</v>
      </c>
      <c r="T71" s="7">
        <f>ROUND(17.4/E71,3)</f>
        <v>0.249</v>
      </c>
      <c r="U71" s="7">
        <f>ROUND(78/E71,3)</f>
        <v>1.1140000000000001</v>
      </c>
      <c r="V71" s="7">
        <f>ROUND(18/E71,3)</f>
        <v>0.25700000000000001</v>
      </c>
      <c r="W71" s="7">
        <f>ROUND(18.33/E71,3)</f>
        <v>0.26200000000000001</v>
      </c>
      <c r="X71" s="7">
        <v>0.54</v>
      </c>
      <c r="Y71" s="7">
        <v>0.51</v>
      </c>
      <c r="Z71" s="7">
        <v>0.51</v>
      </c>
      <c r="AA71" s="7">
        <f>ROUND(49.58/E71,3)</f>
        <v>0.70799999999999996</v>
      </c>
      <c r="AB71" s="7">
        <f>ROUND(20/E71,3)</f>
        <v>0.28599999999999998</v>
      </c>
      <c r="AC71" s="7">
        <v>8477964</v>
      </c>
    </row>
    <row r="72" spans="1:29" ht="15" customHeight="1" x14ac:dyDescent="0.2">
      <c r="A72" s="7" t="s">
        <v>279</v>
      </c>
      <c r="B72" s="7" t="s">
        <v>55</v>
      </c>
      <c r="C72" s="7" t="s">
        <v>114</v>
      </c>
      <c r="D72" s="7">
        <v>38</v>
      </c>
      <c r="E72" s="7">
        <v>68</v>
      </c>
      <c r="F72" s="7">
        <f>ROUND(16/E72,3)</f>
        <v>0.23499999999999999</v>
      </c>
      <c r="G72" s="7">
        <f>ROUND(34/E72,3)</f>
        <v>0.5</v>
      </c>
      <c r="H72" s="7">
        <f>ROUND(126/E72,3)</f>
        <v>1.853</v>
      </c>
      <c r="I72" s="7">
        <f>ROUND(32/E72,3)</f>
        <v>0.47099999999999997</v>
      </c>
      <c r="J72" s="7">
        <f>ROUND(48/E72,3)</f>
        <v>0.70599999999999996</v>
      </c>
      <c r="K72" s="7">
        <f t="shared" si="2"/>
        <v>7.6745000000000001</v>
      </c>
      <c r="L72" s="7">
        <f>ROUND(1209.4166666667/E72,3)</f>
        <v>17.786000000000001</v>
      </c>
      <c r="M72" s="7">
        <f>ROUND(42/E72,3)</f>
        <v>0.61799999999999999</v>
      </c>
      <c r="N72" s="7" t="s">
        <v>1128</v>
      </c>
      <c r="O72" s="7" t="s">
        <v>638</v>
      </c>
      <c r="P72" s="7">
        <f>ROUND(254/E72,3)</f>
        <v>3.7349999999999999</v>
      </c>
      <c r="Q72" s="7">
        <f>ROUND(176/E72,3)</f>
        <v>2.5880000000000001</v>
      </c>
      <c r="R72" s="7">
        <f>ROUND(147/E72,3)</f>
        <v>2.1619999999999999</v>
      </c>
      <c r="S72" s="7">
        <f>ROUND(69/E72,3)</f>
        <v>1.0149999999999999</v>
      </c>
      <c r="T72" s="7">
        <f>ROUND(18.19/E72,3)</f>
        <v>0.26800000000000002</v>
      </c>
      <c r="U72" s="7">
        <f>ROUND(79/E72,3)</f>
        <v>1.1619999999999999</v>
      </c>
      <c r="V72" s="7">
        <f>ROUND(30/E72,3)</f>
        <v>0.441</v>
      </c>
      <c r="W72" s="7">
        <f>ROUND(18.81/E72,3)</f>
        <v>0.27700000000000002</v>
      </c>
      <c r="X72" s="7">
        <v>0.53</v>
      </c>
      <c r="Y72" s="7">
        <v>0.55000000000000004</v>
      </c>
      <c r="Z72" s="7">
        <v>0.55000000000000004</v>
      </c>
      <c r="AA72" s="7">
        <f>ROUND(44.82/E72,3)</f>
        <v>0.65900000000000003</v>
      </c>
      <c r="AB72" s="7">
        <f>ROUND(26/E72,3)</f>
        <v>0.38200000000000001</v>
      </c>
      <c r="AC72" s="7">
        <v>8471215</v>
      </c>
    </row>
    <row r="73" spans="1:29" ht="15" customHeight="1" x14ac:dyDescent="0.2">
      <c r="A73" s="7" t="s">
        <v>282</v>
      </c>
      <c r="B73" s="7" t="s">
        <v>60</v>
      </c>
      <c r="D73" s="7">
        <v>18</v>
      </c>
      <c r="K73" s="7"/>
      <c r="AC73" s="7">
        <v>8484762</v>
      </c>
    </row>
    <row r="74" spans="1:29" ht="15" customHeight="1" x14ac:dyDescent="0.2">
      <c r="A74" s="7" t="s">
        <v>283</v>
      </c>
      <c r="B74" s="7" t="s">
        <v>55</v>
      </c>
      <c r="C74" s="7" t="s">
        <v>1129</v>
      </c>
      <c r="D74" s="7">
        <v>23</v>
      </c>
      <c r="E74" s="7">
        <v>82</v>
      </c>
      <c r="F74" s="7">
        <f>ROUND(16/E74,3)</f>
        <v>0.19500000000000001</v>
      </c>
      <c r="G74" s="7">
        <f>ROUND(31/E74,3)</f>
        <v>0.378</v>
      </c>
      <c r="H74" s="7">
        <f>ROUND(188/E74,3)</f>
        <v>2.2930000000000001</v>
      </c>
      <c r="I74" s="7">
        <f>ROUND(205/E74,3)</f>
        <v>2.5</v>
      </c>
      <c r="J74" s="7">
        <f>ROUND(45/E74,3)</f>
        <v>0.54900000000000004</v>
      </c>
      <c r="K74" s="7">
        <f t="shared" ref="K74:K110" si="3">8*F74+6*G74+1*H74+1*J74+0.5*I74</f>
        <v>7.9200000000000008</v>
      </c>
      <c r="L74" s="7">
        <f>ROUND(1398.9833333333/E74,3)</f>
        <v>17.061</v>
      </c>
      <c r="M74" s="7">
        <f>ROUND(68/E74,3)</f>
        <v>0.82899999999999996</v>
      </c>
      <c r="N74" s="7" t="s">
        <v>1130</v>
      </c>
      <c r="O74" s="7" t="s">
        <v>951</v>
      </c>
      <c r="P74" s="7">
        <f>ROUND(332/E74,3)</f>
        <v>4.0490000000000004</v>
      </c>
      <c r="Q74" s="7">
        <f>ROUND(253/E74,3)</f>
        <v>3.085</v>
      </c>
      <c r="R74" s="7">
        <f>ROUND(208/E74,3)</f>
        <v>2.5369999999999999</v>
      </c>
      <c r="S74" s="7">
        <f>ROUND(81/E74,3)</f>
        <v>0.98799999999999999</v>
      </c>
      <c r="T74" s="7">
        <f>ROUND(21.34/E74,3)</f>
        <v>0.26</v>
      </c>
      <c r="U74" s="7">
        <f>ROUND(68/E74,3)</f>
        <v>0.82899999999999996</v>
      </c>
      <c r="V74" s="7">
        <f>ROUND(15/E74,3)</f>
        <v>0.183</v>
      </c>
      <c r="W74" s="7">
        <f>ROUND(22.91/E74,3)</f>
        <v>0.27900000000000003</v>
      </c>
      <c r="X74" s="7">
        <v>0.52</v>
      </c>
      <c r="Y74" s="7">
        <v>0.54</v>
      </c>
      <c r="Z74" s="7">
        <v>0.53</v>
      </c>
      <c r="AA74" s="7">
        <f>ROUND(45.19/E74,3)</f>
        <v>0.55100000000000005</v>
      </c>
      <c r="AB74" s="7">
        <f>ROUND(27/E74,3)</f>
        <v>0.32900000000000001</v>
      </c>
      <c r="AC74" s="7">
        <v>8481528</v>
      </c>
    </row>
    <row r="75" spans="1:29" ht="15" customHeight="1" x14ac:dyDescent="0.2">
      <c r="A75" s="7" t="s">
        <v>286</v>
      </c>
      <c r="B75" s="7" t="s">
        <v>55</v>
      </c>
      <c r="C75" s="7" t="s">
        <v>380</v>
      </c>
      <c r="D75" s="7">
        <v>19</v>
      </c>
      <c r="E75" s="7">
        <v>82</v>
      </c>
      <c r="F75" s="7">
        <f>ROUND(31/E75,3)</f>
        <v>0.378</v>
      </c>
      <c r="G75" s="7">
        <f>ROUND(23/E75,3)</f>
        <v>0.28000000000000003</v>
      </c>
      <c r="H75" s="7">
        <f>ROUND(191/E75,3)</f>
        <v>2.3290000000000002</v>
      </c>
      <c r="I75" s="7">
        <f>ROUND(113/E75,3)</f>
        <v>1.3779999999999999</v>
      </c>
      <c r="J75" s="7">
        <f>ROUND(56/E75,3)</f>
        <v>0.68300000000000005</v>
      </c>
      <c r="K75" s="7">
        <f t="shared" si="3"/>
        <v>8.4050000000000011</v>
      </c>
      <c r="L75" s="7">
        <f>ROUND(1433.1833333333/E75,3)</f>
        <v>17.478000000000002</v>
      </c>
      <c r="M75" s="7">
        <f>ROUND(18/E75,3)</f>
        <v>0.22</v>
      </c>
      <c r="N75" s="7" t="s">
        <v>185</v>
      </c>
      <c r="O75" s="7" t="s">
        <v>609</v>
      </c>
      <c r="P75" s="7">
        <f>ROUND(394/E75,3)</f>
        <v>4.8049999999999997</v>
      </c>
      <c r="Q75" s="7">
        <f>ROUND(280/E75,3)</f>
        <v>3.415</v>
      </c>
      <c r="R75" s="7">
        <f>ROUND(173/E75,3)</f>
        <v>2.11</v>
      </c>
      <c r="S75" s="7">
        <f>ROUND(67/E75,3)</f>
        <v>0.81699999999999995</v>
      </c>
      <c r="T75" s="7">
        <f>ROUND(19.03/E75,3)</f>
        <v>0.23200000000000001</v>
      </c>
      <c r="U75" s="7">
        <f>ROUND(89/E75,3)</f>
        <v>1.085</v>
      </c>
      <c r="V75" s="7">
        <f>ROUND(23/E75,3)</f>
        <v>0.28000000000000003</v>
      </c>
      <c r="W75" s="7">
        <f>ROUND(18.59/E75,3)</f>
        <v>0.22700000000000001</v>
      </c>
      <c r="X75" s="7">
        <v>0.49</v>
      </c>
      <c r="Y75" s="7">
        <v>0.51</v>
      </c>
      <c r="Z75" s="7">
        <v>0.5</v>
      </c>
      <c r="AA75" s="7">
        <f>ROUND(49.09/E75,3)</f>
        <v>0.59899999999999998</v>
      </c>
      <c r="AB75" s="7">
        <f>ROUND(13/E75,3)</f>
        <v>0.159</v>
      </c>
      <c r="AC75" s="7">
        <v>8484166</v>
      </c>
    </row>
    <row r="76" spans="1:29" ht="15" customHeight="1" x14ac:dyDescent="0.2">
      <c r="A76" s="7" t="s">
        <v>287</v>
      </c>
      <c r="B76" s="7" t="s">
        <v>55</v>
      </c>
      <c r="C76" s="7" t="s">
        <v>297</v>
      </c>
      <c r="D76" s="7">
        <v>19</v>
      </c>
      <c r="E76" s="7">
        <v>74</v>
      </c>
      <c r="F76" s="7">
        <f>ROUND(18/E76,3)</f>
        <v>0.24299999999999999</v>
      </c>
      <c r="G76" s="7">
        <f>ROUND(27/E76,3)</f>
        <v>0.36499999999999999</v>
      </c>
      <c r="H76" s="7">
        <f>ROUND(127/E76,3)</f>
        <v>1.716</v>
      </c>
      <c r="I76" s="7">
        <f>ROUND(13/E76,3)</f>
        <v>0.17599999999999999</v>
      </c>
      <c r="J76" s="7">
        <f>ROUND(16/E76,3)</f>
        <v>0.216</v>
      </c>
      <c r="K76" s="7">
        <f t="shared" si="3"/>
        <v>6.1540000000000008</v>
      </c>
      <c r="L76" s="7">
        <f>ROUND(1173.1/E76,3)</f>
        <v>15.853</v>
      </c>
      <c r="M76" s="7">
        <f>ROUND(18/E76,3)</f>
        <v>0.24299999999999999</v>
      </c>
      <c r="N76" s="7" t="s">
        <v>1098</v>
      </c>
      <c r="O76" s="7" t="s">
        <v>158</v>
      </c>
      <c r="P76" s="7">
        <f>ROUND(277/E76,3)</f>
        <v>3.7429999999999999</v>
      </c>
      <c r="Q76" s="7">
        <f>ROUND(187/E76,3)</f>
        <v>2.5270000000000001</v>
      </c>
      <c r="R76" s="7">
        <f>ROUND(141/E76,3)</f>
        <v>1.905</v>
      </c>
      <c r="S76" s="7">
        <f>ROUND(42/E76,3)</f>
        <v>0.56799999999999995</v>
      </c>
      <c r="T76" s="7">
        <f>ROUND(11.75/E76,3)</f>
        <v>0.159</v>
      </c>
      <c r="U76" s="7">
        <f>ROUND(73/E76,3)</f>
        <v>0.98599999999999999</v>
      </c>
      <c r="V76" s="7">
        <f>ROUND(13/E76,3)</f>
        <v>0.17599999999999999</v>
      </c>
      <c r="W76" s="7">
        <f>ROUND(13.46/E76,3)</f>
        <v>0.182</v>
      </c>
      <c r="X76" s="7">
        <v>0.49</v>
      </c>
      <c r="Y76" s="7">
        <v>0.52</v>
      </c>
      <c r="Z76" s="7">
        <v>0.52</v>
      </c>
      <c r="AA76" s="7">
        <f>ROUND(34.45/E76,3)</f>
        <v>0.46600000000000003</v>
      </c>
      <c r="AB76" s="7">
        <f>ROUND(13/E76,3)</f>
        <v>0.17599999999999999</v>
      </c>
      <c r="AC76" s="7">
        <v>8484227</v>
      </c>
    </row>
    <row r="77" spans="1:29" ht="15" customHeight="1" x14ac:dyDescent="0.2">
      <c r="A77" s="7" t="s">
        <v>288</v>
      </c>
      <c r="B77" s="7" t="s">
        <v>92</v>
      </c>
      <c r="C77" s="7" t="s">
        <v>135</v>
      </c>
      <c r="D77" s="7">
        <v>25</v>
      </c>
      <c r="E77" s="7">
        <v>72</v>
      </c>
      <c r="F77" s="7">
        <f>ROUND(29/E77,3)</f>
        <v>0.40300000000000002</v>
      </c>
      <c r="G77" s="7">
        <f>ROUND(26/E77,3)</f>
        <v>0.36099999999999999</v>
      </c>
      <c r="H77" s="7">
        <f>ROUND(296/E77,3)</f>
        <v>4.1109999999999998</v>
      </c>
      <c r="I77" s="7">
        <f>ROUND(228/E77,3)</f>
        <v>3.1669999999999998</v>
      </c>
      <c r="J77" s="7">
        <f>ROUND(33/E77,3)</f>
        <v>0.45800000000000002</v>
      </c>
      <c r="K77" s="7">
        <f t="shared" si="3"/>
        <v>11.5425</v>
      </c>
      <c r="L77" s="7">
        <f>ROUND(1313.1/E77,3)</f>
        <v>18.238</v>
      </c>
      <c r="M77" s="7">
        <f>ROUND(123/E77,3)</f>
        <v>1.708</v>
      </c>
      <c r="N77" s="7" t="s">
        <v>1131</v>
      </c>
      <c r="O77" s="7" t="s">
        <v>1132</v>
      </c>
      <c r="P77" s="7">
        <f>ROUND(507/E77,3)</f>
        <v>7.0419999999999998</v>
      </c>
      <c r="Q77" s="7">
        <f>ROUND(422/E77,3)</f>
        <v>5.8609999999999998</v>
      </c>
      <c r="R77" s="7">
        <f>ROUND(294/E77,3)</f>
        <v>4.0830000000000002</v>
      </c>
      <c r="S77" s="7">
        <f>ROUND(149/E77,3)</f>
        <v>2.069</v>
      </c>
      <c r="T77" s="7">
        <f>ROUND(35.97/E77,3)</f>
        <v>0.5</v>
      </c>
      <c r="U77" s="7">
        <f>ROUND(48/E77,3)</f>
        <v>0.66700000000000004</v>
      </c>
      <c r="V77" s="7">
        <f>ROUND(19/E77,3)</f>
        <v>0.26400000000000001</v>
      </c>
      <c r="W77" s="7">
        <f>ROUND(36.7/E77,3)</f>
        <v>0.51</v>
      </c>
      <c r="X77" s="7">
        <v>0.62</v>
      </c>
      <c r="Y77" s="7">
        <v>0.6</v>
      </c>
      <c r="Z77" s="7">
        <v>0.62</v>
      </c>
      <c r="AA77" s="7">
        <f>ROUND(68.09/E77,3)</f>
        <v>0.94599999999999995</v>
      </c>
      <c r="AB77" s="7">
        <f>ROUND(48/E77,3)</f>
        <v>0.66700000000000004</v>
      </c>
      <c r="AC77" s="7">
        <v>8480801</v>
      </c>
    </row>
    <row r="78" spans="1:29" ht="15" customHeight="1" x14ac:dyDescent="0.2">
      <c r="A78" s="7" t="s">
        <v>291</v>
      </c>
      <c r="B78" s="7" t="s">
        <v>92</v>
      </c>
      <c r="C78" s="7" t="s">
        <v>127</v>
      </c>
      <c r="D78" s="7">
        <v>29</v>
      </c>
      <c r="E78" s="7">
        <v>82</v>
      </c>
      <c r="F78" s="7">
        <f>ROUND(23/E78,3)</f>
        <v>0.28000000000000003</v>
      </c>
      <c r="G78" s="7">
        <f>ROUND(23/E78,3)</f>
        <v>0.28000000000000003</v>
      </c>
      <c r="H78" s="7">
        <f>ROUND(131/E78,3)</f>
        <v>1.5980000000000001</v>
      </c>
      <c r="I78" s="7">
        <f>ROUND(60/E78,3)</f>
        <v>0.73199999999999998</v>
      </c>
      <c r="J78" s="7">
        <f>ROUND(28/E78,3)</f>
        <v>0.34100000000000003</v>
      </c>
      <c r="K78" s="7">
        <f t="shared" si="3"/>
        <v>6.2250000000000005</v>
      </c>
      <c r="L78" s="7">
        <f>ROUND(1312.2333333333/E78,3)</f>
        <v>16.003</v>
      </c>
      <c r="M78" s="7">
        <f>ROUND(51/E78,3)</f>
        <v>0.622</v>
      </c>
      <c r="N78" s="7" t="s">
        <v>1133</v>
      </c>
      <c r="O78" s="7" t="s">
        <v>1134</v>
      </c>
      <c r="P78" s="7">
        <f>ROUND(246/E78,3)</f>
        <v>3</v>
      </c>
      <c r="Q78" s="7">
        <f>ROUND(213/E78,3)</f>
        <v>2.5979999999999999</v>
      </c>
      <c r="R78" s="7">
        <f>ROUND(149/E78,3)</f>
        <v>1.8169999999999999</v>
      </c>
      <c r="S78" s="7">
        <f>ROUND(92/E78,3)</f>
        <v>1.1220000000000001</v>
      </c>
      <c r="T78" s="7">
        <f>ROUND(22.72/E78,3)</f>
        <v>0.27700000000000002</v>
      </c>
      <c r="U78" s="7">
        <f>ROUND(53/E78,3)</f>
        <v>0.64600000000000002</v>
      </c>
      <c r="V78" s="7">
        <f>ROUND(20/E78,3)</f>
        <v>0.24399999999999999</v>
      </c>
      <c r="W78" s="7">
        <f>ROUND(24.9/E78,3)</f>
        <v>0.30399999999999999</v>
      </c>
      <c r="X78" s="7">
        <v>0.5</v>
      </c>
      <c r="Y78" s="7">
        <v>0.51</v>
      </c>
      <c r="Z78" s="7">
        <v>0.5</v>
      </c>
      <c r="AA78" s="7">
        <f>ROUND(28.39/E78,3)</f>
        <v>0.34599999999999997</v>
      </c>
      <c r="AB78" s="7">
        <f>ROUND(45/E78,3)</f>
        <v>0.54900000000000004</v>
      </c>
      <c r="AC78" s="7">
        <v>8477479</v>
      </c>
    </row>
    <row r="79" spans="1:29" ht="15" customHeight="1" x14ac:dyDescent="0.2">
      <c r="A79" s="7" t="s">
        <v>293</v>
      </c>
      <c r="B79" s="7" t="s">
        <v>55</v>
      </c>
      <c r="C79" s="7" t="s">
        <v>274</v>
      </c>
      <c r="D79" s="7">
        <v>28</v>
      </c>
      <c r="E79" s="7">
        <v>76</v>
      </c>
      <c r="F79" s="7">
        <f>ROUND(25/E79,3)</f>
        <v>0.32900000000000001</v>
      </c>
      <c r="G79" s="7">
        <f>ROUND(26/E79,3)</f>
        <v>0.34200000000000003</v>
      </c>
      <c r="H79" s="7">
        <f>ROUND(241/E79,3)</f>
        <v>3.1709999999999998</v>
      </c>
      <c r="I79" s="7">
        <f>ROUND(143/E79,3)</f>
        <v>1.8819999999999999</v>
      </c>
      <c r="J79" s="7">
        <f>ROUND(45/E79,3)</f>
        <v>0.59199999999999997</v>
      </c>
      <c r="K79" s="7">
        <f t="shared" si="3"/>
        <v>9.3880000000000017</v>
      </c>
      <c r="L79" s="7">
        <f>ROUND(1326.4666666667/E79,3)</f>
        <v>17.454000000000001</v>
      </c>
      <c r="M79" s="7">
        <f>ROUND(90/E79,3)</f>
        <v>1.1839999999999999</v>
      </c>
      <c r="N79" s="7" t="s">
        <v>1135</v>
      </c>
      <c r="O79" s="7" t="s">
        <v>1136</v>
      </c>
      <c r="P79" s="7">
        <f>ROUND(422/E79,3)</f>
        <v>5.5529999999999999</v>
      </c>
      <c r="Q79" s="7">
        <f>ROUND(332/E79,3)</f>
        <v>4.3680000000000003</v>
      </c>
      <c r="R79" s="7">
        <f>ROUND(245/E79,3)</f>
        <v>3.2240000000000002</v>
      </c>
      <c r="S79" s="7">
        <f>ROUND(123/E79,3)</f>
        <v>1.6180000000000001</v>
      </c>
      <c r="T79" s="7">
        <f>ROUND(27.82/E79,3)</f>
        <v>0.36599999999999999</v>
      </c>
      <c r="U79" s="7">
        <f>ROUND(57/E79,3)</f>
        <v>0.75</v>
      </c>
      <c r="V79" s="7">
        <f>ROUND(27/E79,3)</f>
        <v>0.35499999999999998</v>
      </c>
      <c r="W79" s="7">
        <f>ROUND(32.86/E79,3)</f>
        <v>0.432</v>
      </c>
      <c r="X79" s="7">
        <v>0.61</v>
      </c>
      <c r="Y79" s="7">
        <v>0.61</v>
      </c>
      <c r="Z79" s="7">
        <v>0.59</v>
      </c>
      <c r="AA79" s="7">
        <f>ROUND(61.54/E79,3)</f>
        <v>0.81</v>
      </c>
      <c r="AB79" s="7">
        <f>ROUND(43/E79,3)</f>
        <v>0.56599999999999995</v>
      </c>
      <c r="AC79" s="7">
        <v>8477935</v>
      </c>
    </row>
    <row r="80" spans="1:29" ht="15" customHeight="1" x14ac:dyDescent="0.2">
      <c r="A80" s="7" t="s">
        <v>296</v>
      </c>
      <c r="B80" s="7" t="s">
        <v>55</v>
      </c>
      <c r="C80" s="7" t="s">
        <v>102</v>
      </c>
      <c r="D80" s="7">
        <v>30</v>
      </c>
      <c r="E80" s="7">
        <v>73</v>
      </c>
      <c r="F80" s="7">
        <f>ROUND(32/E80,3)</f>
        <v>0.438</v>
      </c>
      <c r="G80" s="7">
        <f>ROUND(29/E80,3)</f>
        <v>0.39700000000000002</v>
      </c>
      <c r="H80" s="7">
        <f>ROUND(177/E80,3)</f>
        <v>2.4249999999999998</v>
      </c>
      <c r="I80" s="7">
        <f>ROUND(99/E80,3)</f>
        <v>1.3560000000000001</v>
      </c>
      <c r="J80" s="7">
        <f>ROUND(56/E80,3)</f>
        <v>0.76700000000000002</v>
      </c>
      <c r="K80" s="7">
        <f t="shared" si="3"/>
        <v>9.7560000000000002</v>
      </c>
      <c r="L80" s="7">
        <f>ROUND(1249.5166666667/E80,3)</f>
        <v>17.117000000000001</v>
      </c>
      <c r="M80" s="7">
        <f>ROUND(20/E80,3)</f>
        <v>0.27400000000000002</v>
      </c>
      <c r="N80" s="7" t="s">
        <v>1137</v>
      </c>
      <c r="O80" s="7" t="s">
        <v>1138</v>
      </c>
      <c r="P80" s="7">
        <f>ROUND(320/E80,3)</f>
        <v>4.3840000000000003</v>
      </c>
      <c r="Q80" s="7">
        <f>ROUND(265/E80,3)</f>
        <v>3.63</v>
      </c>
      <c r="R80" s="7">
        <f>ROUND(229/E80,3)</f>
        <v>3.137</v>
      </c>
      <c r="S80" s="7">
        <f>ROUND(142/E80,3)</f>
        <v>1.9450000000000001</v>
      </c>
      <c r="T80" s="7">
        <f>ROUND(31.33/E80,3)</f>
        <v>0.42899999999999999</v>
      </c>
      <c r="U80" s="7">
        <f>ROUND(45/E80,3)</f>
        <v>0.61599999999999999</v>
      </c>
      <c r="V80" s="7">
        <f>ROUND(29/E80,3)</f>
        <v>0.39700000000000002</v>
      </c>
      <c r="W80" s="7">
        <f>ROUND(33.02/E80,3)</f>
        <v>0.45200000000000001</v>
      </c>
      <c r="X80" s="7">
        <v>0.66</v>
      </c>
      <c r="Y80" s="7">
        <v>0.6</v>
      </c>
      <c r="Z80" s="7">
        <v>0.61</v>
      </c>
      <c r="AA80" s="7">
        <f>ROUND(65.71/E80,3)</f>
        <v>0.9</v>
      </c>
      <c r="AB80" s="7">
        <f>ROUND(57/E80,3)</f>
        <v>0.78100000000000003</v>
      </c>
      <c r="AC80" s="7">
        <v>8476881</v>
      </c>
    </row>
    <row r="81" spans="1:29" ht="15" customHeight="1" x14ac:dyDescent="0.2">
      <c r="A81" s="7" t="s">
        <v>300</v>
      </c>
      <c r="B81" s="7" t="s">
        <v>55</v>
      </c>
      <c r="C81" s="7" t="s">
        <v>1139</v>
      </c>
      <c r="D81" s="7">
        <v>32</v>
      </c>
      <c r="E81" s="7">
        <v>83</v>
      </c>
      <c r="F81" s="7">
        <f>ROUND(17/E81,3)</f>
        <v>0.20499999999999999</v>
      </c>
      <c r="G81" s="7">
        <f>ROUND(18/E81,3)</f>
        <v>0.217</v>
      </c>
      <c r="H81" s="7">
        <f>ROUND(115/E81,3)</f>
        <v>1.3859999999999999</v>
      </c>
      <c r="I81" s="7">
        <f>ROUND(108/E81,3)</f>
        <v>1.3009999999999999</v>
      </c>
      <c r="J81" s="7">
        <f>ROUND(61/E81,3)</f>
        <v>0.73499999999999999</v>
      </c>
      <c r="K81" s="7">
        <f t="shared" si="3"/>
        <v>5.7135000000000007</v>
      </c>
      <c r="L81" s="7">
        <f>ROUND(1410.1166666667/E81,3)</f>
        <v>16.989000000000001</v>
      </c>
      <c r="M81" s="7">
        <f>ROUND(24/E81,3)</f>
        <v>0.28899999999999998</v>
      </c>
      <c r="N81" s="7" t="s">
        <v>1140</v>
      </c>
      <c r="O81" s="7" t="s">
        <v>1141</v>
      </c>
      <c r="P81" s="7">
        <f>ROUND(223/E81,3)</f>
        <v>2.6869999999999998</v>
      </c>
      <c r="Q81" s="7">
        <f>ROUND(175/E81,3)</f>
        <v>2.1080000000000001</v>
      </c>
      <c r="R81" s="7">
        <f>ROUND(135/E81,3)</f>
        <v>1.627</v>
      </c>
      <c r="S81" s="7">
        <f>ROUND(70/E81,3)</f>
        <v>0.84299999999999997</v>
      </c>
      <c r="T81" s="7">
        <f>ROUND(16.18/E81,3)</f>
        <v>0.19500000000000001</v>
      </c>
      <c r="U81" s="7">
        <f>ROUND(54/E81,3)</f>
        <v>0.65100000000000002</v>
      </c>
      <c r="V81" s="7">
        <f>ROUND(42/E81,3)</f>
        <v>0.50600000000000001</v>
      </c>
      <c r="W81" s="7">
        <f>ROUND(13.78/E81,3)</f>
        <v>0.16600000000000001</v>
      </c>
      <c r="X81" s="7">
        <v>0.47</v>
      </c>
      <c r="Y81" s="7">
        <v>0.48</v>
      </c>
      <c r="Z81" s="7">
        <v>0.49</v>
      </c>
      <c r="AA81" s="7">
        <f>ROUND(32.01/E81,3)</f>
        <v>0.38600000000000001</v>
      </c>
      <c r="AB81" s="7">
        <f>ROUND(17/E81,3)</f>
        <v>0.20499999999999999</v>
      </c>
      <c r="AC81" s="7">
        <v>8475745</v>
      </c>
    </row>
    <row r="82" spans="1:29" ht="15" customHeight="1" x14ac:dyDescent="0.2">
      <c r="A82" s="7" t="s">
        <v>303</v>
      </c>
      <c r="B82" s="7" t="s">
        <v>55</v>
      </c>
      <c r="C82" s="7" t="s">
        <v>259</v>
      </c>
      <c r="D82" s="7">
        <v>27</v>
      </c>
      <c r="E82" s="7">
        <v>82</v>
      </c>
      <c r="F82" s="7">
        <f>ROUND(29/E82,3)</f>
        <v>0.35399999999999998</v>
      </c>
      <c r="G82" s="7">
        <f>ROUND(53/E82,3)</f>
        <v>0.64600000000000002</v>
      </c>
      <c r="H82" s="7">
        <f>ROUND(150/E82,3)</f>
        <v>1.829</v>
      </c>
      <c r="I82" s="7">
        <f>ROUND(23/E82,3)</f>
        <v>0.28000000000000003</v>
      </c>
      <c r="J82" s="7">
        <f>ROUND(54/E82,3)</f>
        <v>0.65900000000000003</v>
      </c>
      <c r="K82" s="7">
        <f t="shared" si="3"/>
        <v>9.3360000000000021</v>
      </c>
      <c r="L82" s="7">
        <f>ROUND(1425.4666666667/E82,3)</f>
        <v>17.384</v>
      </c>
      <c r="M82" s="7">
        <f>ROUND(34/E82,3)</f>
        <v>0.41499999999999998</v>
      </c>
      <c r="N82" s="7" t="s">
        <v>1142</v>
      </c>
      <c r="O82" s="7" t="s">
        <v>1143</v>
      </c>
      <c r="P82" s="7">
        <f>ROUND(271/E82,3)</f>
        <v>3.3050000000000002</v>
      </c>
      <c r="Q82" s="7">
        <f>ROUND(216/E82,3)</f>
        <v>2.6339999999999999</v>
      </c>
      <c r="R82" s="7">
        <f>ROUND(177/E82,3)</f>
        <v>2.1589999999999998</v>
      </c>
      <c r="S82" s="7">
        <f>ROUND(90/E82,3)</f>
        <v>1.0980000000000001</v>
      </c>
      <c r="T82" s="7">
        <f>ROUND(20.72/E82,3)</f>
        <v>0.253</v>
      </c>
      <c r="U82" s="7">
        <f>ROUND(79/E82,3)</f>
        <v>0.96299999999999997</v>
      </c>
      <c r="V82" s="7">
        <f>ROUND(21/E82,3)</f>
        <v>0.25600000000000001</v>
      </c>
      <c r="W82" s="7">
        <f>ROUND(20.86/E82,3)</f>
        <v>0.254</v>
      </c>
      <c r="X82" s="7">
        <v>0.56000000000000005</v>
      </c>
      <c r="Y82" s="7">
        <v>0.56999999999999995</v>
      </c>
      <c r="Z82" s="7">
        <v>0.56999999999999995</v>
      </c>
      <c r="AA82" s="7">
        <f>ROUND(67.55/E82,3)</f>
        <v>0.82399999999999995</v>
      </c>
      <c r="AB82" s="7">
        <f>ROUND(28/E82,3)</f>
        <v>0.34100000000000003</v>
      </c>
      <c r="AC82" s="7">
        <v>8478440</v>
      </c>
    </row>
    <row r="83" spans="1:29" ht="15" customHeight="1" x14ac:dyDescent="0.2">
      <c r="A83" s="7" t="s">
        <v>306</v>
      </c>
      <c r="B83" s="7" t="s">
        <v>55</v>
      </c>
      <c r="C83" s="7" t="s">
        <v>191</v>
      </c>
      <c r="D83" s="7">
        <v>29</v>
      </c>
      <c r="E83" s="7">
        <v>81</v>
      </c>
      <c r="F83" s="7">
        <f>ROUND(28/E83,3)</f>
        <v>0.34599999999999997</v>
      </c>
      <c r="G83" s="7">
        <f>ROUND(29/E83,3)</f>
        <v>0.35799999999999998</v>
      </c>
      <c r="H83" s="7">
        <f>ROUND(243/E83,3)</f>
        <v>3</v>
      </c>
      <c r="I83" s="7">
        <f>ROUND(100/E83,3)</f>
        <v>1.2350000000000001</v>
      </c>
      <c r="J83" s="7">
        <f>ROUND(40/E83,3)</f>
        <v>0.49399999999999999</v>
      </c>
      <c r="K83" s="7">
        <f t="shared" si="3"/>
        <v>9.0274999999999999</v>
      </c>
      <c r="L83" s="7">
        <f>ROUND(1634.05/E83,3)</f>
        <v>20.172999999999998</v>
      </c>
      <c r="M83" s="7">
        <f>ROUND(16/E83,3)</f>
        <v>0.19800000000000001</v>
      </c>
      <c r="N83" s="7" t="s">
        <v>685</v>
      </c>
      <c r="O83" s="7" t="s">
        <v>1144</v>
      </c>
      <c r="P83" s="7">
        <f>ROUND(449/E83,3)</f>
        <v>5.5430000000000001</v>
      </c>
      <c r="Q83" s="7">
        <f>ROUND(360/E83,3)</f>
        <v>4.444</v>
      </c>
      <c r="R83" s="7">
        <f>ROUND(258/E83,3)</f>
        <v>3.1850000000000001</v>
      </c>
      <c r="S83" s="7">
        <f>ROUND(102/E83,3)</f>
        <v>1.2589999999999999</v>
      </c>
      <c r="T83" s="7">
        <f>ROUND(29.43/E83,3)</f>
        <v>0.36299999999999999</v>
      </c>
      <c r="U83" s="7">
        <f>ROUND(91/E83,3)</f>
        <v>1.123</v>
      </c>
      <c r="V83" s="7">
        <f>ROUND(22/E83,3)</f>
        <v>0.27200000000000002</v>
      </c>
      <c r="W83" s="7">
        <f>ROUND(26.33/E83,3)</f>
        <v>0.32500000000000001</v>
      </c>
      <c r="X83" s="7">
        <v>0.52</v>
      </c>
      <c r="Y83" s="7">
        <v>0.54</v>
      </c>
      <c r="Z83" s="7">
        <v>0.54</v>
      </c>
      <c r="AA83" s="7">
        <f>ROUND(66.98/E83,3)</f>
        <v>0.82699999999999996</v>
      </c>
      <c r="AB83" s="7">
        <f>ROUND(22/E83,3)</f>
        <v>0.27200000000000002</v>
      </c>
      <c r="AC83" s="7">
        <v>8477500</v>
      </c>
    </row>
    <row r="84" spans="1:29" ht="15" customHeight="1" x14ac:dyDescent="0.2">
      <c r="A84" s="7" t="s">
        <v>310</v>
      </c>
      <c r="B84" s="7" t="s">
        <v>92</v>
      </c>
      <c r="C84" s="7" t="s">
        <v>131</v>
      </c>
      <c r="D84" s="7">
        <v>22</v>
      </c>
      <c r="E84" s="7">
        <v>82</v>
      </c>
      <c r="F84" s="7">
        <f>ROUND(17/E84,3)</f>
        <v>0.20699999999999999</v>
      </c>
      <c r="G84" s="7">
        <f>ROUND(28/E84,3)</f>
        <v>0.34100000000000003</v>
      </c>
      <c r="H84" s="7">
        <f>ROUND(153/E84,3)</f>
        <v>1.8660000000000001</v>
      </c>
      <c r="I84" s="7">
        <f>ROUND(120/E84,3)</f>
        <v>1.4630000000000001</v>
      </c>
      <c r="J84" s="7">
        <f>ROUND(27/E84,3)</f>
        <v>0.32900000000000001</v>
      </c>
      <c r="K84" s="7">
        <f t="shared" si="3"/>
        <v>6.6284999999999989</v>
      </c>
      <c r="L84" s="7">
        <f>ROUND(1394.45/E84,3)</f>
        <v>17.004999999999999</v>
      </c>
      <c r="M84" s="7">
        <f>ROUND(38/E84,3)</f>
        <v>0.46300000000000002</v>
      </c>
      <c r="N84" s="7" t="s">
        <v>1145</v>
      </c>
      <c r="O84" s="7" t="s">
        <v>316</v>
      </c>
      <c r="P84" s="7">
        <f>ROUND(302/E84,3)</f>
        <v>3.6829999999999998</v>
      </c>
      <c r="Q84" s="7">
        <f>ROUND(239/E84,3)</f>
        <v>2.915</v>
      </c>
      <c r="R84" s="7">
        <f>ROUND(151/E84,3)</f>
        <v>1.841</v>
      </c>
      <c r="S84" s="7">
        <f>ROUND(70/E84,3)</f>
        <v>0.85399999999999998</v>
      </c>
      <c r="T84" s="7">
        <f>ROUND(16.97/E84,3)</f>
        <v>0.20699999999999999</v>
      </c>
      <c r="U84" s="7">
        <f>ROUND(46/E84,3)</f>
        <v>0.56100000000000005</v>
      </c>
      <c r="V84" s="7">
        <f>ROUND(25/E84,3)</f>
        <v>0.30499999999999999</v>
      </c>
      <c r="W84" s="7">
        <f>ROUND(17/E84,3)</f>
        <v>0.20699999999999999</v>
      </c>
      <c r="X84" s="7">
        <v>0.5</v>
      </c>
      <c r="Y84" s="7">
        <v>0.56000000000000005</v>
      </c>
      <c r="Z84" s="7">
        <v>0.55000000000000004</v>
      </c>
      <c r="AA84" s="7">
        <f>ROUND(49.59/E84,3)</f>
        <v>0.60499999999999998</v>
      </c>
      <c r="AB84" s="7">
        <f>ROUND(17/E84,3)</f>
        <v>0.20699999999999999</v>
      </c>
      <c r="AC84" s="7">
        <v>8482109</v>
      </c>
    </row>
    <row r="85" spans="1:29" ht="15" customHeight="1" x14ac:dyDescent="0.2">
      <c r="A85" s="7" t="s">
        <v>313</v>
      </c>
      <c r="B85" s="7" t="s">
        <v>60</v>
      </c>
      <c r="C85" s="7" t="s">
        <v>230</v>
      </c>
      <c r="D85" s="7">
        <v>27</v>
      </c>
      <c r="E85" s="7">
        <v>77</v>
      </c>
      <c r="F85" s="7">
        <f>ROUND(21/E85,3)</f>
        <v>0.27300000000000002</v>
      </c>
      <c r="G85" s="7">
        <f>ROUND(34/E85,3)</f>
        <v>0.442</v>
      </c>
      <c r="H85" s="7">
        <f>ROUND(188/E85,3)</f>
        <v>2.4420000000000002</v>
      </c>
      <c r="I85" s="7">
        <f>ROUND(7/E85,3)</f>
        <v>9.0999999999999998E-2</v>
      </c>
      <c r="J85" s="7">
        <f>ROUND(29/E85,3)</f>
        <v>0.377</v>
      </c>
      <c r="K85" s="7">
        <f t="shared" si="3"/>
        <v>7.7004999999999999</v>
      </c>
      <c r="L85" s="7">
        <f>ROUND(1451.3833333333/E85,3)</f>
        <v>18.849</v>
      </c>
      <c r="M85" s="7">
        <f>ROUND(20/E85,3)</f>
        <v>0.26</v>
      </c>
      <c r="N85" s="7" t="s">
        <v>1146</v>
      </c>
      <c r="O85" s="7" t="s">
        <v>1147</v>
      </c>
      <c r="P85" s="7">
        <f>ROUND(368/E85,3)</f>
        <v>4.7789999999999999</v>
      </c>
      <c r="Q85" s="7">
        <f>ROUND(276/E85,3)</f>
        <v>3.5840000000000001</v>
      </c>
      <c r="R85" s="7">
        <f>ROUND(208/E85,3)</f>
        <v>2.7010000000000001</v>
      </c>
      <c r="S85" s="7">
        <f>ROUND(84/E85,3)</f>
        <v>1.091</v>
      </c>
      <c r="T85" s="7">
        <f>ROUND(23.74/E85,3)</f>
        <v>0.308</v>
      </c>
      <c r="U85" s="7">
        <f>ROUND(68/E85,3)</f>
        <v>0.88300000000000001</v>
      </c>
      <c r="V85" s="7">
        <f>ROUND(22/E85,3)</f>
        <v>0.28599999999999998</v>
      </c>
      <c r="W85" s="7">
        <f>ROUND(24.45/E85,3)</f>
        <v>0.318</v>
      </c>
      <c r="X85" s="7">
        <v>0.55000000000000004</v>
      </c>
      <c r="Y85" s="7">
        <v>0.55000000000000004</v>
      </c>
      <c r="Z85" s="7">
        <v>0.55000000000000004</v>
      </c>
      <c r="AA85" s="7">
        <f>ROUND(52.07/E85,3)</f>
        <v>0.67600000000000005</v>
      </c>
      <c r="AB85" s="7">
        <f>ROUND(32/E85,3)</f>
        <v>0.41599999999999998</v>
      </c>
      <c r="AC85" s="7">
        <v>8478873</v>
      </c>
    </row>
    <row r="86" spans="1:29" ht="15" customHeight="1" x14ac:dyDescent="0.2">
      <c r="A86" s="7" t="s">
        <v>317</v>
      </c>
      <c r="B86" s="7" t="s">
        <v>60</v>
      </c>
      <c r="C86" s="7" t="s">
        <v>160</v>
      </c>
      <c r="D86" s="7">
        <v>35</v>
      </c>
      <c r="E86" s="7">
        <v>72</v>
      </c>
      <c r="F86" s="7">
        <f>ROUND(21/E86,3)</f>
        <v>0.29199999999999998</v>
      </c>
      <c r="G86" s="7">
        <f>ROUND(38/E86,3)</f>
        <v>0.52800000000000002</v>
      </c>
      <c r="H86" s="7">
        <f>ROUND(175/E86,3)</f>
        <v>2.431</v>
      </c>
      <c r="I86" s="7">
        <f>ROUND(19/E86,3)</f>
        <v>0.26400000000000001</v>
      </c>
      <c r="J86" s="7">
        <f>ROUND(23/E86,3)</f>
        <v>0.31900000000000001</v>
      </c>
      <c r="K86" s="7">
        <f t="shared" si="3"/>
        <v>8.3859999999999992</v>
      </c>
      <c r="L86" s="7">
        <f>ROUND(1294.5166666667/E86,3)</f>
        <v>17.978999999999999</v>
      </c>
      <c r="M86" s="7">
        <f>ROUND(12/E86,3)</f>
        <v>0.16700000000000001</v>
      </c>
      <c r="N86" s="7" t="s">
        <v>1148</v>
      </c>
      <c r="O86" s="7" t="s">
        <v>1149</v>
      </c>
      <c r="P86" s="7">
        <f>ROUND(334/E86,3)</f>
        <v>4.6390000000000002</v>
      </c>
      <c r="Q86" s="7">
        <f>ROUND(254/E86,3)</f>
        <v>3.528</v>
      </c>
      <c r="R86" s="7">
        <f>ROUND(161/E86,3)</f>
        <v>2.2360000000000002</v>
      </c>
      <c r="S86" s="7">
        <f>ROUND(50/E86,3)</f>
        <v>0.69399999999999995</v>
      </c>
      <c r="T86" s="7">
        <f>ROUND(17.67/E86,3)</f>
        <v>0.245</v>
      </c>
      <c r="U86" s="7">
        <f>ROUND(77/E86,3)</f>
        <v>1.069</v>
      </c>
      <c r="V86" s="7">
        <f>ROUND(13/E86,3)</f>
        <v>0.18099999999999999</v>
      </c>
      <c r="W86" s="7">
        <f>ROUND(18.94/E86,3)</f>
        <v>0.26300000000000001</v>
      </c>
      <c r="X86" s="7">
        <v>0.56000000000000005</v>
      </c>
      <c r="Y86" s="7">
        <v>0.55000000000000004</v>
      </c>
      <c r="Z86" s="7">
        <v>0.56999999999999995</v>
      </c>
      <c r="AA86" s="7">
        <f>ROUND(50.19/E86,3)</f>
        <v>0.69699999999999995</v>
      </c>
      <c r="AB86" s="7">
        <f>ROUND(18/E86,3)</f>
        <v>0.25</v>
      </c>
      <c r="AC86" s="7">
        <v>8474141</v>
      </c>
    </row>
    <row r="87" spans="1:29" ht="15" customHeight="1" x14ac:dyDescent="0.2">
      <c r="A87" s="7" t="s">
        <v>320</v>
      </c>
      <c r="B87" s="7" t="s">
        <v>55</v>
      </c>
      <c r="C87" s="7" t="s">
        <v>56</v>
      </c>
      <c r="D87" s="7">
        <v>31</v>
      </c>
      <c r="E87" s="7">
        <v>78</v>
      </c>
      <c r="F87" s="7">
        <f>ROUND(20/E87,3)</f>
        <v>0.25600000000000001</v>
      </c>
      <c r="G87" s="7">
        <f>ROUND(29/E87,3)</f>
        <v>0.372</v>
      </c>
      <c r="H87" s="7">
        <f>ROUND(164/E87,3)</f>
        <v>2.1030000000000002</v>
      </c>
      <c r="I87" s="7">
        <f>ROUND(26/E87,3)</f>
        <v>0.33300000000000002</v>
      </c>
      <c r="J87" s="7">
        <f>ROUND(48/E87,3)</f>
        <v>0.61499999999999999</v>
      </c>
      <c r="K87" s="7">
        <f t="shared" si="3"/>
        <v>7.1645000000000012</v>
      </c>
      <c r="L87" s="7">
        <f>ROUND(1479.8833333333/E87,3)</f>
        <v>18.972999999999999</v>
      </c>
      <c r="M87" s="7">
        <f>ROUND(24/E87,3)</f>
        <v>0.308</v>
      </c>
      <c r="N87" s="7" t="s">
        <v>395</v>
      </c>
      <c r="O87" s="7" t="s">
        <v>218</v>
      </c>
      <c r="P87" s="7">
        <f>ROUND(293/E87,3)</f>
        <v>3.7559999999999998</v>
      </c>
      <c r="Q87" s="7">
        <f>ROUND(231/E87,3)</f>
        <v>2.9620000000000002</v>
      </c>
      <c r="R87" s="7">
        <f>ROUND(188/E87,3)</f>
        <v>2.41</v>
      </c>
      <c r="S87" s="7">
        <f>ROUND(99/E87,3)</f>
        <v>1.2689999999999999</v>
      </c>
      <c r="T87" s="7">
        <f>ROUND(22.42/E87,3)</f>
        <v>0.28699999999999998</v>
      </c>
      <c r="U87" s="7">
        <f>ROUND(49/E87,3)</f>
        <v>0.628</v>
      </c>
      <c r="V87" s="7">
        <f>ROUND(29/E87,3)</f>
        <v>0.372</v>
      </c>
      <c r="W87" s="7">
        <f>ROUND(25.09/E87,3)</f>
        <v>0.32200000000000001</v>
      </c>
      <c r="X87" s="7">
        <v>0.56999999999999995</v>
      </c>
      <c r="Y87" s="7">
        <v>0.56000000000000005</v>
      </c>
      <c r="Z87" s="7">
        <v>0.56000000000000005</v>
      </c>
      <c r="AA87" s="7">
        <f>ROUND(56.63/E87,3)</f>
        <v>0.72599999999999998</v>
      </c>
      <c r="AB87" s="7">
        <f>ROUND(38/E87,3)</f>
        <v>0.48699999999999999</v>
      </c>
      <c r="AC87" s="7">
        <v>8476454</v>
      </c>
    </row>
    <row r="88" spans="1:29" ht="15" customHeight="1" x14ac:dyDescent="0.2">
      <c r="A88" s="7" t="s">
        <v>323</v>
      </c>
      <c r="B88" s="7" t="s">
        <v>60</v>
      </c>
      <c r="C88" s="7" t="s">
        <v>164</v>
      </c>
      <c r="D88" s="7">
        <v>22</v>
      </c>
      <c r="E88" s="7">
        <v>68</v>
      </c>
      <c r="F88" s="7">
        <f>ROUND(10/E88,3)</f>
        <v>0.14699999999999999</v>
      </c>
      <c r="G88" s="7">
        <f>ROUND(22/E88,3)</f>
        <v>0.32400000000000001</v>
      </c>
      <c r="H88" s="7">
        <f>ROUND(134/E88,3)</f>
        <v>1.9710000000000001</v>
      </c>
      <c r="I88" s="7">
        <f>ROUND(28/E88,3)</f>
        <v>0.41199999999999998</v>
      </c>
      <c r="J88" s="7">
        <f>ROUND(13/E88,3)</f>
        <v>0.191</v>
      </c>
      <c r="K88" s="7">
        <f t="shared" si="3"/>
        <v>5.4880000000000004</v>
      </c>
      <c r="L88" s="7">
        <f>ROUND(943.26666666667/E88,3)</f>
        <v>13.872</v>
      </c>
      <c r="M88" s="7">
        <f>ROUND(22/E88,3)</f>
        <v>0.32400000000000001</v>
      </c>
      <c r="N88" s="7" t="s">
        <v>1150</v>
      </c>
      <c r="O88" s="7" t="s">
        <v>1151</v>
      </c>
      <c r="P88" s="7">
        <f>ROUND(211/E88,3)</f>
        <v>3.1030000000000002</v>
      </c>
      <c r="Q88" s="7">
        <f>ROUND(172/E88,3)</f>
        <v>2.5289999999999999</v>
      </c>
      <c r="R88" s="7">
        <f>ROUND(111/E88,3)</f>
        <v>1.6319999999999999</v>
      </c>
      <c r="S88" s="7">
        <f>ROUND(54/E88,3)</f>
        <v>0.79400000000000004</v>
      </c>
      <c r="T88" s="7">
        <f>ROUND(13.62/E88,3)</f>
        <v>0.2</v>
      </c>
      <c r="U88" s="7">
        <f>ROUND(37/E88,3)</f>
        <v>0.54400000000000004</v>
      </c>
      <c r="V88" s="7">
        <f>ROUND(16/E88,3)</f>
        <v>0.23499999999999999</v>
      </c>
      <c r="W88" s="7">
        <f>ROUND(13.98/E88,3)</f>
        <v>0.20599999999999999</v>
      </c>
      <c r="X88" s="7">
        <v>0.57999999999999996</v>
      </c>
      <c r="Y88" s="7">
        <v>0.57999999999999996</v>
      </c>
      <c r="Z88" s="7">
        <v>0.59</v>
      </c>
      <c r="AA88" s="7">
        <f>ROUND(39.17/E88,3)</f>
        <v>0.57599999999999996</v>
      </c>
      <c r="AB88" s="7">
        <f>ROUND(16/E88,3)</f>
        <v>0.23499999999999999</v>
      </c>
      <c r="AC88" s="7">
        <v>8482146</v>
      </c>
    </row>
    <row r="89" spans="1:29" ht="15" customHeight="1" x14ac:dyDescent="0.2">
      <c r="A89" s="7" t="s">
        <v>324</v>
      </c>
      <c r="B89" s="7" t="s">
        <v>60</v>
      </c>
      <c r="C89" s="7" t="s">
        <v>213</v>
      </c>
      <c r="D89" s="7">
        <v>34</v>
      </c>
      <c r="E89" s="7">
        <v>42</v>
      </c>
      <c r="F89" s="7">
        <f>ROUND(9/E89,3)</f>
        <v>0.214</v>
      </c>
      <c r="G89" s="7">
        <f>ROUND(17/E89,3)</f>
        <v>0.40500000000000003</v>
      </c>
      <c r="H89" s="7">
        <f>ROUND(66/E89,3)</f>
        <v>1.571</v>
      </c>
      <c r="I89" s="7">
        <f>ROUND(13/E89,3)</f>
        <v>0.31</v>
      </c>
      <c r="J89" s="7">
        <f>ROUND(25/E89,3)</f>
        <v>0.59499999999999997</v>
      </c>
      <c r="K89" s="7">
        <f t="shared" si="3"/>
        <v>6.4630000000000001</v>
      </c>
      <c r="L89" s="7">
        <f>ROUND(683.05/E89,3)</f>
        <v>16.263000000000002</v>
      </c>
      <c r="M89" s="7">
        <f>ROUND(14/E89,3)</f>
        <v>0.33300000000000002</v>
      </c>
      <c r="N89" s="7" t="s">
        <v>857</v>
      </c>
      <c r="O89" s="7" t="s">
        <v>1152</v>
      </c>
      <c r="P89" s="7">
        <f>ROUND(130/E89,3)</f>
        <v>3.0950000000000002</v>
      </c>
      <c r="Q89" s="7">
        <f>ROUND(102/E89,3)</f>
        <v>2.4289999999999998</v>
      </c>
      <c r="R89" s="7">
        <f>ROUND(91/E89,3)</f>
        <v>2.1669999999999998</v>
      </c>
      <c r="S89" s="7">
        <f>ROUND(53/E89,3)</f>
        <v>1.262</v>
      </c>
      <c r="T89" s="7">
        <f>ROUND(9.41/E89,3)</f>
        <v>0.224</v>
      </c>
      <c r="U89" s="7">
        <f>ROUND(28/E89,3)</f>
        <v>0.66700000000000004</v>
      </c>
      <c r="V89" s="7">
        <f>ROUND(21/E89,3)</f>
        <v>0.5</v>
      </c>
      <c r="W89" s="7">
        <f>ROUND(9.56/E89,3)</f>
        <v>0.22800000000000001</v>
      </c>
      <c r="X89" s="7">
        <v>0.53</v>
      </c>
      <c r="Y89" s="7">
        <v>0.52</v>
      </c>
      <c r="Z89" s="7">
        <v>0.53</v>
      </c>
      <c r="AA89" s="7">
        <f>ROUND(19.21/E89,3)</f>
        <v>0.45700000000000002</v>
      </c>
      <c r="AB89" s="7">
        <f>ROUND(8/E89,3)</f>
        <v>0.19</v>
      </c>
      <c r="AC89" s="7">
        <v>8474586</v>
      </c>
    </row>
    <row r="90" spans="1:29" ht="15" customHeight="1" x14ac:dyDescent="0.2">
      <c r="A90" s="7" t="s">
        <v>328</v>
      </c>
      <c r="B90" s="7" t="s">
        <v>55</v>
      </c>
      <c r="C90" s="7" t="s">
        <v>274</v>
      </c>
      <c r="D90" s="7">
        <v>29</v>
      </c>
      <c r="E90" s="7">
        <v>81</v>
      </c>
      <c r="F90" s="7">
        <f>ROUND(20/E90,3)</f>
        <v>0.247</v>
      </c>
      <c r="G90" s="7">
        <f>ROUND(33/E90,3)</f>
        <v>0.40699999999999997</v>
      </c>
      <c r="H90" s="7">
        <f>ROUND(242/E90,3)</f>
        <v>2.988</v>
      </c>
      <c r="I90" s="7">
        <f>ROUND(95/E90,3)</f>
        <v>1.173</v>
      </c>
      <c r="J90" s="7">
        <f>ROUND(28/E90,3)</f>
        <v>0.34599999999999997</v>
      </c>
      <c r="K90" s="7">
        <f t="shared" si="3"/>
        <v>8.3384999999999998</v>
      </c>
      <c r="L90" s="7">
        <f>ROUND(1447.4/E90,3)</f>
        <v>17.869</v>
      </c>
      <c r="M90" s="7">
        <f>ROUND(46/E90,3)</f>
        <v>0.56799999999999995</v>
      </c>
      <c r="N90" s="7" t="s">
        <v>1153</v>
      </c>
      <c r="O90" s="7" t="s">
        <v>1154</v>
      </c>
      <c r="P90" s="7">
        <f>ROUND(481/E90,3)</f>
        <v>5.9379999999999997</v>
      </c>
      <c r="Q90" s="7">
        <f>ROUND(349/E90,3)</f>
        <v>4.3090000000000002</v>
      </c>
      <c r="R90" s="7">
        <f>ROUND(276/E90,3)</f>
        <v>3.407</v>
      </c>
      <c r="S90" s="7">
        <f>ROUND(107/E90,3)</f>
        <v>1.321</v>
      </c>
      <c r="T90" s="7">
        <f>ROUND(28.42/E90,3)</f>
        <v>0.35099999999999998</v>
      </c>
      <c r="U90" s="7">
        <f>ROUND(81/E90,3)</f>
        <v>1</v>
      </c>
      <c r="V90" s="7">
        <f>ROUND(23/E90,3)</f>
        <v>0.28399999999999997</v>
      </c>
      <c r="W90" s="7">
        <f>ROUND(28.59/E90,3)</f>
        <v>0.35299999999999998</v>
      </c>
      <c r="X90" s="7">
        <v>0.63</v>
      </c>
      <c r="Y90" s="7">
        <v>0.64</v>
      </c>
      <c r="Z90" s="7">
        <v>0.62</v>
      </c>
      <c r="AA90" s="7">
        <f>ROUND(70.63/E90,3)</f>
        <v>0.872</v>
      </c>
      <c r="AB90" s="7">
        <f>ROUND(34/E90,3)</f>
        <v>0.42</v>
      </c>
      <c r="AC90" s="7">
        <v>8477409</v>
      </c>
    </row>
    <row r="91" spans="1:29" ht="15" customHeight="1" x14ac:dyDescent="0.2">
      <c r="A91" s="7" t="s">
        <v>331</v>
      </c>
      <c r="B91" s="7" t="s">
        <v>55</v>
      </c>
      <c r="C91" s="7" t="s">
        <v>297</v>
      </c>
      <c r="D91" s="7">
        <v>30</v>
      </c>
      <c r="E91" s="7">
        <v>77</v>
      </c>
      <c r="F91" s="7">
        <f>ROUND(10/E91,3)</f>
        <v>0.13</v>
      </c>
      <c r="G91" s="7">
        <f>ROUND(25/E91,3)</f>
        <v>0.32500000000000001</v>
      </c>
      <c r="H91" s="7">
        <f>ROUND(82/E91,3)</f>
        <v>1.0649999999999999</v>
      </c>
      <c r="I91" s="7">
        <f>ROUND(30/E91,3)</f>
        <v>0.39</v>
      </c>
      <c r="J91" s="7">
        <f>ROUND(80/E91,3)</f>
        <v>1.0389999999999999</v>
      </c>
      <c r="K91" s="7">
        <f t="shared" si="3"/>
        <v>5.2889999999999997</v>
      </c>
      <c r="L91" s="7">
        <f>ROUND(1452/E91,3)</f>
        <v>18.856999999999999</v>
      </c>
      <c r="M91" s="7">
        <f>ROUND(14/E91,3)</f>
        <v>0.182</v>
      </c>
      <c r="N91" s="7" t="s">
        <v>903</v>
      </c>
      <c r="O91" s="7" t="s">
        <v>218</v>
      </c>
      <c r="P91" s="7">
        <f>ROUND(182/E91,3)</f>
        <v>2.3639999999999999</v>
      </c>
      <c r="Q91" s="7">
        <f>ROUND(123/E91,3)</f>
        <v>1.597</v>
      </c>
      <c r="R91" s="7">
        <f>ROUND(112/E91,3)</f>
        <v>1.4550000000000001</v>
      </c>
      <c r="S91" s="7">
        <f>ROUND(54/E91,3)</f>
        <v>0.70099999999999996</v>
      </c>
      <c r="T91" s="7">
        <f>ROUND(10.72/E91,3)</f>
        <v>0.13900000000000001</v>
      </c>
      <c r="U91" s="7">
        <f>ROUND(41/E91,3)</f>
        <v>0.53200000000000003</v>
      </c>
      <c r="V91" s="7">
        <f>ROUND(38/E91,3)</f>
        <v>0.49399999999999999</v>
      </c>
      <c r="W91" s="7">
        <f>ROUND(12.73/E91,3)</f>
        <v>0.16500000000000001</v>
      </c>
      <c r="X91" s="7">
        <v>0.48</v>
      </c>
      <c r="Y91" s="7">
        <v>0.51</v>
      </c>
      <c r="Z91" s="7">
        <v>0.5</v>
      </c>
      <c r="AA91" s="7">
        <f>ROUND(27.62/E91,3)</f>
        <v>0.35899999999999999</v>
      </c>
      <c r="AB91" s="7">
        <f>ROUND(13/E91,3)</f>
        <v>0.16900000000000001</v>
      </c>
      <c r="AC91" s="7">
        <v>8477505</v>
      </c>
    </row>
    <row r="92" spans="1:29" ht="15" customHeight="1" x14ac:dyDescent="0.2">
      <c r="A92" s="7" t="s">
        <v>332</v>
      </c>
      <c r="B92" s="7" t="s">
        <v>92</v>
      </c>
      <c r="C92" s="7" t="s">
        <v>1155</v>
      </c>
      <c r="D92" s="7">
        <v>36</v>
      </c>
      <c r="E92" s="7">
        <v>71</v>
      </c>
      <c r="F92" s="7">
        <f>ROUND(23/E92,3)</f>
        <v>0.32400000000000001</v>
      </c>
      <c r="G92" s="7">
        <f>ROUND(28/E92,3)</f>
        <v>0.39400000000000002</v>
      </c>
      <c r="H92" s="7">
        <f>ROUND(194/E92,3)</f>
        <v>2.7320000000000002</v>
      </c>
      <c r="I92" s="7">
        <f>ROUND(81/E92,3)</f>
        <v>1.141</v>
      </c>
      <c r="J92" s="7">
        <f>ROUND(34/E92,3)</f>
        <v>0.47899999999999998</v>
      </c>
      <c r="K92" s="7">
        <f t="shared" si="3"/>
        <v>8.7375000000000007</v>
      </c>
      <c r="L92" s="7">
        <f>ROUND(1301.0166666667/E92,3)</f>
        <v>18.324000000000002</v>
      </c>
      <c r="M92" s="7">
        <f>ROUND(64/E92,3)</f>
        <v>0.90100000000000002</v>
      </c>
      <c r="N92" s="7" t="s">
        <v>1156</v>
      </c>
      <c r="O92" s="7" t="s">
        <v>942</v>
      </c>
      <c r="P92" s="7">
        <f>ROUND(380/E92,3)</f>
        <v>5.3520000000000003</v>
      </c>
      <c r="Q92" s="7">
        <f>ROUND(281/E92,3)</f>
        <v>3.9580000000000002</v>
      </c>
      <c r="R92" s="7">
        <f>ROUND(211/E92,3)</f>
        <v>2.972</v>
      </c>
      <c r="S92" s="7">
        <f>ROUND(98/E92,3)</f>
        <v>1.38</v>
      </c>
      <c r="T92" s="7">
        <f>ROUND(29.56/E92,3)</f>
        <v>0.41599999999999998</v>
      </c>
      <c r="U92" s="7">
        <f>ROUND(86/E92,3)</f>
        <v>1.2110000000000001</v>
      </c>
      <c r="V92" s="7">
        <f>ROUND(21/E92,3)</f>
        <v>0.29599999999999999</v>
      </c>
      <c r="W92" s="7">
        <f>ROUND(29.24/E92,3)</f>
        <v>0.41199999999999998</v>
      </c>
      <c r="X92" s="7">
        <v>0.56000000000000005</v>
      </c>
      <c r="Y92" s="7">
        <v>0.56000000000000005</v>
      </c>
      <c r="Z92" s="7">
        <v>0.55000000000000004</v>
      </c>
      <c r="AA92" s="7">
        <f>ROUND(51.72/E92,3)</f>
        <v>0.72799999999999998</v>
      </c>
      <c r="AB92" s="7">
        <f>ROUND(44/E92,3)</f>
        <v>0.62</v>
      </c>
      <c r="AC92" s="7">
        <v>8473419</v>
      </c>
    </row>
    <row r="93" spans="1:29" ht="15" customHeight="1" x14ac:dyDescent="0.2">
      <c r="A93" s="7" t="s">
        <v>335</v>
      </c>
      <c r="B93" s="7" t="s">
        <v>92</v>
      </c>
      <c r="C93" s="7" t="s">
        <v>56</v>
      </c>
      <c r="D93" s="7">
        <v>31</v>
      </c>
      <c r="E93" s="7">
        <v>67</v>
      </c>
      <c r="F93" s="7">
        <f>ROUND(15/E93,3)</f>
        <v>0.224</v>
      </c>
      <c r="G93" s="7">
        <f>ROUND(12/E93,3)</f>
        <v>0.17899999999999999</v>
      </c>
      <c r="H93" s="7">
        <f>ROUND(158/E93,3)</f>
        <v>2.3580000000000001</v>
      </c>
      <c r="I93" s="7">
        <f>ROUND(32/E93,3)</f>
        <v>0.47799999999999998</v>
      </c>
      <c r="J93" s="7">
        <f>ROUND(23/E93,3)</f>
        <v>0.34300000000000003</v>
      </c>
      <c r="K93" s="7">
        <f t="shared" si="3"/>
        <v>5.806</v>
      </c>
      <c r="L93" s="7">
        <f>ROUND(1004.7666666667/E93,3)</f>
        <v>14.997</v>
      </c>
      <c r="M93" s="7">
        <f>ROUND(24/E93,3)</f>
        <v>0.35799999999999998</v>
      </c>
      <c r="N93" s="7" t="s">
        <v>1157</v>
      </c>
      <c r="O93" s="7" t="s">
        <v>1158</v>
      </c>
      <c r="P93" s="7">
        <f>ROUND(301/E93,3)</f>
        <v>4.4930000000000003</v>
      </c>
      <c r="Q93" s="7">
        <f>ROUND(223/E93,3)</f>
        <v>3.3279999999999998</v>
      </c>
      <c r="R93" s="7">
        <f>ROUND(153/E93,3)</f>
        <v>2.2839999999999998</v>
      </c>
      <c r="S93" s="7">
        <f>ROUND(55/E93,3)</f>
        <v>0.82099999999999995</v>
      </c>
      <c r="T93" s="7">
        <f>ROUND(16.47/E93,3)</f>
        <v>0.246</v>
      </c>
      <c r="U93" s="7">
        <f>ROUND(67/E93,3)</f>
        <v>1</v>
      </c>
      <c r="V93" s="7">
        <f>ROUND(15/E93,3)</f>
        <v>0.224</v>
      </c>
      <c r="W93" s="7">
        <f>ROUND(16.18/E93,3)</f>
        <v>0.24099999999999999</v>
      </c>
      <c r="X93" s="7">
        <v>0.57999999999999996</v>
      </c>
      <c r="Y93" s="7">
        <v>0.56999999999999995</v>
      </c>
      <c r="Z93" s="7">
        <v>0.56999999999999995</v>
      </c>
      <c r="AA93" s="7">
        <f>ROUND(41.77/E93,3)</f>
        <v>0.623</v>
      </c>
      <c r="AB93" s="7">
        <f>ROUND(19/E93,3)</f>
        <v>0.28399999999999997</v>
      </c>
      <c r="AC93" s="7">
        <v>8478042</v>
      </c>
    </row>
    <row r="94" spans="1:29" ht="15" customHeight="1" x14ac:dyDescent="0.2">
      <c r="A94" s="7" t="s">
        <v>338</v>
      </c>
      <c r="B94" s="7" t="s">
        <v>60</v>
      </c>
      <c r="C94" s="7" t="s">
        <v>106</v>
      </c>
      <c r="D94" s="7">
        <v>37</v>
      </c>
      <c r="E94" s="7">
        <v>69</v>
      </c>
      <c r="F94" s="7">
        <f>ROUND(19/E94,3)</f>
        <v>0.27500000000000002</v>
      </c>
      <c r="G94" s="7">
        <f>ROUND(35/E94,3)</f>
        <v>0.50700000000000001</v>
      </c>
      <c r="H94" s="7">
        <f>ROUND(151/E94,3)</f>
        <v>2.1880000000000002</v>
      </c>
      <c r="I94" s="7">
        <f>ROUND(32/E94,3)</f>
        <v>0.46400000000000002</v>
      </c>
      <c r="J94" s="7">
        <f>ROUND(48/E94,3)</f>
        <v>0.69599999999999995</v>
      </c>
      <c r="K94" s="7">
        <f t="shared" si="3"/>
        <v>8.3579999999999988</v>
      </c>
      <c r="L94" s="7">
        <f>ROUND(1356.2833333333/E94,3)</f>
        <v>19.655999999999999</v>
      </c>
      <c r="M94" s="7">
        <f>ROUND(22/E94,3)</f>
        <v>0.31900000000000001</v>
      </c>
      <c r="N94" s="7" t="s">
        <v>1157</v>
      </c>
      <c r="O94" s="7" t="s">
        <v>1159</v>
      </c>
      <c r="P94" s="7">
        <f>ROUND(294/E94,3)</f>
        <v>4.2610000000000001</v>
      </c>
      <c r="Q94" s="7">
        <f>ROUND(220/E94,3)</f>
        <v>3.1880000000000002</v>
      </c>
      <c r="R94" s="7">
        <f>ROUND(149/E94,3)</f>
        <v>2.1589999999999998</v>
      </c>
      <c r="S94" s="7">
        <f>ROUND(47/E94,3)</f>
        <v>0.68100000000000005</v>
      </c>
      <c r="T94" s="7">
        <f>ROUND(14.42/E94,3)</f>
        <v>0.20899999999999999</v>
      </c>
      <c r="U94" s="7">
        <f>ROUND(77/E94,3)</f>
        <v>1.1160000000000001</v>
      </c>
      <c r="V94" s="7">
        <f>ROUND(29/E94,3)</f>
        <v>0.42</v>
      </c>
      <c r="W94" s="7">
        <f>ROUND(15.66/E94,3)</f>
        <v>0.22700000000000001</v>
      </c>
      <c r="X94" s="7">
        <v>0.61</v>
      </c>
      <c r="Y94" s="7">
        <v>0.55000000000000004</v>
      </c>
      <c r="Z94" s="7">
        <v>0.56000000000000005</v>
      </c>
      <c r="AA94" s="7">
        <f>ROUND(48.35/E94,3)</f>
        <v>0.70099999999999996</v>
      </c>
      <c r="AB94" s="7">
        <f>ROUND(20/E94,3)</f>
        <v>0.28999999999999998</v>
      </c>
      <c r="AC94" s="7">
        <v>8475692</v>
      </c>
    </row>
    <row r="95" spans="1:29" ht="15" customHeight="1" x14ac:dyDescent="0.2">
      <c r="A95" s="7" t="s">
        <v>341</v>
      </c>
      <c r="B95" s="7" t="s">
        <v>55</v>
      </c>
      <c r="C95" s="7" t="s">
        <v>138</v>
      </c>
      <c r="D95" s="7">
        <v>25</v>
      </c>
      <c r="E95" s="7">
        <v>79</v>
      </c>
      <c r="F95" s="7">
        <f>ROUND(20/E95,3)</f>
        <v>0.253</v>
      </c>
      <c r="G95" s="7">
        <f>ROUND(33/E95,3)</f>
        <v>0.41799999999999998</v>
      </c>
      <c r="H95" s="7">
        <f>ROUND(98/E95,3)</f>
        <v>1.2410000000000001</v>
      </c>
      <c r="I95" s="7">
        <f>ROUND(17/E95,3)</f>
        <v>0.215</v>
      </c>
      <c r="J95" s="7">
        <f>ROUND(35/E95,3)</f>
        <v>0.443</v>
      </c>
      <c r="K95" s="7">
        <f t="shared" si="3"/>
        <v>6.3234999999999992</v>
      </c>
      <c r="L95" s="7">
        <f>ROUND(1329.3166666667/E95,3)</f>
        <v>16.827000000000002</v>
      </c>
      <c r="M95" s="7">
        <f>ROUND(16/E95,3)</f>
        <v>0.20300000000000001</v>
      </c>
      <c r="N95" s="7" t="s">
        <v>1160</v>
      </c>
      <c r="O95" s="7" t="s">
        <v>1161</v>
      </c>
      <c r="P95" s="7">
        <f>ROUND(200/E95,3)</f>
        <v>2.532</v>
      </c>
      <c r="Q95" s="7">
        <f>ROUND(153/E95,3)</f>
        <v>1.9370000000000001</v>
      </c>
      <c r="R95" s="7">
        <f>ROUND(116/E95,3)</f>
        <v>1.468</v>
      </c>
      <c r="S95" s="7">
        <f>ROUND(58/E95,3)</f>
        <v>0.73399999999999999</v>
      </c>
      <c r="T95" s="7">
        <f>ROUND(14.28/E95,3)</f>
        <v>0.18099999999999999</v>
      </c>
      <c r="U95" s="7">
        <f>ROUND(70/E95,3)</f>
        <v>0.88600000000000001</v>
      </c>
      <c r="V95" s="7">
        <f>ROUND(26/E95,3)</f>
        <v>0.32900000000000001</v>
      </c>
      <c r="W95" s="7">
        <f>ROUND(16.71/E95,3)</f>
        <v>0.21199999999999999</v>
      </c>
      <c r="X95" s="7">
        <v>0.42</v>
      </c>
      <c r="Y95" s="7">
        <v>0.46</v>
      </c>
      <c r="Z95" s="7">
        <v>0.46</v>
      </c>
      <c r="AA95" s="7">
        <f>ROUND(44.31/E95,3)</f>
        <v>0.56100000000000005</v>
      </c>
      <c r="AB95" s="7">
        <f>ROUND(19/E95,3)</f>
        <v>0.24099999999999999</v>
      </c>
      <c r="AC95" s="7">
        <v>8480802</v>
      </c>
    </row>
    <row r="96" spans="1:29" ht="15" customHeight="1" x14ac:dyDescent="0.2">
      <c r="A96" s="7" t="s">
        <v>343</v>
      </c>
      <c r="B96" s="7" t="s">
        <v>55</v>
      </c>
      <c r="C96" s="7" t="s">
        <v>146</v>
      </c>
      <c r="D96" s="7">
        <v>27</v>
      </c>
      <c r="E96" s="7">
        <v>67</v>
      </c>
      <c r="F96" s="7">
        <f>ROUND(33/E96,3)</f>
        <v>0.49299999999999999</v>
      </c>
      <c r="G96" s="7">
        <f>ROUND(45/E96,3)</f>
        <v>0.67200000000000004</v>
      </c>
      <c r="H96" s="7">
        <f>ROUND(261/E96,3)</f>
        <v>3.8959999999999999</v>
      </c>
      <c r="I96" s="7">
        <f>ROUND(45/E96,3)</f>
        <v>0.67200000000000004</v>
      </c>
      <c r="J96" s="7">
        <f>ROUND(89/E96,3)</f>
        <v>1.3280000000000001</v>
      </c>
      <c r="K96" s="7">
        <f t="shared" si="3"/>
        <v>13.536</v>
      </c>
      <c r="L96" s="7">
        <f>ROUND(1371.6333333333/E96,3)</f>
        <v>20.472000000000001</v>
      </c>
      <c r="M96" s="7">
        <f>ROUND(20/E96,3)</f>
        <v>0.29899999999999999</v>
      </c>
      <c r="N96" s="7" t="s">
        <v>1162</v>
      </c>
      <c r="O96" s="7" t="s">
        <v>1163</v>
      </c>
      <c r="P96" s="7">
        <f>ROUND(480/E96,3)</f>
        <v>7.1639999999999997</v>
      </c>
      <c r="Q96" s="7">
        <f>ROUND(388/E96,3)</f>
        <v>5.7910000000000004</v>
      </c>
      <c r="R96" s="7">
        <f>ROUND(302/E96,3)</f>
        <v>4.5069999999999997</v>
      </c>
      <c r="S96" s="7">
        <f>ROUND(125/E96,3)</f>
        <v>1.8660000000000001</v>
      </c>
      <c r="T96" s="7">
        <f>ROUND(37.49/E96,3)</f>
        <v>0.56000000000000005</v>
      </c>
      <c r="U96" s="7">
        <f>ROUND(62/E96,3)</f>
        <v>0.92500000000000004</v>
      </c>
      <c r="V96" s="7">
        <f>ROUND(29/E96,3)</f>
        <v>0.433</v>
      </c>
      <c r="W96" s="7">
        <f>ROUND(41.05/E96,3)</f>
        <v>0.61299999999999999</v>
      </c>
      <c r="X96" s="7">
        <v>0.55000000000000004</v>
      </c>
      <c r="Y96" s="7">
        <v>0.54</v>
      </c>
      <c r="Z96" s="7">
        <v>0.55000000000000004</v>
      </c>
      <c r="AA96" s="7">
        <f>ROUND(86.3/E96,3)</f>
        <v>1.288</v>
      </c>
      <c r="AB96" s="7">
        <f>ROUND(51/E96,3)</f>
        <v>0.76100000000000001</v>
      </c>
      <c r="AC96" s="7">
        <v>8479318</v>
      </c>
    </row>
    <row r="97" spans="1:29" ht="15" customHeight="1" x14ac:dyDescent="0.2">
      <c r="A97" s="7" t="s">
        <v>346</v>
      </c>
      <c r="B97" s="7" t="s">
        <v>60</v>
      </c>
      <c r="C97" s="7" t="s">
        <v>80</v>
      </c>
      <c r="D97" s="7">
        <v>21</v>
      </c>
      <c r="E97" s="7">
        <v>80</v>
      </c>
      <c r="F97" s="7">
        <f>ROUND(17/E97,3)</f>
        <v>0.21299999999999999</v>
      </c>
      <c r="G97" s="7">
        <f>ROUND(17/E97,3)</f>
        <v>0.21299999999999999</v>
      </c>
      <c r="H97" s="7">
        <f>ROUND(143/E97,3)</f>
        <v>1.788</v>
      </c>
      <c r="I97" s="7">
        <f>ROUND(19/E97,3)</f>
        <v>0.23799999999999999</v>
      </c>
      <c r="J97" s="7">
        <f>ROUND(30/E97,3)</f>
        <v>0.375</v>
      </c>
      <c r="K97" s="7">
        <f t="shared" si="3"/>
        <v>5.2640000000000002</v>
      </c>
      <c r="L97" s="7">
        <f>ROUND(1107.6666666667/E97,3)</f>
        <v>13.846</v>
      </c>
      <c r="M97" s="7">
        <f>ROUND(30/E97,3)</f>
        <v>0.375</v>
      </c>
      <c r="N97" s="7" t="s">
        <v>1164</v>
      </c>
      <c r="O97" s="7" t="s">
        <v>1165</v>
      </c>
      <c r="P97" s="7">
        <f>ROUND(248/E97,3)</f>
        <v>3.1</v>
      </c>
      <c r="Q97" s="7">
        <f>ROUND(205/E97,3)</f>
        <v>2.5630000000000002</v>
      </c>
      <c r="R97" s="7">
        <f>ROUND(189/E97,3)</f>
        <v>2.363</v>
      </c>
      <c r="S97" s="7">
        <f>ROUND(109/E97,3)</f>
        <v>1.363</v>
      </c>
      <c r="T97" s="7">
        <f>ROUND(24.35/E97,3)</f>
        <v>0.30399999999999999</v>
      </c>
      <c r="U97" s="7">
        <f>ROUND(54/E97,3)</f>
        <v>0.67500000000000004</v>
      </c>
      <c r="V97" s="7">
        <f>ROUND(20/E97,3)</f>
        <v>0.25</v>
      </c>
      <c r="W97" s="7">
        <f>ROUND(23.35/E97,3)</f>
        <v>0.29199999999999998</v>
      </c>
      <c r="X97" s="7">
        <v>0.66</v>
      </c>
      <c r="Y97" s="7">
        <v>0.66</v>
      </c>
      <c r="Z97" s="7">
        <v>0.65</v>
      </c>
      <c r="AA97" s="7">
        <f>ROUND(58.58/E97,3)</f>
        <v>0.73199999999999998</v>
      </c>
      <c r="AB97" s="7">
        <f>ROUND(33/E97,3)</f>
        <v>0.41299999999999998</v>
      </c>
      <c r="AC97" s="7">
        <v>8482809</v>
      </c>
    </row>
    <row r="98" spans="1:29" ht="15" customHeight="1" x14ac:dyDescent="0.2">
      <c r="A98" s="7" t="s">
        <v>347</v>
      </c>
      <c r="B98" s="7" t="s">
        <v>55</v>
      </c>
      <c r="C98" s="7" t="s">
        <v>1166</v>
      </c>
      <c r="D98" s="7">
        <v>31</v>
      </c>
      <c r="E98" s="7">
        <v>72</v>
      </c>
      <c r="F98" s="7">
        <f>ROUND(22/E98,3)</f>
        <v>0.30599999999999999</v>
      </c>
      <c r="G98" s="7">
        <f>ROUND(48/E98,3)</f>
        <v>0.66700000000000004</v>
      </c>
      <c r="H98" s="7">
        <f>ROUND(137/E98,3)</f>
        <v>1.903</v>
      </c>
      <c r="I98" s="7">
        <f>ROUND(168/E98,3)</f>
        <v>2.3330000000000002</v>
      </c>
      <c r="J98" s="7">
        <f>ROUND(50/E98,3)</f>
        <v>0.69399999999999995</v>
      </c>
      <c r="K98" s="7">
        <f t="shared" si="3"/>
        <v>10.2135</v>
      </c>
      <c r="L98" s="7">
        <f>ROUND(1310.4166666667/E98,3)</f>
        <v>18.2</v>
      </c>
      <c r="M98" s="7">
        <f>ROUND(55/E98,3)</f>
        <v>0.76400000000000001</v>
      </c>
      <c r="N98" s="7" t="s">
        <v>1167</v>
      </c>
      <c r="O98" s="7" t="s">
        <v>1168</v>
      </c>
      <c r="P98" s="7">
        <f>ROUND(272/E98,3)</f>
        <v>3.778</v>
      </c>
      <c r="Q98" s="7">
        <f>ROUND(214/E98,3)</f>
        <v>2.972</v>
      </c>
      <c r="R98" s="7">
        <f>ROUND(149/E98,3)</f>
        <v>2.069</v>
      </c>
      <c r="S98" s="7">
        <f>ROUND(64/E98,3)</f>
        <v>0.88900000000000001</v>
      </c>
      <c r="T98" s="7">
        <f>ROUND(19.21/E98,3)</f>
        <v>0.26700000000000002</v>
      </c>
      <c r="U98" s="7">
        <f>ROUND(71/E98,3)</f>
        <v>0.98599999999999999</v>
      </c>
      <c r="V98" s="7">
        <f>ROUND(28/E98,3)</f>
        <v>0.38900000000000001</v>
      </c>
      <c r="W98" s="7">
        <f>ROUND(21.36/E98,3)</f>
        <v>0.29699999999999999</v>
      </c>
      <c r="X98" s="7">
        <v>0.51</v>
      </c>
      <c r="Y98" s="7">
        <v>0.55000000000000004</v>
      </c>
      <c r="Z98" s="7">
        <v>0.55000000000000004</v>
      </c>
      <c r="AA98" s="7">
        <f>ROUND(63.66/E98,3)</f>
        <v>0.88400000000000001</v>
      </c>
      <c r="AB98" s="7">
        <f>ROUND(27/E98,3)</f>
        <v>0.375</v>
      </c>
      <c r="AC98" s="7">
        <v>8476468</v>
      </c>
    </row>
    <row r="99" spans="1:29" ht="15" customHeight="1" x14ac:dyDescent="0.2">
      <c r="A99" s="7" t="s">
        <v>350</v>
      </c>
      <c r="B99" s="7" t="s">
        <v>55</v>
      </c>
      <c r="C99" s="7" t="s">
        <v>131</v>
      </c>
      <c r="D99" s="7">
        <v>31</v>
      </c>
      <c r="E99" s="7">
        <v>82</v>
      </c>
      <c r="F99" s="7">
        <f>ROUND(26/E99,3)</f>
        <v>0.317</v>
      </c>
      <c r="G99" s="7">
        <f>ROUND(33/E99,3)</f>
        <v>0.40200000000000002</v>
      </c>
      <c r="H99" s="7">
        <f>ROUND(202/E99,3)</f>
        <v>2.4630000000000001</v>
      </c>
      <c r="I99" s="7">
        <f>ROUND(213/E99,3)</f>
        <v>2.5979999999999999</v>
      </c>
      <c r="J99" s="7">
        <f>ROUND(78/E99,3)</f>
        <v>0.95099999999999996</v>
      </c>
      <c r="K99" s="7">
        <f t="shared" si="3"/>
        <v>9.6609999999999996</v>
      </c>
      <c r="L99" s="7">
        <f>ROUND(1730.1166666667/E99,3)</f>
        <v>21.099</v>
      </c>
      <c r="M99" s="7">
        <f>ROUND(44/E99,3)</f>
        <v>0.53700000000000003</v>
      </c>
      <c r="N99" s="7" t="s">
        <v>1169</v>
      </c>
      <c r="O99" s="7" t="s">
        <v>1170</v>
      </c>
      <c r="P99" s="7">
        <f>ROUND(380/E99,3)</f>
        <v>4.6340000000000003</v>
      </c>
      <c r="Q99" s="7">
        <f>ROUND(317/E99,3)</f>
        <v>3.8660000000000001</v>
      </c>
      <c r="R99" s="7">
        <f>ROUND(245/E99,3)</f>
        <v>2.988</v>
      </c>
      <c r="S99" s="7">
        <f>ROUND(125/E99,3)</f>
        <v>1.524</v>
      </c>
      <c r="T99" s="7">
        <f>ROUND(30.7/E99,3)</f>
        <v>0.374</v>
      </c>
      <c r="U99" s="7">
        <f>ROUND(95/E99,3)</f>
        <v>1.159</v>
      </c>
      <c r="V99" s="7">
        <f>ROUND(33/E99,3)</f>
        <v>0.40200000000000002</v>
      </c>
      <c r="W99" s="7">
        <f>ROUND(29.11/E99,3)</f>
        <v>0.35499999999999998</v>
      </c>
      <c r="X99" s="7">
        <v>0.49</v>
      </c>
      <c r="Y99" s="7">
        <v>0.55000000000000004</v>
      </c>
      <c r="Z99" s="7">
        <v>0.54</v>
      </c>
      <c r="AA99" s="7">
        <f>ROUND(68.76/E99,3)</f>
        <v>0.83899999999999997</v>
      </c>
      <c r="AB99" s="7">
        <f>ROUND(34/E99,3)</f>
        <v>0.41499999999999998</v>
      </c>
      <c r="AC99" s="7">
        <v>8476389</v>
      </c>
    </row>
    <row r="100" spans="1:29" ht="15" customHeight="1" x14ac:dyDescent="0.2">
      <c r="A100" s="7" t="s">
        <v>352</v>
      </c>
      <c r="B100" s="7" t="s">
        <v>92</v>
      </c>
      <c r="C100" s="7" t="s">
        <v>297</v>
      </c>
      <c r="D100" s="7">
        <v>21</v>
      </c>
      <c r="E100" s="7">
        <v>77</v>
      </c>
      <c r="F100" s="7">
        <f>ROUND(17/E100,3)</f>
        <v>0.221</v>
      </c>
      <c r="G100" s="7">
        <f>ROUND(41/E100,3)</f>
        <v>0.53200000000000003</v>
      </c>
      <c r="H100" s="7">
        <f>ROUND(151/E100,3)</f>
        <v>1.9610000000000001</v>
      </c>
      <c r="I100" s="7">
        <f>ROUND(54/E100,3)</f>
        <v>0.70099999999999996</v>
      </c>
      <c r="J100" s="7">
        <f>ROUND(46/E100,3)</f>
        <v>0.59699999999999998</v>
      </c>
      <c r="K100" s="7">
        <f t="shared" si="3"/>
        <v>7.8685000000000009</v>
      </c>
      <c r="L100" s="7">
        <f>ROUND(1505.6/E100,3)</f>
        <v>19.553000000000001</v>
      </c>
      <c r="M100" s="7">
        <f>ROUND(29/E100,3)</f>
        <v>0.377</v>
      </c>
      <c r="N100" s="7" t="s">
        <v>1171</v>
      </c>
      <c r="O100" s="7" t="s">
        <v>1172</v>
      </c>
      <c r="P100" s="7">
        <f>ROUND(324/E100,3)</f>
        <v>4.2080000000000002</v>
      </c>
      <c r="Q100" s="7">
        <f>ROUND(245/E100,3)</f>
        <v>3.1819999999999999</v>
      </c>
      <c r="R100" s="7">
        <f>ROUND(184/E100,3)</f>
        <v>2.39</v>
      </c>
      <c r="S100" s="7">
        <f>ROUND(90/E100,3)</f>
        <v>1.169</v>
      </c>
      <c r="T100" s="7">
        <f>ROUND(21.97/E100,3)</f>
        <v>0.28499999999999998</v>
      </c>
      <c r="U100" s="7">
        <f>ROUND(75/E100,3)</f>
        <v>0.97399999999999998</v>
      </c>
      <c r="V100" s="7">
        <f>ROUND(15/E100,3)</f>
        <v>0.19500000000000001</v>
      </c>
      <c r="W100" s="7">
        <f>ROUND(22.93/E100,3)</f>
        <v>0.29799999999999999</v>
      </c>
      <c r="X100" s="7">
        <v>0.51</v>
      </c>
      <c r="Y100" s="7">
        <v>0.54</v>
      </c>
      <c r="Z100" s="7">
        <v>0.54</v>
      </c>
      <c r="AA100" s="7">
        <f>ROUND(55.04/E100,3)</f>
        <v>0.71499999999999997</v>
      </c>
      <c r="AB100" s="7">
        <f>ROUND(24/E100,3)</f>
        <v>0.312</v>
      </c>
      <c r="AC100" s="7">
        <v>8482667</v>
      </c>
    </row>
    <row r="101" spans="1:29" ht="15" customHeight="1" x14ac:dyDescent="0.2">
      <c r="A101" s="7" t="s">
        <v>353</v>
      </c>
      <c r="B101" s="7" t="s">
        <v>92</v>
      </c>
      <c r="C101" s="7" t="s">
        <v>56</v>
      </c>
      <c r="D101" s="7">
        <v>32</v>
      </c>
      <c r="E101" s="7">
        <v>73</v>
      </c>
      <c r="F101" s="7">
        <f>ROUND(27/E101,3)</f>
        <v>0.37</v>
      </c>
      <c r="G101" s="7">
        <f>ROUND(17/E101,3)</f>
        <v>0.23300000000000001</v>
      </c>
      <c r="H101" s="7">
        <f>ROUND(210/E101,3)</f>
        <v>2.8769999999999998</v>
      </c>
      <c r="I101" s="7">
        <f>ROUND(58/E101,3)</f>
        <v>0.79500000000000004</v>
      </c>
      <c r="J101" s="7">
        <f>ROUND(24/E101,3)</f>
        <v>0.32900000000000001</v>
      </c>
      <c r="K101" s="7">
        <f t="shared" si="3"/>
        <v>7.9615</v>
      </c>
      <c r="L101" s="7">
        <f>ROUND(1378.35/E101,3)</f>
        <v>18.882000000000001</v>
      </c>
      <c r="M101" s="7">
        <f>ROUND(32/E101,3)</f>
        <v>0.438</v>
      </c>
      <c r="N101" s="7" t="s">
        <v>1173</v>
      </c>
      <c r="O101" s="7" t="s">
        <v>1174</v>
      </c>
      <c r="P101" s="7">
        <f>ROUND(373/E101,3)</f>
        <v>5.1100000000000003</v>
      </c>
      <c r="Q101" s="7">
        <f>ROUND(309/E101,3)</f>
        <v>4.2329999999999997</v>
      </c>
      <c r="R101" s="7">
        <f>ROUND(280/E101,3)</f>
        <v>3.8359999999999999</v>
      </c>
      <c r="S101" s="7">
        <f>ROUND(189/E101,3)</f>
        <v>2.589</v>
      </c>
      <c r="T101" s="7">
        <f>ROUND(37.86/E101,3)</f>
        <v>0.51900000000000002</v>
      </c>
      <c r="U101" s="7">
        <f>ROUND(43/E101,3)</f>
        <v>0.58899999999999997</v>
      </c>
      <c r="V101" s="7">
        <f>ROUND(14/E101,3)</f>
        <v>0.192</v>
      </c>
      <c r="W101" s="7">
        <f>ROUND(38.01/E101,3)</f>
        <v>0.52100000000000002</v>
      </c>
      <c r="X101" s="7">
        <v>0.67</v>
      </c>
      <c r="Y101" s="7">
        <v>0.64</v>
      </c>
      <c r="Z101" s="7">
        <v>0.64</v>
      </c>
      <c r="AA101" s="7">
        <f>ROUND(69.74/E101,3)</f>
        <v>0.95499999999999996</v>
      </c>
      <c r="AB101" s="7">
        <f>ROUND(58/E101,3)</f>
        <v>0.79500000000000004</v>
      </c>
      <c r="AC101" s="7">
        <v>8475786</v>
      </c>
    </row>
    <row r="102" spans="1:29" ht="15" customHeight="1" x14ac:dyDescent="0.2">
      <c r="A102" s="7" t="s">
        <v>355</v>
      </c>
      <c r="B102" s="7" t="s">
        <v>60</v>
      </c>
      <c r="C102" s="7" t="s">
        <v>1049</v>
      </c>
      <c r="D102" s="7">
        <v>22</v>
      </c>
      <c r="E102" s="7">
        <v>51</v>
      </c>
      <c r="F102" s="7">
        <f>ROUND(7/E102,3)</f>
        <v>0.13700000000000001</v>
      </c>
      <c r="G102" s="7">
        <f>ROUND(12/E102,3)</f>
        <v>0.23499999999999999</v>
      </c>
      <c r="H102" s="7">
        <f>ROUND(88/E102,3)</f>
        <v>1.7250000000000001</v>
      </c>
      <c r="I102" s="7">
        <f>ROUND(45/E102,3)</f>
        <v>0.88200000000000001</v>
      </c>
      <c r="J102" s="7">
        <f>ROUND(14/E102,3)</f>
        <v>0.27500000000000002</v>
      </c>
      <c r="K102" s="7">
        <f t="shared" si="3"/>
        <v>4.9470000000000001</v>
      </c>
      <c r="L102" s="7">
        <f>ROUND(689.45/E102,3)</f>
        <v>13.519</v>
      </c>
      <c r="M102" s="7">
        <f>ROUND(8/E102,3)</f>
        <v>0.157</v>
      </c>
      <c r="N102" s="7" t="s">
        <v>1175</v>
      </c>
      <c r="O102" s="7" t="s">
        <v>1176</v>
      </c>
      <c r="P102" s="7">
        <f>ROUND(183/E102,3)</f>
        <v>3.5880000000000001</v>
      </c>
      <c r="Q102" s="7">
        <f>ROUND(141/E102,3)</f>
        <v>2.7650000000000001</v>
      </c>
      <c r="R102" s="7">
        <f>ROUND(95/E102,3)</f>
        <v>1.863</v>
      </c>
      <c r="S102" s="7">
        <f>ROUND(48/E102,3)</f>
        <v>0.94099999999999995</v>
      </c>
      <c r="T102" s="7">
        <f>ROUND(12.61/E102,3)</f>
        <v>0.247</v>
      </c>
      <c r="U102" s="7">
        <f>ROUND(25/E102,3)</f>
        <v>0.49</v>
      </c>
      <c r="V102" s="7">
        <f>ROUND(10/E102,3)</f>
        <v>0.19600000000000001</v>
      </c>
      <c r="W102" s="7">
        <f>ROUND(14.28/E102,3)</f>
        <v>0.28000000000000003</v>
      </c>
      <c r="X102" s="7">
        <v>0.64</v>
      </c>
      <c r="Y102" s="7">
        <v>0.6</v>
      </c>
      <c r="Z102" s="7">
        <v>0.6</v>
      </c>
      <c r="AA102" s="7">
        <f>ROUND(29.9/E102,3)</f>
        <v>0.58599999999999997</v>
      </c>
      <c r="AB102" s="7">
        <f>ROUND(22/E102,3)</f>
        <v>0.43099999999999999</v>
      </c>
      <c r="AC102" s="7">
        <v>8482659</v>
      </c>
    </row>
    <row r="103" spans="1:29" ht="15" customHeight="1" x14ac:dyDescent="0.2">
      <c r="A103" s="7" t="s">
        <v>356</v>
      </c>
      <c r="B103" s="7" t="s">
        <v>357</v>
      </c>
      <c r="C103" s="7" t="s">
        <v>259</v>
      </c>
      <c r="D103" s="7">
        <v>23</v>
      </c>
      <c r="E103" s="7">
        <v>76</v>
      </c>
      <c r="F103" s="7">
        <f>ROUND(30/E103,3)</f>
        <v>0.39500000000000002</v>
      </c>
      <c r="G103" s="7">
        <f>ROUND(36/E103,3)</f>
        <v>0.47399999999999998</v>
      </c>
      <c r="H103" s="7">
        <f>ROUND(143/E103,3)</f>
        <v>1.8819999999999999</v>
      </c>
      <c r="I103" s="7">
        <f>ROUND(20/E103,3)</f>
        <v>0.26300000000000001</v>
      </c>
      <c r="J103" s="7">
        <f>ROUND(33/E103,3)</f>
        <v>0.434</v>
      </c>
      <c r="K103" s="7">
        <f t="shared" si="3"/>
        <v>8.4514999999999993</v>
      </c>
      <c r="L103" s="7">
        <f>ROUND(1250.6666666667/E103,3)</f>
        <v>16.456</v>
      </c>
      <c r="M103" s="7">
        <f>ROUND(18/E103,3)</f>
        <v>0.23699999999999999</v>
      </c>
      <c r="N103" s="7" t="s">
        <v>89</v>
      </c>
      <c r="O103" s="7" t="s">
        <v>1177</v>
      </c>
      <c r="P103" s="7">
        <f>ROUND(250/E103,3)</f>
        <v>3.2890000000000001</v>
      </c>
      <c r="Q103" s="7">
        <f>ROUND(218/E103,3)</f>
        <v>2.8679999999999999</v>
      </c>
      <c r="R103" s="7">
        <f>ROUND(160/E103,3)</f>
        <v>2.105</v>
      </c>
      <c r="S103" s="7">
        <f>ROUND(76/E103,3)</f>
        <v>1</v>
      </c>
      <c r="T103" s="7">
        <f>ROUND(20.5/E103,3)</f>
        <v>0.27</v>
      </c>
      <c r="U103" s="7">
        <f>ROUND(56/E103,3)</f>
        <v>0.73699999999999999</v>
      </c>
      <c r="V103" s="7">
        <f>ROUND(19/E103,3)</f>
        <v>0.25</v>
      </c>
      <c r="W103" s="7">
        <f>ROUND(21.73/E103,3)</f>
        <v>0.28599999999999998</v>
      </c>
      <c r="X103" s="7">
        <v>0.5</v>
      </c>
      <c r="Y103" s="7">
        <v>0.49</v>
      </c>
      <c r="Z103" s="7">
        <v>0.5</v>
      </c>
      <c r="AA103" s="7">
        <f>ROUND(69.14/E103,3)</f>
        <v>0.91</v>
      </c>
      <c r="AB103" s="7">
        <f>ROUND(19/E103,3)</f>
        <v>0.25</v>
      </c>
      <c r="AC103" s="7">
        <v>8481656</v>
      </c>
    </row>
    <row r="104" spans="1:29" ht="15" customHeight="1" x14ac:dyDescent="0.2">
      <c r="A104" s="7" t="s">
        <v>360</v>
      </c>
      <c r="B104" s="7" t="s">
        <v>55</v>
      </c>
      <c r="C104" s="7" t="s">
        <v>61</v>
      </c>
      <c r="D104" s="7">
        <v>27</v>
      </c>
      <c r="E104" s="7">
        <v>80</v>
      </c>
      <c r="F104" s="7">
        <f>ROUND(27/E104,3)</f>
        <v>0.33800000000000002</v>
      </c>
      <c r="G104" s="7">
        <f>ROUND(32/E104,3)</f>
        <v>0.4</v>
      </c>
      <c r="H104" s="7">
        <f>ROUND(161/E104,3)</f>
        <v>2.0129999999999999</v>
      </c>
      <c r="I104" s="7">
        <f>ROUND(25/E104,3)</f>
        <v>0.313</v>
      </c>
      <c r="J104" s="7">
        <f>ROUND(72/E104,3)</f>
        <v>0.9</v>
      </c>
      <c r="K104" s="7">
        <f t="shared" si="3"/>
        <v>8.1735000000000007</v>
      </c>
      <c r="L104" s="7">
        <f>ROUND(1495.2333333333/E104,3)</f>
        <v>18.690000000000001</v>
      </c>
      <c r="M104" s="7">
        <f>ROUND(28/E104,3)</f>
        <v>0.35</v>
      </c>
      <c r="N104" s="7" t="s">
        <v>1178</v>
      </c>
      <c r="O104" s="7" t="s">
        <v>1179</v>
      </c>
      <c r="P104" s="7">
        <f>ROUND(292/E104,3)</f>
        <v>3.65</v>
      </c>
      <c r="Q104" s="7">
        <f>ROUND(234/E104,3)</f>
        <v>2.9249999999999998</v>
      </c>
      <c r="R104" s="7">
        <f>ROUND(200/E104,3)</f>
        <v>2.5</v>
      </c>
      <c r="S104" s="7">
        <f>ROUND(102/E104,3)</f>
        <v>1.2749999999999999</v>
      </c>
      <c r="T104" s="7">
        <f>ROUND(26.72/E104,3)</f>
        <v>0.33400000000000002</v>
      </c>
      <c r="U104" s="7">
        <f>ROUND(66/E104,3)</f>
        <v>0.82499999999999996</v>
      </c>
      <c r="V104" s="7">
        <f>ROUND(21/E104,3)</f>
        <v>0.26300000000000001</v>
      </c>
      <c r="W104" s="7">
        <f>ROUND(28.34/E104,3)</f>
        <v>0.35399999999999998</v>
      </c>
      <c r="X104" s="7">
        <v>0.56000000000000005</v>
      </c>
      <c r="Y104" s="7">
        <v>0.53</v>
      </c>
      <c r="Z104" s="7">
        <v>0.52</v>
      </c>
      <c r="AA104" s="7">
        <f>ROUND(71.34/E104,3)</f>
        <v>0.89200000000000002</v>
      </c>
      <c r="AB104" s="7">
        <f>ROUND(36/E104,3)</f>
        <v>0.45</v>
      </c>
      <c r="AC104" s="7">
        <v>8478519</v>
      </c>
    </row>
    <row r="105" spans="1:29" ht="15" customHeight="1" x14ac:dyDescent="0.2">
      <c r="A105" s="7" t="s">
        <v>363</v>
      </c>
      <c r="B105" s="7" t="s">
        <v>60</v>
      </c>
      <c r="C105" s="7" t="s">
        <v>220</v>
      </c>
      <c r="D105" s="7">
        <v>25</v>
      </c>
      <c r="E105" s="7">
        <v>77</v>
      </c>
      <c r="F105" s="7">
        <f>ROUND(20/E105,3)</f>
        <v>0.26</v>
      </c>
      <c r="G105" s="7">
        <f>ROUND(23/E105,3)</f>
        <v>0.29899999999999999</v>
      </c>
      <c r="H105" s="7">
        <f>ROUND(188/E105,3)</f>
        <v>2.4420000000000002</v>
      </c>
      <c r="I105" s="7">
        <f>ROUND(115/E105,3)</f>
        <v>1.494</v>
      </c>
      <c r="J105" s="7">
        <f>ROUND(63/E105,3)</f>
        <v>0.81799999999999995</v>
      </c>
      <c r="K105" s="7">
        <f t="shared" si="3"/>
        <v>7.8810000000000002</v>
      </c>
      <c r="L105" s="7">
        <f>ROUND(1231.3666666667/E105,3)</f>
        <v>15.992000000000001</v>
      </c>
      <c r="M105" s="7">
        <f>ROUND(16/E105,3)</f>
        <v>0.20799999999999999</v>
      </c>
      <c r="N105" s="7" t="s">
        <v>361</v>
      </c>
      <c r="O105" s="7" t="s">
        <v>1180</v>
      </c>
      <c r="P105" s="7">
        <f>ROUND(424/E105,3)</f>
        <v>5.5060000000000002</v>
      </c>
      <c r="Q105" s="7">
        <f>ROUND(295/E105,3)</f>
        <v>3.831</v>
      </c>
      <c r="R105" s="7">
        <f>ROUND(186/E105,3)</f>
        <v>2.4159999999999999</v>
      </c>
      <c r="S105" s="7">
        <f>ROUND(57/E105,3)</f>
        <v>0.74</v>
      </c>
      <c r="T105" s="7">
        <f>ROUND(16.18/E105,3)</f>
        <v>0.21</v>
      </c>
      <c r="U105" s="7">
        <f>ROUND(58/E105,3)</f>
        <v>0.753</v>
      </c>
      <c r="V105" s="7">
        <f>ROUND(32/E105,3)</f>
        <v>0.41599999999999998</v>
      </c>
      <c r="W105" s="7">
        <f>ROUND(15.91/E105,3)</f>
        <v>0.20699999999999999</v>
      </c>
      <c r="X105" s="7">
        <v>0.56000000000000005</v>
      </c>
      <c r="Y105" s="7">
        <v>0.54</v>
      </c>
      <c r="Z105" s="7">
        <v>0.56000000000000005</v>
      </c>
      <c r="AA105" s="7">
        <f>ROUND(46.66/E105,3)</f>
        <v>0.60599999999999998</v>
      </c>
      <c r="AB105" s="7">
        <f>ROUND(6/E105,3)</f>
        <v>7.8E-2</v>
      </c>
      <c r="AC105" s="7">
        <v>8480015</v>
      </c>
    </row>
    <row r="106" spans="1:29" ht="15" customHeight="1" x14ac:dyDescent="0.2">
      <c r="A106" s="7" t="s">
        <v>367</v>
      </c>
      <c r="B106" s="7" t="s">
        <v>92</v>
      </c>
      <c r="C106" s="7" t="s">
        <v>180</v>
      </c>
      <c r="D106" s="7">
        <v>23</v>
      </c>
      <c r="E106" s="7">
        <v>77</v>
      </c>
      <c r="F106" s="7">
        <f>ROUND(26/E106,3)</f>
        <v>0.33800000000000002</v>
      </c>
      <c r="G106" s="7">
        <f>ROUND(37/E106,3)</f>
        <v>0.48099999999999998</v>
      </c>
      <c r="H106" s="7">
        <f>ROUND(178/E106,3)</f>
        <v>2.3119999999999998</v>
      </c>
      <c r="I106" s="7">
        <f>ROUND(164/E106,3)</f>
        <v>2.13</v>
      </c>
      <c r="J106" s="7">
        <f>ROUND(50/E106,3)</f>
        <v>0.64900000000000002</v>
      </c>
      <c r="K106" s="7">
        <f t="shared" si="3"/>
        <v>9.6159999999999979</v>
      </c>
      <c r="L106" s="7">
        <f>ROUND(1295.4833333333/E106,3)</f>
        <v>16.824000000000002</v>
      </c>
      <c r="M106" s="7">
        <f>ROUND(10/E106,3)</f>
        <v>0.13</v>
      </c>
      <c r="N106" s="7" t="s">
        <v>119</v>
      </c>
      <c r="O106" s="7" t="s">
        <v>1181</v>
      </c>
      <c r="P106" s="7">
        <f>ROUND(336/E106,3)</f>
        <v>4.3639999999999999</v>
      </c>
      <c r="Q106" s="7">
        <f>ROUND(240/E106,3)</f>
        <v>3.117</v>
      </c>
      <c r="R106" s="7">
        <f>ROUND(170/E106,3)</f>
        <v>2.2080000000000002</v>
      </c>
      <c r="S106" s="7">
        <f>ROUND(71/E106,3)</f>
        <v>0.92200000000000004</v>
      </c>
      <c r="T106" s="7">
        <f>ROUND(17.96/E106,3)</f>
        <v>0.23300000000000001</v>
      </c>
      <c r="U106" s="7">
        <f>ROUND(69/E106,3)</f>
        <v>0.89600000000000002</v>
      </c>
      <c r="V106" s="7">
        <f>ROUND(34/E106,3)</f>
        <v>0.442</v>
      </c>
      <c r="W106" s="7">
        <f>ROUND(20.34/E106,3)</f>
        <v>0.26400000000000001</v>
      </c>
      <c r="X106" s="7">
        <v>0.57999999999999996</v>
      </c>
      <c r="Y106" s="7">
        <v>0.55000000000000004</v>
      </c>
      <c r="Z106" s="7">
        <v>0.55000000000000004</v>
      </c>
      <c r="AA106" s="7">
        <f>ROUND(66.64/E106,3)</f>
        <v>0.86499999999999999</v>
      </c>
      <c r="AB106" s="7">
        <f>ROUND(28/E106,3)</f>
        <v>0.36399999999999999</v>
      </c>
      <c r="AC106" s="7">
        <v>8482077</v>
      </c>
    </row>
    <row r="107" spans="1:29" ht="15" customHeight="1" x14ac:dyDescent="0.2">
      <c r="A107" s="7" t="s">
        <v>368</v>
      </c>
      <c r="B107" s="7" t="s">
        <v>60</v>
      </c>
      <c r="C107" s="7" t="s">
        <v>180</v>
      </c>
      <c r="D107" s="7">
        <v>20</v>
      </c>
      <c r="E107" s="7">
        <v>7</v>
      </c>
      <c r="F107" s="7">
        <f>ROUND(1/E107,3)</f>
        <v>0.14299999999999999</v>
      </c>
      <c r="G107" s="7">
        <f>ROUND(3/E107,3)</f>
        <v>0.42899999999999999</v>
      </c>
      <c r="H107" s="7">
        <f>ROUND(10/E107,3)</f>
        <v>1.429</v>
      </c>
      <c r="I107" s="7">
        <f>ROUND(3/E107,3)</f>
        <v>0.42899999999999999</v>
      </c>
      <c r="J107" s="7">
        <f>ROUND(4/E107,3)</f>
        <v>0.57099999999999995</v>
      </c>
      <c r="K107" s="7">
        <f t="shared" si="3"/>
        <v>5.9325000000000001</v>
      </c>
      <c r="L107" s="7">
        <f>ROUND(108.26666666667/E107,3)</f>
        <v>15.467000000000001</v>
      </c>
      <c r="M107" s="7">
        <f>ROUND(0/E107,3)</f>
        <v>0</v>
      </c>
      <c r="N107" s="7" t="s">
        <v>112</v>
      </c>
      <c r="O107" s="7" t="s">
        <v>810</v>
      </c>
      <c r="P107" s="7">
        <f>ROUND(27/E107,3)</f>
        <v>3.8570000000000002</v>
      </c>
      <c r="Q107" s="7">
        <f>ROUND(20/E107,3)</f>
        <v>2.8570000000000002</v>
      </c>
      <c r="R107" s="7">
        <f>ROUND(13/E107,3)</f>
        <v>1.857</v>
      </c>
      <c r="S107" s="7">
        <f>ROUND(11/E107,3)</f>
        <v>1.571</v>
      </c>
      <c r="T107" s="7">
        <f>ROUND(2.25/E107,3)</f>
        <v>0.32100000000000001</v>
      </c>
      <c r="U107" s="7">
        <f>ROUND(7/E107,3)</f>
        <v>1</v>
      </c>
      <c r="V107" s="7">
        <f>ROUND(4/E107,3)</f>
        <v>0.57099999999999995</v>
      </c>
      <c r="W107" s="7">
        <f>ROUND(1.78/E107,3)</f>
        <v>0.254</v>
      </c>
      <c r="X107" s="7">
        <v>0.47</v>
      </c>
      <c r="Y107" s="7">
        <v>0.47</v>
      </c>
      <c r="Z107" s="7">
        <v>0.5</v>
      </c>
      <c r="AA107" s="7">
        <f>ROUND(2.35/E107,3)</f>
        <v>0.33600000000000002</v>
      </c>
      <c r="AB107" s="7">
        <f>ROUND(4/E107,3)</f>
        <v>0.57099999999999995</v>
      </c>
      <c r="AC107" s="7">
        <v>8483516</v>
      </c>
    </row>
    <row r="108" spans="1:29" ht="15" customHeight="1" x14ac:dyDescent="0.2">
      <c r="A108" s="7" t="s">
        <v>369</v>
      </c>
      <c r="B108" s="7" t="s">
        <v>60</v>
      </c>
      <c r="C108" s="7" t="s">
        <v>138</v>
      </c>
      <c r="D108" s="7">
        <v>23</v>
      </c>
      <c r="E108" s="7">
        <v>74</v>
      </c>
      <c r="F108" s="7">
        <f>ROUND(15/E108,3)</f>
        <v>0.20300000000000001</v>
      </c>
      <c r="G108" s="7">
        <f>ROUND(24/E108,3)</f>
        <v>0.32400000000000001</v>
      </c>
      <c r="H108" s="7">
        <f>ROUND(123/E108,3)</f>
        <v>1.6619999999999999</v>
      </c>
      <c r="I108" s="7">
        <f>ROUND(39/E108,3)</f>
        <v>0.52700000000000002</v>
      </c>
      <c r="J108" s="7">
        <f>ROUND(23/E108,3)</f>
        <v>0.311</v>
      </c>
      <c r="K108" s="7">
        <f t="shared" si="3"/>
        <v>5.8045</v>
      </c>
      <c r="L108" s="7">
        <f>ROUND(1099.8833333333/E108,3)</f>
        <v>14.863</v>
      </c>
      <c r="M108" s="7">
        <f>ROUND(18/E108,3)</f>
        <v>0.24299999999999999</v>
      </c>
      <c r="N108" s="7" t="s">
        <v>1182</v>
      </c>
      <c r="O108" s="7" t="s">
        <v>218</v>
      </c>
      <c r="P108" s="7">
        <f>ROUND(277/E108,3)</f>
        <v>3.7429999999999999</v>
      </c>
      <c r="Q108" s="7">
        <f>ROUND(205/E108,3)</f>
        <v>2.77</v>
      </c>
      <c r="R108" s="7">
        <f>ROUND(131/E108,3)</f>
        <v>1.77</v>
      </c>
      <c r="S108" s="7">
        <f>ROUND(29/E108,3)</f>
        <v>0.39200000000000002</v>
      </c>
      <c r="T108" s="7">
        <f>ROUND(13.57/E108,3)</f>
        <v>0.183</v>
      </c>
      <c r="U108" s="7">
        <f>ROUND(52/E108,3)</f>
        <v>0.70299999999999996</v>
      </c>
      <c r="V108" s="7">
        <f>ROUND(12/E108,3)</f>
        <v>0.16200000000000001</v>
      </c>
      <c r="W108" s="7">
        <f>ROUND(13.02/E108,3)</f>
        <v>0.17599999999999999</v>
      </c>
      <c r="X108" s="7">
        <v>0.53</v>
      </c>
      <c r="Y108" s="7">
        <v>0.53</v>
      </c>
      <c r="Z108" s="7">
        <v>0.52</v>
      </c>
      <c r="AA108" s="7">
        <f>ROUND(32.67/E108,3)</f>
        <v>0.441</v>
      </c>
      <c r="AB108" s="7">
        <f>ROUND(7/E108,3)</f>
        <v>9.5000000000000001E-2</v>
      </c>
      <c r="AC108" s="7">
        <v>8482097</v>
      </c>
    </row>
    <row r="109" spans="1:29" ht="15" customHeight="1" x14ac:dyDescent="0.2">
      <c r="A109" s="7" t="s">
        <v>370</v>
      </c>
      <c r="B109" s="7" t="s">
        <v>60</v>
      </c>
      <c r="C109" s="7" t="s">
        <v>220</v>
      </c>
      <c r="D109" s="7">
        <v>19</v>
      </c>
      <c r="E109" s="7">
        <v>80</v>
      </c>
      <c r="F109" s="7">
        <f>ROUND(26/E109,3)</f>
        <v>0.32500000000000001</v>
      </c>
      <c r="G109" s="7">
        <f>ROUND(37/E109,3)</f>
        <v>0.46300000000000002</v>
      </c>
      <c r="H109" s="7">
        <f>ROUND(199/E109,3)</f>
        <v>2.488</v>
      </c>
      <c r="I109" s="7">
        <f>ROUND(29/E109,3)</f>
        <v>0.36299999999999999</v>
      </c>
      <c r="J109" s="7">
        <f>ROUND(23/E109,3)</f>
        <v>0.28799999999999998</v>
      </c>
      <c r="K109" s="7">
        <f t="shared" si="3"/>
        <v>8.3354999999999997</v>
      </c>
      <c r="L109" s="7">
        <f>ROUND(1334.75/E109,3)</f>
        <v>16.684000000000001</v>
      </c>
      <c r="M109" s="7">
        <f>ROUND(46/E109,3)</f>
        <v>0.57499999999999996</v>
      </c>
      <c r="N109" s="7" t="s">
        <v>262</v>
      </c>
      <c r="O109" s="7" t="s">
        <v>1183</v>
      </c>
      <c r="P109" s="7">
        <f>ROUND(359/E109,3)</f>
        <v>4.4880000000000004</v>
      </c>
      <c r="Q109" s="7">
        <f>ROUND(282/E109,3)</f>
        <v>3.5249999999999999</v>
      </c>
      <c r="R109" s="7">
        <f>ROUND(176/E109,3)</f>
        <v>2.2000000000000002</v>
      </c>
      <c r="S109" s="7">
        <f>ROUND(75/E109,3)</f>
        <v>0.93799999999999994</v>
      </c>
      <c r="T109" s="7">
        <f>ROUND(25.01/E109,3)</f>
        <v>0.313</v>
      </c>
      <c r="U109" s="7">
        <f>ROUND(82/E109,3)</f>
        <v>1.0249999999999999</v>
      </c>
      <c r="V109" s="7">
        <f>ROUND(14/E109,3)</f>
        <v>0.17499999999999999</v>
      </c>
      <c r="W109" s="7">
        <f>ROUND(23.65/E109,3)</f>
        <v>0.29599999999999999</v>
      </c>
      <c r="X109" s="7">
        <v>0.56000000000000005</v>
      </c>
      <c r="Y109" s="7">
        <v>0.55000000000000004</v>
      </c>
      <c r="Z109" s="7">
        <v>0.56999999999999995</v>
      </c>
      <c r="AA109" s="7">
        <f>ROUND(54.97/E109,3)</f>
        <v>0.68700000000000006</v>
      </c>
      <c r="AB109" s="7">
        <f>ROUND(34/E109,3)</f>
        <v>0.42499999999999999</v>
      </c>
      <c r="AC109" s="7">
        <v>8484387</v>
      </c>
    </row>
    <row r="110" spans="1:29" ht="15" customHeight="1" x14ac:dyDescent="0.2">
      <c r="A110" s="7" t="s">
        <v>371</v>
      </c>
      <c r="B110" s="7" t="s">
        <v>55</v>
      </c>
      <c r="C110" s="7" t="s">
        <v>274</v>
      </c>
      <c r="D110" s="7">
        <v>29</v>
      </c>
      <c r="E110" s="7">
        <v>67</v>
      </c>
      <c r="F110" s="7">
        <f>ROUND(20/E110,3)</f>
        <v>0.29899999999999999</v>
      </c>
      <c r="G110" s="7">
        <f>ROUND(51/E110,3)</f>
        <v>0.76100000000000001</v>
      </c>
      <c r="H110" s="7">
        <f>ROUND(149/E110,3)</f>
        <v>2.2240000000000002</v>
      </c>
      <c r="I110" s="7">
        <f>ROUND(87/E110,3)</f>
        <v>1.2989999999999999</v>
      </c>
      <c r="J110" s="7">
        <f>ROUND(54/E110,3)</f>
        <v>0.80600000000000005</v>
      </c>
      <c r="K110" s="7">
        <f t="shared" si="3"/>
        <v>10.637499999999999</v>
      </c>
      <c r="L110" s="7">
        <f>ROUND(1357.2833333333/E110,3)</f>
        <v>20.257999999999999</v>
      </c>
      <c r="M110" s="7">
        <f>ROUND(16/E110,3)</f>
        <v>0.23899999999999999</v>
      </c>
      <c r="N110" s="7" t="s">
        <v>1184</v>
      </c>
      <c r="O110" s="7" t="s">
        <v>1185</v>
      </c>
      <c r="P110" s="7">
        <f>ROUND(302/E110,3)</f>
        <v>4.5069999999999997</v>
      </c>
      <c r="Q110" s="7">
        <f>ROUND(235/E110,3)</f>
        <v>3.5070000000000001</v>
      </c>
      <c r="R110" s="7">
        <f>ROUND(166/E110,3)</f>
        <v>2.4780000000000002</v>
      </c>
      <c r="S110" s="7">
        <f>ROUND(77/E110,3)</f>
        <v>1.149</v>
      </c>
      <c r="T110" s="7">
        <f>ROUND(19.44/E110,3)</f>
        <v>0.28999999999999998</v>
      </c>
      <c r="U110" s="7">
        <f>ROUND(52/E110,3)</f>
        <v>0.77600000000000002</v>
      </c>
      <c r="V110" s="7">
        <f>ROUND(34/E110,3)</f>
        <v>0.50700000000000001</v>
      </c>
      <c r="W110" s="7">
        <f>ROUND(21.84/E110,3)</f>
        <v>0.32600000000000001</v>
      </c>
      <c r="X110" s="7">
        <v>0.61</v>
      </c>
      <c r="Y110" s="7">
        <v>0.63</v>
      </c>
      <c r="Z110" s="7">
        <v>0.62</v>
      </c>
      <c r="AA110" s="7">
        <f>ROUND(83.76/E110,3)</f>
        <v>1.25</v>
      </c>
      <c r="AB110" s="7">
        <f>ROUND(28/E110,3)</f>
        <v>0.41799999999999998</v>
      </c>
      <c r="AC110" s="7">
        <v>8477493</v>
      </c>
    </row>
    <row r="112" spans="1:29" ht="15" customHeight="1" x14ac:dyDescent="0.2">
      <c r="A112" s="4" t="s">
        <v>374</v>
      </c>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spans="1:29" ht="15" customHeight="1" x14ac:dyDescent="0.2">
      <c r="A113" s="6" t="s">
        <v>25</v>
      </c>
      <c r="B113" s="6" t="s">
        <v>26</v>
      </c>
      <c r="C113" s="6" t="s">
        <v>27</v>
      </c>
      <c r="D113" s="6" t="s">
        <v>28</v>
      </c>
      <c r="E113" s="6" t="s">
        <v>29</v>
      </c>
      <c r="F113" s="6" t="s">
        <v>30</v>
      </c>
      <c r="G113" s="6" t="s">
        <v>31</v>
      </c>
      <c r="H113" s="6" t="s">
        <v>32</v>
      </c>
      <c r="I113" s="6" t="s">
        <v>33</v>
      </c>
      <c r="J113" s="6" t="s">
        <v>34</v>
      </c>
      <c r="K113" s="6" t="s">
        <v>35</v>
      </c>
      <c r="L113" s="6" t="s">
        <v>36</v>
      </c>
      <c r="M113" s="6" t="s">
        <v>37</v>
      </c>
      <c r="N113" s="6" t="s">
        <v>38</v>
      </c>
      <c r="O113" s="6" t="s">
        <v>39</v>
      </c>
      <c r="P113" s="6" t="s">
        <v>40</v>
      </c>
      <c r="Q113" s="6" t="s">
        <v>41</v>
      </c>
      <c r="R113" s="6" t="s">
        <v>42</v>
      </c>
      <c r="S113" s="6" t="s">
        <v>43</v>
      </c>
      <c r="T113" s="6" t="s">
        <v>44</v>
      </c>
      <c r="U113" s="6" t="s">
        <v>45</v>
      </c>
      <c r="V113" s="6" t="s">
        <v>46</v>
      </c>
      <c r="W113" s="6" t="s">
        <v>47</v>
      </c>
      <c r="X113" s="6" t="s">
        <v>48</v>
      </c>
      <c r="Y113" s="6" t="s">
        <v>49</v>
      </c>
      <c r="Z113" s="6" t="s">
        <v>50</v>
      </c>
      <c r="AA113" s="6" t="s">
        <v>51</v>
      </c>
      <c r="AB113" s="6" t="s">
        <v>52</v>
      </c>
      <c r="AC113" s="6" t="s">
        <v>53</v>
      </c>
    </row>
    <row r="114" spans="1:29" ht="15" customHeight="1" x14ac:dyDescent="0.2">
      <c r="A114" s="7" t="s">
        <v>375</v>
      </c>
      <c r="B114" s="7" t="s">
        <v>376</v>
      </c>
      <c r="C114" s="7" t="s">
        <v>56</v>
      </c>
      <c r="D114" s="7">
        <v>24</v>
      </c>
      <c r="E114" s="7">
        <v>82</v>
      </c>
      <c r="F114" s="7">
        <f>ROUND(14/E114,3)</f>
        <v>0.17100000000000001</v>
      </c>
      <c r="G114" s="7">
        <f>ROUND(53/E114,3)</f>
        <v>0.64600000000000002</v>
      </c>
      <c r="H114" s="7">
        <f>ROUND(235/E114,3)</f>
        <v>2.8660000000000001</v>
      </c>
      <c r="I114" s="7">
        <f>ROUND(31/E114,3)</f>
        <v>0.378</v>
      </c>
      <c r="J114" s="7">
        <f>ROUND(108/E114,3)</f>
        <v>1.3169999999999999</v>
      </c>
      <c r="K114" s="7">
        <f t="shared" ref="K114:K126" si="4">8*F114+6*G114+1*H114+1*J114+0.5*I114</f>
        <v>9.6160000000000014</v>
      </c>
      <c r="L114" s="7">
        <f>ROUND(1923.5833333333/E114,3)</f>
        <v>23.457999999999998</v>
      </c>
      <c r="M114" s="7">
        <f>ROUND(32/E114,3)</f>
        <v>0.39</v>
      </c>
      <c r="N114" s="7" t="s">
        <v>1186</v>
      </c>
      <c r="O114" s="7" t="s">
        <v>1187</v>
      </c>
      <c r="P114" s="7">
        <f>ROUND(544/E114,3)</f>
        <v>6.6340000000000003</v>
      </c>
      <c r="Q114" s="7">
        <f>ROUND(325/E114,3)</f>
        <v>3.9630000000000001</v>
      </c>
      <c r="R114" s="7">
        <f>ROUND(179/E114,3)</f>
        <v>2.1829999999999998</v>
      </c>
      <c r="S114" s="7">
        <f>ROUND(17/E114,3)</f>
        <v>0.20699999999999999</v>
      </c>
      <c r="T114" s="7">
        <f>ROUND(13.18/E114,3)</f>
        <v>0.161</v>
      </c>
      <c r="U114" s="7">
        <f>ROUND(128/E114,3)</f>
        <v>1.5609999999999999</v>
      </c>
      <c r="V114" s="7">
        <f>ROUND(55/E114,3)</f>
        <v>0.67100000000000004</v>
      </c>
      <c r="W114" s="7">
        <f>ROUND(13.04/E114,3)</f>
        <v>0.159</v>
      </c>
      <c r="X114" s="7">
        <v>0.64</v>
      </c>
      <c r="Y114" s="7">
        <v>0.64</v>
      </c>
      <c r="Z114" s="7">
        <v>0.63</v>
      </c>
      <c r="AA114" s="7">
        <f>ROUND(94.83/E114,3)</f>
        <v>1.1559999999999999</v>
      </c>
      <c r="AB114" s="7">
        <f>ROUND(9/E114,3)</f>
        <v>0.11</v>
      </c>
      <c r="AC114" s="7">
        <v>8480803</v>
      </c>
    </row>
    <row r="115" spans="1:29" ht="15" customHeight="1" x14ac:dyDescent="0.2">
      <c r="A115" s="7" t="s">
        <v>379</v>
      </c>
      <c r="B115" s="7" t="s">
        <v>376</v>
      </c>
      <c r="C115" s="7" t="s">
        <v>380</v>
      </c>
      <c r="D115" s="7">
        <v>27</v>
      </c>
      <c r="E115" s="7">
        <v>81</v>
      </c>
      <c r="F115" s="7">
        <f>ROUND(23/E115,3)</f>
        <v>0.28399999999999997</v>
      </c>
      <c r="G115" s="7">
        <f>ROUND(59/E115,3)</f>
        <v>0.72799999999999998</v>
      </c>
      <c r="H115" s="7">
        <f>ROUND(298/E115,3)</f>
        <v>3.6789999999999998</v>
      </c>
      <c r="I115" s="7">
        <f>ROUND(19/E115,3)</f>
        <v>0.23499999999999999</v>
      </c>
      <c r="J115" s="7">
        <f>ROUND(131/E115,3)</f>
        <v>1.617</v>
      </c>
      <c r="K115" s="7">
        <f t="shared" si="4"/>
        <v>12.0535</v>
      </c>
      <c r="L115" s="7">
        <f>ROUND(2166.3666666667/E115,3)</f>
        <v>26.745000000000001</v>
      </c>
      <c r="M115" s="7">
        <f>ROUND(31/E115,3)</f>
        <v>0.38300000000000001</v>
      </c>
      <c r="N115" s="7" t="s">
        <v>1188</v>
      </c>
      <c r="O115" s="7" t="s">
        <v>1189</v>
      </c>
      <c r="P115" s="7">
        <f>ROUND(638/E115,3)</f>
        <v>7.8769999999999998</v>
      </c>
      <c r="Q115" s="7">
        <f>ROUND(434/E115,3)</f>
        <v>5.3579999999999997</v>
      </c>
      <c r="R115" s="7">
        <f>ROUND(223/E115,3)</f>
        <v>2.7530000000000001</v>
      </c>
      <c r="S115" s="7">
        <f>ROUND(53/E115,3)</f>
        <v>0.65400000000000003</v>
      </c>
      <c r="T115" s="7">
        <f>ROUND(20.11/E115,3)</f>
        <v>0.248</v>
      </c>
      <c r="U115" s="7">
        <f>ROUND(120/E115,3)</f>
        <v>1.4810000000000001</v>
      </c>
      <c r="V115" s="7">
        <f>ROUND(49/E115,3)</f>
        <v>0.60499999999999998</v>
      </c>
      <c r="W115" s="7">
        <f>ROUND(19.45/E115,3)</f>
        <v>0.24</v>
      </c>
      <c r="X115" s="7">
        <v>0.54</v>
      </c>
      <c r="Y115" s="7">
        <v>0.54</v>
      </c>
      <c r="Z115" s="7">
        <v>0.54</v>
      </c>
      <c r="AA115" s="7">
        <f>ROUND(96.05/E115,3)</f>
        <v>1.1859999999999999</v>
      </c>
      <c r="AB115" s="7">
        <f>ROUND(13/E115,3)</f>
        <v>0.16</v>
      </c>
      <c r="AC115" s="7">
        <v>8478460</v>
      </c>
    </row>
    <row r="116" spans="1:29" ht="15" customHeight="1" x14ac:dyDescent="0.2">
      <c r="A116" s="7" t="s">
        <v>383</v>
      </c>
      <c r="B116" s="7" t="s">
        <v>376</v>
      </c>
      <c r="C116" s="7" t="s">
        <v>66</v>
      </c>
      <c r="D116" s="7">
        <v>25</v>
      </c>
      <c r="E116" s="7">
        <v>80</v>
      </c>
      <c r="F116" s="7">
        <f>ROUND(30/E116,3)</f>
        <v>0.375</v>
      </c>
      <c r="G116" s="7">
        <f>ROUND(62/E116,3)</f>
        <v>0.77500000000000002</v>
      </c>
      <c r="H116" s="7">
        <f>ROUND(246/E116,3)</f>
        <v>3.0750000000000002</v>
      </c>
      <c r="I116" s="7">
        <f>ROUND(51/E116,3)</f>
        <v>0.63800000000000001</v>
      </c>
      <c r="J116" s="7">
        <f>ROUND(128/E116,3)</f>
        <v>1.6</v>
      </c>
      <c r="K116" s="7">
        <f t="shared" si="4"/>
        <v>12.644000000000002</v>
      </c>
      <c r="L116" s="7">
        <f>ROUND(2057.3/E116,3)</f>
        <v>25.716000000000001</v>
      </c>
      <c r="M116" s="7">
        <f>ROUND(14/E116,3)</f>
        <v>0.17499999999999999</v>
      </c>
      <c r="N116" s="7" t="s">
        <v>1190</v>
      </c>
      <c r="O116" s="7" t="s">
        <v>218</v>
      </c>
      <c r="P116" s="7">
        <f>ROUND(623/E116,3)</f>
        <v>7.7880000000000003</v>
      </c>
      <c r="Q116" s="7">
        <f>ROUND(392/E116,3)</f>
        <v>4.9000000000000004</v>
      </c>
      <c r="R116" s="7">
        <f>ROUND(253/E116,3)</f>
        <v>3.1629999999999998</v>
      </c>
      <c r="S116" s="7">
        <f>ROUND(45/E116,3)</f>
        <v>0.56299999999999994</v>
      </c>
      <c r="T116" s="7">
        <f>ROUND(19.22/E116,3)</f>
        <v>0.24</v>
      </c>
      <c r="U116" s="7">
        <f>ROUND(113/E116,3)</f>
        <v>1.413</v>
      </c>
      <c r="V116" s="7">
        <f>ROUND(60/E116,3)</f>
        <v>0.75</v>
      </c>
      <c r="W116" s="7">
        <f>ROUND(20.33/E116,3)</f>
        <v>0.254</v>
      </c>
      <c r="X116" s="7">
        <v>0.56000000000000005</v>
      </c>
      <c r="Y116" s="7">
        <v>0.56999999999999995</v>
      </c>
      <c r="Z116" s="7">
        <v>0.56000000000000005</v>
      </c>
      <c r="AA116" s="7">
        <f>ROUND(111/E116,3)</f>
        <v>1.3879999999999999</v>
      </c>
      <c r="AB116" s="7">
        <f>ROUND(17/E116,3)</f>
        <v>0.21299999999999999</v>
      </c>
      <c r="AC116" s="7">
        <v>8480069</v>
      </c>
    </row>
    <row r="117" spans="1:29" ht="15" customHeight="1" x14ac:dyDescent="0.2">
      <c r="A117" s="7" t="s">
        <v>386</v>
      </c>
      <c r="B117" s="7" t="s">
        <v>376</v>
      </c>
      <c r="C117" s="7" t="s">
        <v>76</v>
      </c>
      <c r="D117" s="7">
        <v>20</v>
      </c>
      <c r="E117" s="7">
        <v>82</v>
      </c>
      <c r="F117" s="7">
        <f>ROUND(6/E117,3)</f>
        <v>7.2999999999999995E-2</v>
      </c>
      <c r="G117" s="7">
        <f>ROUND(60/E117,3)</f>
        <v>0.73199999999999998</v>
      </c>
      <c r="H117" s="7">
        <f>ROUND(91/E117,3)</f>
        <v>1.1100000000000001</v>
      </c>
      <c r="I117" s="7">
        <f>ROUND(40/E117,3)</f>
        <v>0.48799999999999999</v>
      </c>
      <c r="J117" s="7">
        <f>ROUND(123/E117,3)</f>
        <v>1.5</v>
      </c>
      <c r="K117" s="7">
        <f t="shared" si="4"/>
        <v>7.8299999999999992</v>
      </c>
      <c r="L117" s="7">
        <f>ROUND(1864.1166666667/E117,3)</f>
        <v>22.733000000000001</v>
      </c>
      <c r="M117" s="7">
        <f>ROUND(34/E117,3)</f>
        <v>0.41499999999999998</v>
      </c>
      <c r="N117" s="7" t="s">
        <v>1191</v>
      </c>
      <c r="O117" s="7" t="s">
        <v>1192</v>
      </c>
      <c r="P117" s="7">
        <f>ROUND(297/E117,3)</f>
        <v>3.6219999999999999</v>
      </c>
      <c r="Q117" s="7">
        <f>ROUND(166/E117,3)</f>
        <v>2.024</v>
      </c>
      <c r="R117" s="7">
        <f>ROUND(92/E117,3)</f>
        <v>1.1220000000000001</v>
      </c>
      <c r="S117" s="7">
        <f>ROUND(16/E117,3)</f>
        <v>0.19500000000000001</v>
      </c>
      <c r="T117" s="7">
        <f>ROUND(6.48/E117,3)</f>
        <v>7.9000000000000001E-2</v>
      </c>
      <c r="U117" s="7">
        <f>ROUND(109/E117,3)</f>
        <v>1.329</v>
      </c>
      <c r="V117" s="7">
        <f>ROUND(56/E117,3)</f>
        <v>0.68300000000000005</v>
      </c>
      <c r="W117" s="7">
        <f>ROUND(6.3/E117,3)</f>
        <v>7.6999999999999999E-2</v>
      </c>
      <c r="X117" s="7">
        <v>0.54</v>
      </c>
      <c r="Y117" s="7">
        <v>0.56000000000000005</v>
      </c>
      <c r="Z117" s="7">
        <v>0.56000000000000005</v>
      </c>
      <c r="AA117" s="7">
        <f>ROUND(58.75/E117,3)</f>
        <v>0.71599999999999997</v>
      </c>
      <c r="AB117" s="7">
        <f>ROUND(4/E117,3)</f>
        <v>4.9000000000000002E-2</v>
      </c>
      <c r="AC117" s="7">
        <v>8483457</v>
      </c>
    </row>
    <row r="118" spans="1:29" ht="15" customHeight="1" x14ac:dyDescent="0.2">
      <c r="A118" s="7" t="s">
        <v>387</v>
      </c>
      <c r="B118" s="7" t="s">
        <v>376</v>
      </c>
      <c r="C118" s="7" t="s">
        <v>307</v>
      </c>
      <c r="D118" s="7">
        <v>24</v>
      </c>
      <c r="E118" s="7">
        <v>68</v>
      </c>
      <c r="F118" s="7">
        <f>ROUND(16/E118,3)</f>
        <v>0.23499999999999999</v>
      </c>
      <c r="G118" s="7">
        <f>ROUND(60/E118,3)</f>
        <v>0.88200000000000001</v>
      </c>
      <c r="H118" s="7">
        <f>ROUND(193/E118,3)</f>
        <v>2.8380000000000001</v>
      </c>
      <c r="I118" s="7">
        <f>ROUND(13/E118,3)</f>
        <v>0.191</v>
      </c>
      <c r="J118" s="7">
        <f>ROUND(67/E118,3)</f>
        <v>0.98499999999999999</v>
      </c>
      <c r="K118" s="7">
        <f t="shared" si="4"/>
        <v>11.090499999999999</v>
      </c>
      <c r="L118" s="7">
        <f>ROUND(1749.5833333333/E118,3)</f>
        <v>25.728999999999999</v>
      </c>
      <c r="M118" s="7">
        <f>ROUND(29/E118,3)</f>
        <v>0.42599999999999999</v>
      </c>
      <c r="N118" s="7" t="s">
        <v>1193</v>
      </c>
      <c r="O118" s="7" t="s">
        <v>648</v>
      </c>
      <c r="P118" s="7">
        <f>ROUND(493/E118,3)</f>
        <v>7.25</v>
      </c>
      <c r="Q118" s="7">
        <f>ROUND(304/E118,3)</f>
        <v>4.4710000000000001</v>
      </c>
      <c r="R118" s="7">
        <f>ROUND(144/E118,3)</f>
        <v>2.1179999999999999</v>
      </c>
      <c r="S118" s="7">
        <f>ROUND(12/E118,3)</f>
        <v>0.17599999999999999</v>
      </c>
      <c r="T118" s="7">
        <f>ROUND(10.12/E118,3)</f>
        <v>0.14899999999999999</v>
      </c>
      <c r="U118" s="7">
        <f>ROUND(97/E118,3)</f>
        <v>1.4259999999999999</v>
      </c>
      <c r="V118" s="7">
        <f>ROUND(25/E118,3)</f>
        <v>0.36799999999999999</v>
      </c>
      <c r="W118" s="7">
        <f>ROUND(8.9/E118,3)</f>
        <v>0.13100000000000001</v>
      </c>
      <c r="X118" s="7">
        <v>0.61</v>
      </c>
      <c r="Y118" s="7">
        <v>0.61</v>
      </c>
      <c r="Z118" s="7">
        <v>0.6</v>
      </c>
      <c r="AA118" s="7">
        <f>ROUND(84.97/E118,3)</f>
        <v>1.25</v>
      </c>
      <c r="AB118" s="7">
        <f>ROUND(3/E118,3)</f>
        <v>4.3999999999999997E-2</v>
      </c>
      <c r="AC118" s="7">
        <v>8480800</v>
      </c>
    </row>
    <row r="119" spans="1:29" ht="15" customHeight="1" x14ac:dyDescent="0.2">
      <c r="A119" s="7" t="s">
        <v>390</v>
      </c>
      <c r="B119" s="7" t="s">
        <v>376</v>
      </c>
      <c r="C119" s="7" t="s">
        <v>138</v>
      </c>
      <c r="D119" s="7">
        <v>24</v>
      </c>
      <c r="E119" s="7">
        <v>73</v>
      </c>
      <c r="F119" s="7">
        <f>ROUND(17/E119,3)</f>
        <v>0.23300000000000001</v>
      </c>
      <c r="G119" s="7">
        <f>ROUND(51/E119,3)</f>
        <v>0.69899999999999995</v>
      </c>
      <c r="H119" s="7">
        <f>ROUND(200/E119,3)</f>
        <v>2.74</v>
      </c>
      <c r="I119" s="7">
        <f>ROUND(100/E119,3)</f>
        <v>1.37</v>
      </c>
      <c r="J119" s="7">
        <f>ROUND(98/E119,3)</f>
        <v>1.3420000000000001</v>
      </c>
      <c r="K119" s="7">
        <f t="shared" si="4"/>
        <v>10.825000000000001</v>
      </c>
      <c r="L119" s="7">
        <f>ROUND(1769.2/E119,3)</f>
        <v>24.236000000000001</v>
      </c>
      <c r="M119" s="7">
        <f>ROUND(54/E119,3)</f>
        <v>0.74</v>
      </c>
      <c r="N119" s="7" t="s">
        <v>1194</v>
      </c>
      <c r="O119" s="7" t="s">
        <v>1195</v>
      </c>
      <c r="P119" s="7">
        <f>ROUND(433/E119,3)</f>
        <v>5.9320000000000004</v>
      </c>
      <c r="Q119" s="7">
        <f>ROUND(277/E119,3)</f>
        <v>3.7949999999999999</v>
      </c>
      <c r="R119" s="7">
        <f>ROUND(134/E119,3)</f>
        <v>1.8360000000000001</v>
      </c>
      <c r="S119" s="7">
        <f>ROUND(28/E119,3)</f>
        <v>0.38400000000000001</v>
      </c>
      <c r="T119" s="7">
        <f>ROUND(11.23/E119,3)</f>
        <v>0.154</v>
      </c>
      <c r="U119" s="7">
        <f>ROUND(105/E119,3)</f>
        <v>1.4379999999999999</v>
      </c>
      <c r="V119" s="7">
        <f>ROUND(39/E119,3)</f>
        <v>0.53400000000000003</v>
      </c>
      <c r="W119" s="7">
        <f>ROUND(13.27/E119,3)</f>
        <v>0.182</v>
      </c>
      <c r="X119" s="7">
        <v>0.56000000000000005</v>
      </c>
      <c r="Y119" s="7">
        <v>0.56999999999999995</v>
      </c>
      <c r="Z119" s="7">
        <v>0.56000000000000005</v>
      </c>
      <c r="AA119" s="7">
        <f>ROUND(81.95/E119,3)</f>
        <v>1.123</v>
      </c>
      <c r="AB119" s="7">
        <f>ROUND(9/E119,3)</f>
        <v>0.123</v>
      </c>
      <c r="AC119" s="7">
        <v>8480839</v>
      </c>
    </row>
    <row r="120" spans="1:29" ht="15" customHeight="1" x14ac:dyDescent="0.2">
      <c r="A120" s="7" t="s">
        <v>393</v>
      </c>
      <c r="B120" s="7" t="s">
        <v>376</v>
      </c>
      <c r="C120" s="7" t="s">
        <v>61</v>
      </c>
      <c r="D120" s="7">
        <v>28</v>
      </c>
      <c r="E120" s="7">
        <v>73</v>
      </c>
      <c r="F120" s="7">
        <f>ROUND(6/E120,3)</f>
        <v>8.2000000000000003E-2</v>
      </c>
      <c r="G120" s="7">
        <f>ROUND(31/E120,3)</f>
        <v>0.42499999999999999</v>
      </c>
      <c r="H120" s="7">
        <f>ROUND(108/E120,3)</f>
        <v>1.4790000000000001</v>
      </c>
      <c r="I120" s="7">
        <f>ROUND(38/E120,3)</f>
        <v>0.52100000000000002</v>
      </c>
      <c r="J120" s="7">
        <f>ROUND(68/E120,3)</f>
        <v>0.93200000000000005</v>
      </c>
      <c r="K120" s="7">
        <f t="shared" si="4"/>
        <v>5.8775000000000013</v>
      </c>
      <c r="L120" s="7">
        <f>ROUND(1262.8833333333/E120,3)</f>
        <v>17.3</v>
      </c>
      <c r="M120" s="7">
        <f>ROUND(14/E120,3)</f>
        <v>0.192</v>
      </c>
      <c r="N120" s="7" t="s">
        <v>1196</v>
      </c>
      <c r="O120" s="7" t="s">
        <v>955</v>
      </c>
      <c r="P120" s="7">
        <f>ROUND(282/E120,3)</f>
        <v>3.863</v>
      </c>
      <c r="Q120" s="7">
        <f>ROUND(182/E120,3)</f>
        <v>2.4929999999999999</v>
      </c>
      <c r="R120" s="7">
        <f>ROUND(73/E120,3)</f>
        <v>1</v>
      </c>
      <c r="S120" s="7">
        <f>ROUND(5/E120,3)</f>
        <v>6.8000000000000005E-2</v>
      </c>
      <c r="T120" s="7">
        <f>ROUND(5.62/E120,3)</f>
        <v>7.6999999999999999E-2</v>
      </c>
      <c r="U120" s="7">
        <f>ROUND(55/E120,3)</f>
        <v>0.753</v>
      </c>
      <c r="V120" s="7">
        <f>ROUND(10/E120,3)</f>
        <v>0.13700000000000001</v>
      </c>
      <c r="W120" s="7">
        <f>ROUND(5.55/E120,3)</f>
        <v>7.5999999999999998E-2</v>
      </c>
      <c r="X120" s="7">
        <v>0.56999999999999995</v>
      </c>
      <c r="Y120" s="7">
        <v>0.55000000000000004</v>
      </c>
      <c r="Z120" s="7">
        <v>0.55000000000000004</v>
      </c>
      <c r="AA120" s="7">
        <f>ROUND(39.5/E120,3)</f>
        <v>0.54100000000000004</v>
      </c>
      <c r="AB120" s="7">
        <f>ROUND(2/E120,3)</f>
        <v>2.7E-2</v>
      </c>
      <c r="AC120" s="7">
        <v>8478178</v>
      </c>
    </row>
    <row r="121" spans="1:29" ht="15" customHeight="1" x14ac:dyDescent="0.2">
      <c r="A121" s="7" t="s">
        <v>394</v>
      </c>
      <c r="B121" s="7" t="s">
        <v>376</v>
      </c>
      <c r="C121" s="7" t="s">
        <v>114</v>
      </c>
      <c r="D121" s="7">
        <v>34</v>
      </c>
      <c r="E121" s="7">
        <v>82</v>
      </c>
      <c r="F121" s="7">
        <f>ROUND(11/E121,3)</f>
        <v>0.13400000000000001</v>
      </c>
      <c r="G121" s="7">
        <f>ROUND(42/E121,3)</f>
        <v>0.51200000000000001</v>
      </c>
      <c r="H121" s="7">
        <f>ROUND(191/E121,3)</f>
        <v>2.3290000000000002</v>
      </c>
      <c r="I121" s="7">
        <f>ROUND(29/E121,3)</f>
        <v>0.35399999999999998</v>
      </c>
      <c r="J121" s="7">
        <f>ROUND(94/E121,3)</f>
        <v>1.1459999999999999</v>
      </c>
      <c r="K121" s="7">
        <f t="shared" si="4"/>
        <v>7.7960000000000003</v>
      </c>
      <c r="L121" s="7">
        <f>ROUND(1905.3333333333/E121,3)</f>
        <v>23.236000000000001</v>
      </c>
      <c r="M121" s="7">
        <f>ROUND(20/E121,3)</f>
        <v>0.24399999999999999</v>
      </c>
      <c r="N121" s="7" t="s">
        <v>1197</v>
      </c>
      <c r="O121" s="7" t="s">
        <v>1198</v>
      </c>
      <c r="P121" s="7">
        <f>ROUND(507/E121,3)</f>
        <v>6.1829999999999998</v>
      </c>
      <c r="Q121" s="7">
        <f>ROUND(295/E121,3)</f>
        <v>3.5979999999999999</v>
      </c>
      <c r="R121" s="7">
        <f>ROUND(133/E121,3)</f>
        <v>1.6220000000000001</v>
      </c>
      <c r="S121" s="7">
        <f>ROUND(13/E121,3)</f>
        <v>0.159</v>
      </c>
      <c r="T121" s="7">
        <f>ROUND(9.9/E121,3)</f>
        <v>0.121</v>
      </c>
      <c r="U121" s="7">
        <f>ROUND(140/E121,3)</f>
        <v>1.7070000000000001</v>
      </c>
      <c r="V121" s="7">
        <f>ROUND(44/E121,3)</f>
        <v>0.53700000000000003</v>
      </c>
      <c r="W121" s="7">
        <f>ROUND(9.13/E121,3)</f>
        <v>0.111</v>
      </c>
      <c r="X121" s="7">
        <v>0.51</v>
      </c>
      <c r="Y121" s="7">
        <v>0.54</v>
      </c>
      <c r="Z121" s="7">
        <v>0.53</v>
      </c>
      <c r="AA121" s="7">
        <f>ROUND(56.82/E121,3)</f>
        <v>0.69299999999999995</v>
      </c>
      <c r="AB121" s="7">
        <f>ROUND(4/E121,3)</f>
        <v>4.9000000000000002E-2</v>
      </c>
      <c r="AC121" s="7">
        <v>8474578</v>
      </c>
    </row>
    <row r="122" spans="1:29" ht="15" customHeight="1" x14ac:dyDescent="0.2">
      <c r="A122" s="7" t="s">
        <v>397</v>
      </c>
      <c r="B122" s="7" t="s">
        <v>376</v>
      </c>
      <c r="C122" s="7" t="s">
        <v>93</v>
      </c>
      <c r="D122" s="7">
        <v>25</v>
      </c>
      <c r="E122" s="7">
        <v>50</v>
      </c>
      <c r="F122" s="7">
        <f>ROUND(5/E122,3)</f>
        <v>0.1</v>
      </c>
      <c r="G122" s="7">
        <f>ROUND(20/E122,3)</f>
        <v>0.4</v>
      </c>
      <c r="H122" s="7">
        <f>ROUND(108/E122,3)</f>
        <v>2.16</v>
      </c>
      <c r="I122" s="7">
        <f>ROUND(17/E122,3)</f>
        <v>0.34</v>
      </c>
      <c r="J122" s="7">
        <f>ROUND(85/E122,3)</f>
        <v>1.7</v>
      </c>
      <c r="K122" s="7">
        <f t="shared" si="4"/>
        <v>7.23</v>
      </c>
      <c r="L122" s="7">
        <f>ROUND(1258.0166666667/E122,3)</f>
        <v>25.16</v>
      </c>
      <c r="M122" s="7">
        <f>ROUND(10/E122,3)</f>
        <v>0.2</v>
      </c>
      <c r="N122" s="7" t="s">
        <v>1199</v>
      </c>
      <c r="O122" s="7" t="s">
        <v>485</v>
      </c>
      <c r="P122" s="7">
        <f>ROUND(287/E122,3)</f>
        <v>5.74</v>
      </c>
      <c r="Q122" s="7">
        <f>ROUND(164/E122,3)</f>
        <v>3.28</v>
      </c>
      <c r="R122" s="7">
        <f>ROUND(92/E122,3)</f>
        <v>1.84</v>
      </c>
      <c r="S122" s="7">
        <f>ROUND(16/E122,3)</f>
        <v>0.32</v>
      </c>
      <c r="T122" s="7">
        <f>ROUND(8.62/E122,3)</f>
        <v>0.17199999999999999</v>
      </c>
      <c r="U122" s="7">
        <f>ROUND(67/E122,3)</f>
        <v>1.34</v>
      </c>
      <c r="V122" s="7">
        <f>ROUND(28/E122,3)</f>
        <v>0.56000000000000005</v>
      </c>
      <c r="W122" s="7">
        <f>ROUND(7.35/E122,3)</f>
        <v>0.14699999999999999</v>
      </c>
      <c r="X122" s="7">
        <v>0.6</v>
      </c>
      <c r="Y122" s="7">
        <v>0.57999999999999996</v>
      </c>
      <c r="Z122" s="7">
        <v>0.56999999999999995</v>
      </c>
      <c r="AA122" s="7">
        <f>ROUND(35.65/E122,3)</f>
        <v>0.71299999999999997</v>
      </c>
      <c r="AB122" s="7">
        <f>ROUND(4/E122,3)</f>
        <v>0.08</v>
      </c>
      <c r="AC122" s="7">
        <v>8480036</v>
      </c>
    </row>
    <row r="123" spans="1:29" ht="15" customHeight="1" x14ac:dyDescent="0.2">
      <c r="A123" s="7" t="s">
        <v>400</v>
      </c>
      <c r="B123" s="7" t="s">
        <v>376</v>
      </c>
      <c r="C123" s="7" t="s">
        <v>84</v>
      </c>
      <c r="D123" s="7">
        <v>26</v>
      </c>
      <c r="E123" s="7">
        <v>50</v>
      </c>
      <c r="F123" s="7">
        <f>ROUND(7/E123,3)</f>
        <v>0.14000000000000001</v>
      </c>
      <c r="G123" s="7">
        <f>ROUND(16/E123,3)</f>
        <v>0.32</v>
      </c>
      <c r="H123" s="7">
        <f>ROUND(98/E123,3)</f>
        <v>1.96</v>
      </c>
      <c r="I123" s="7">
        <f>ROUND(89/E123,3)</f>
        <v>1.78</v>
      </c>
      <c r="J123" s="7">
        <f>ROUND(81/E123,3)</f>
        <v>1.62</v>
      </c>
      <c r="K123" s="7">
        <f t="shared" si="4"/>
        <v>7.51</v>
      </c>
      <c r="L123" s="7">
        <f>ROUND(1183.5166666667/E123,3)</f>
        <v>23.67</v>
      </c>
      <c r="M123" s="7">
        <f>ROUND(46/E123,3)</f>
        <v>0.92</v>
      </c>
      <c r="N123" s="7" t="s">
        <v>1200</v>
      </c>
      <c r="O123" s="7" t="s">
        <v>322</v>
      </c>
      <c r="P123" s="7">
        <f>ROUND(204/E123,3)</f>
        <v>4.08</v>
      </c>
      <c r="Q123" s="7">
        <f>ROUND(140/E123,3)</f>
        <v>2.8</v>
      </c>
      <c r="R123" s="7">
        <f>ROUND(81/E123,3)</f>
        <v>1.62</v>
      </c>
      <c r="S123" s="7">
        <f>ROUND(16/E123,3)</f>
        <v>0.32</v>
      </c>
      <c r="T123" s="7">
        <f>ROUND(5.9/E123,3)</f>
        <v>0.11799999999999999</v>
      </c>
      <c r="U123" s="7">
        <f>ROUND(72/E123,3)</f>
        <v>1.44</v>
      </c>
      <c r="V123" s="7">
        <f>ROUND(26/E123,3)</f>
        <v>0.52</v>
      </c>
      <c r="W123" s="7">
        <f>ROUND(5.77/E123,3)</f>
        <v>0.115</v>
      </c>
      <c r="X123" s="7">
        <v>0.53</v>
      </c>
      <c r="Y123" s="7">
        <v>0.54</v>
      </c>
      <c r="Z123" s="7">
        <v>0.54</v>
      </c>
      <c r="AA123" s="7">
        <f>ROUND(26.1/E123,3)</f>
        <v>0.52200000000000002</v>
      </c>
      <c r="AB123" s="7">
        <f>ROUND(3/E123,3)</f>
        <v>0.06</v>
      </c>
      <c r="AC123" s="7">
        <v>8479325</v>
      </c>
    </row>
    <row r="124" spans="1:29" ht="15" customHeight="1" x14ac:dyDescent="0.2">
      <c r="A124" s="7" t="s">
        <v>403</v>
      </c>
      <c r="B124" s="7" t="s">
        <v>376</v>
      </c>
      <c r="C124" s="7" t="s">
        <v>259</v>
      </c>
      <c r="D124" s="7">
        <v>26</v>
      </c>
      <c r="E124" s="7">
        <v>74</v>
      </c>
      <c r="F124" s="7">
        <f>ROUND(20/E124,3)</f>
        <v>0.27</v>
      </c>
      <c r="G124" s="7">
        <f>ROUND(27/E124,3)</f>
        <v>0.36499999999999999</v>
      </c>
      <c r="H124" s="7">
        <f>ROUND(179/E124,3)</f>
        <v>2.419</v>
      </c>
      <c r="I124" s="7">
        <f>ROUND(59/E124,3)</f>
        <v>0.79700000000000004</v>
      </c>
      <c r="J124" s="7">
        <f>ROUND(87/E124,3)</f>
        <v>1.1759999999999999</v>
      </c>
      <c r="K124" s="7">
        <f t="shared" si="4"/>
        <v>8.3435000000000006</v>
      </c>
      <c r="L124" s="7">
        <f>ROUND(1558.75/E124,3)</f>
        <v>21.064</v>
      </c>
      <c r="M124" s="7">
        <f>ROUND(52/E124,3)</f>
        <v>0.70299999999999996</v>
      </c>
      <c r="N124" s="7" t="s">
        <v>1201</v>
      </c>
      <c r="O124" s="7" t="s">
        <v>1147</v>
      </c>
      <c r="P124" s="7">
        <f>ROUND(458/E124,3)</f>
        <v>6.1890000000000001</v>
      </c>
      <c r="Q124" s="7">
        <f>ROUND(304/E124,3)</f>
        <v>4.1079999999999997</v>
      </c>
      <c r="R124" s="7">
        <f>ROUND(152/E124,3)</f>
        <v>2.0539999999999998</v>
      </c>
      <c r="S124" s="7">
        <f>ROUND(10/E124,3)</f>
        <v>0.13500000000000001</v>
      </c>
      <c r="T124" s="7">
        <f>ROUND(10.94/E124,3)</f>
        <v>0.14799999999999999</v>
      </c>
      <c r="U124" s="7">
        <f>ROUND(80/E124,3)</f>
        <v>1.081</v>
      </c>
      <c r="V124" s="7">
        <f>ROUND(35/E124,3)</f>
        <v>0.47299999999999998</v>
      </c>
      <c r="W124" s="7">
        <f>ROUND(12.44/E124,3)</f>
        <v>0.16800000000000001</v>
      </c>
      <c r="X124" s="7">
        <v>0.56999999999999995</v>
      </c>
      <c r="Y124" s="7">
        <v>0.56000000000000005</v>
      </c>
      <c r="Z124" s="7">
        <v>0.56000000000000005</v>
      </c>
      <c r="AA124" s="7">
        <f>ROUND(55.27/E124,3)</f>
        <v>0.747</v>
      </c>
      <c r="AB124" s="7">
        <f>ROUND(9/E124,3)</f>
        <v>0.122</v>
      </c>
      <c r="AC124" s="7">
        <v>8479345</v>
      </c>
    </row>
    <row r="125" spans="1:29" ht="15" customHeight="1" x14ac:dyDescent="0.2">
      <c r="A125" s="7" t="s">
        <v>405</v>
      </c>
      <c r="B125" s="7" t="s">
        <v>376</v>
      </c>
      <c r="C125" s="7" t="s">
        <v>259</v>
      </c>
      <c r="D125" s="7">
        <v>34</v>
      </c>
      <c r="E125" s="7">
        <v>79</v>
      </c>
      <c r="F125" s="7">
        <f>ROUND(5/E125,3)</f>
        <v>6.3E-2</v>
      </c>
      <c r="G125" s="7">
        <f>ROUND(46/E125,3)</f>
        <v>0.58199999999999996</v>
      </c>
      <c r="H125" s="7">
        <f>ROUND(167/E125,3)</f>
        <v>2.1139999999999999</v>
      </c>
      <c r="I125" s="7">
        <f>ROUND(48/E125,3)</f>
        <v>0.60799999999999998</v>
      </c>
      <c r="J125" s="7">
        <f>ROUND(131/E125,3)</f>
        <v>1.6579999999999999</v>
      </c>
      <c r="K125" s="7">
        <f t="shared" si="4"/>
        <v>8.0719999999999992</v>
      </c>
      <c r="L125" s="7">
        <f>ROUND(1861.5666666667/E125,3)</f>
        <v>23.564</v>
      </c>
      <c r="M125" s="7">
        <f>ROUND(22/E125,3)</f>
        <v>0.27800000000000002</v>
      </c>
      <c r="N125" s="7" t="s">
        <v>1202</v>
      </c>
      <c r="O125" s="7" t="s">
        <v>1203</v>
      </c>
      <c r="P125" s="7">
        <f>ROUND(393/E125,3)</f>
        <v>4.9749999999999996</v>
      </c>
      <c r="Q125" s="7">
        <f>ROUND(256/E125,3)</f>
        <v>3.2410000000000001</v>
      </c>
      <c r="R125" s="7">
        <f>ROUND(117/E125,3)</f>
        <v>1.4810000000000001</v>
      </c>
      <c r="S125" s="7">
        <f>ROUND(18/E125,3)</f>
        <v>0.22800000000000001</v>
      </c>
      <c r="T125" s="7">
        <f>ROUND(9.51/E125,3)</f>
        <v>0.12</v>
      </c>
      <c r="U125" s="7">
        <f>ROUND(112/E125,3)</f>
        <v>1.4179999999999999</v>
      </c>
      <c r="V125" s="7">
        <f>ROUND(36/E125,3)</f>
        <v>0.45600000000000002</v>
      </c>
      <c r="W125" s="7">
        <f>ROUND(9.48/E125,3)</f>
        <v>0.12</v>
      </c>
      <c r="X125" s="7">
        <v>0.54</v>
      </c>
      <c r="Y125" s="7">
        <v>0.52</v>
      </c>
      <c r="Z125" s="7">
        <v>0.53</v>
      </c>
      <c r="AA125" s="7">
        <f>ROUND(62.77/E125,3)</f>
        <v>0.79500000000000004</v>
      </c>
      <c r="AB125" s="7">
        <f>ROUND(6/E125,3)</f>
        <v>7.5999999999999998E-2</v>
      </c>
      <c r="AC125" s="7">
        <v>8474590</v>
      </c>
    </row>
    <row r="126" spans="1:29" ht="15" customHeight="1" x14ac:dyDescent="0.2">
      <c r="A126" s="7" t="s">
        <v>408</v>
      </c>
      <c r="B126" s="7" t="s">
        <v>376</v>
      </c>
      <c r="C126" s="7" t="s">
        <v>160</v>
      </c>
      <c r="D126" s="7">
        <v>23</v>
      </c>
      <c r="E126" s="7">
        <v>82</v>
      </c>
      <c r="F126" s="7">
        <f>ROUND(8/E126,3)</f>
        <v>9.8000000000000004E-2</v>
      </c>
      <c r="G126" s="7">
        <f>ROUND(38/E126,3)</f>
        <v>0.46300000000000002</v>
      </c>
      <c r="H126" s="7">
        <f>ROUND(162/E126,3)</f>
        <v>1.976</v>
      </c>
      <c r="I126" s="7">
        <f>ROUND(210/E126,3)</f>
        <v>2.5609999999999999</v>
      </c>
      <c r="J126" s="7">
        <f>ROUND(181/E126,3)</f>
        <v>2.2069999999999999</v>
      </c>
      <c r="K126" s="7">
        <f t="shared" si="4"/>
        <v>9.025500000000001</v>
      </c>
      <c r="L126" s="7">
        <f>ROUND(2055.9166666667/E126,3)</f>
        <v>25.071999999999999</v>
      </c>
      <c r="M126" s="7">
        <f>ROUND(40/E126,3)</f>
        <v>0.48799999999999999</v>
      </c>
      <c r="N126" s="7" t="s">
        <v>1204</v>
      </c>
      <c r="O126" s="7" t="s">
        <v>1205</v>
      </c>
      <c r="P126" s="7">
        <f>ROUND(368/E126,3)</f>
        <v>4.4880000000000004</v>
      </c>
      <c r="Q126" s="7">
        <f>ROUND(256/E126,3)</f>
        <v>3.1219999999999999</v>
      </c>
      <c r="R126" s="7">
        <f>ROUND(93/E126,3)</f>
        <v>1.1339999999999999</v>
      </c>
      <c r="S126" s="7">
        <f>ROUND(16/E126,3)</f>
        <v>0.19500000000000001</v>
      </c>
      <c r="T126" s="7">
        <f>ROUND(10.44/E126,3)</f>
        <v>0.127</v>
      </c>
      <c r="U126" s="7">
        <f>ROUND(85/E126,3)</f>
        <v>1.0369999999999999</v>
      </c>
      <c r="V126" s="7">
        <f>ROUND(30/E126,3)</f>
        <v>0.36599999999999999</v>
      </c>
      <c r="W126" s="7">
        <f>ROUND(9.67/E126,3)</f>
        <v>0.11799999999999999</v>
      </c>
      <c r="X126" s="7">
        <v>0.51</v>
      </c>
      <c r="Y126" s="7">
        <v>0.51</v>
      </c>
      <c r="Z126" s="7">
        <v>0.52</v>
      </c>
      <c r="AA126" s="7">
        <f>ROUND(51/E126,3)</f>
        <v>0.622</v>
      </c>
      <c r="AB126" s="7">
        <f>ROUND(7/E126,3)</f>
        <v>8.5000000000000006E-2</v>
      </c>
      <c r="AC126" s="7">
        <v>8481542</v>
      </c>
    </row>
    <row r="127" spans="1:29" ht="15" customHeight="1" x14ac:dyDescent="0.2">
      <c r="A127" s="7" t="s">
        <v>411</v>
      </c>
      <c r="B127" s="7" t="s">
        <v>376</v>
      </c>
      <c r="D127" s="7">
        <v>17</v>
      </c>
      <c r="K127" s="7"/>
      <c r="AC127" s="7">
        <v>8485366</v>
      </c>
    </row>
    <row r="128" spans="1:29" ht="15" customHeight="1" x14ac:dyDescent="0.2">
      <c r="A128" s="7" t="s">
        <v>412</v>
      </c>
      <c r="B128" s="7" t="s">
        <v>376</v>
      </c>
      <c r="C128" s="7" t="s">
        <v>1049</v>
      </c>
      <c r="D128" s="7">
        <v>26</v>
      </c>
      <c r="E128" s="7">
        <v>77</v>
      </c>
      <c r="F128" s="7">
        <f>ROUND(15/E128,3)</f>
        <v>0.19500000000000001</v>
      </c>
      <c r="G128" s="7">
        <f>ROUND(38/E128,3)</f>
        <v>0.49399999999999999</v>
      </c>
      <c r="H128" s="7">
        <f>ROUND(132/E128,3)</f>
        <v>1.714</v>
      </c>
      <c r="I128" s="7">
        <f>ROUND(61/E128,3)</f>
        <v>0.79200000000000004</v>
      </c>
      <c r="J128" s="7">
        <f>ROUND(140/E128,3)</f>
        <v>1.8180000000000001</v>
      </c>
      <c r="K128" s="7">
        <f t="shared" ref="K128:K163" si="5">8*F128+6*G128+1*H128+1*J128+0.5*I128</f>
        <v>8.452</v>
      </c>
      <c r="L128" s="7">
        <f>ROUND(1934/E128,3)</f>
        <v>25.117000000000001</v>
      </c>
      <c r="M128" s="7">
        <f>ROUND(32/E128,3)</f>
        <v>0.41599999999999998</v>
      </c>
      <c r="N128" s="7" t="s">
        <v>1206</v>
      </c>
      <c r="O128" s="7" t="s">
        <v>541</v>
      </c>
      <c r="P128" s="7">
        <f>ROUND(367/E128,3)</f>
        <v>4.766</v>
      </c>
      <c r="Q128" s="7">
        <f>ROUND(224/E128,3)</f>
        <v>2.9089999999999998</v>
      </c>
      <c r="R128" s="7">
        <f>ROUND(97/E128,3)</f>
        <v>1.26</v>
      </c>
      <c r="S128" s="7">
        <f>ROUND(7/E128,3)</f>
        <v>9.0999999999999998E-2</v>
      </c>
      <c r="T128" s="7">
        <f>ROUND(8.07/E128,3)</f>
        <v>0.105</v>
      </c>
      <c r="U128" s="7">
        <f>ROUND(126/E128,3)</f>
        <v>1.6359999999999999</v>
      </c>
      <c r="V128" s="7">
        <f>ROUND(32/E128,3)</f>
        <v>0.41599999999999998</v>
      </c>
      <c r="W128" s="7">
        <f>ROUND(7.08/E128,3)</f>
        <v>9.1999999999999998E-2</v>
      </c>
      <c r="X128" s="7">
        <v>0.53</v>
      </c>
      <c r="Y128" s="7">
        <v>0.53</v>
      </c>
      <c r="Z128" s="7">
        <v>0.53</v>
      </c>
      <c r="AA128" s="7">
        <f>ROUND(61.65/E128,3)</f>
        <v>0.80100000000000005</v>
      </c>
      <c r="AB128" s="7">
        <f>ROUND(2/E128,3)</f>
        <v>2.5999999999999999E-2</v>
      </c>
      <c r="AC128" s="7">
        <v>8479410</v>
      </c>
    </row>
    <row r="129" spans="1:29" ht="15" customHeight="1" x14ac:dyDescent="0.2">
      <c r="A129" s="7" t="s">
        <v>414</v>
      </c>
      <c r="B129" s="7" t="s">
        <v>376</v>
      </c>
      <c r="C129" s="7" t="s">
        <v>230</v>
      </c>
      <c r="D129" s="7">
        <v>23</v>
      </c>
      <c r="E129" s="7">
        <v>75</v>
      </c>
      <c r="F129" s="7">
        <f>ROUND(14/E129,3)</f>
        <v>0.187</v>
      </c>
      <c r="G129" s="7">
        <f>ROUND(29/E129,3)</f>
        <v>0.38700000000000001</v>
      </c>
      <c r="H129" s="7">
        <f>ROUND(134/E129,3)</f>
        <v>1.7869999999999999</v>
      </c>
      <c r="I129" s="7">
        <f>ROUND(69/E129,3)</f>
        <v>0.92</v>
      </c>
      <c r="J129" s="7">
        <f>ROUND(129/E129,3)</f>
        <v>1.72</v>
      </c>
      <c r="K129" s="7">
        <f t="shared" si="5"/>
        <v>7.7850000000000001</v>
      </c>
      <c r="L129" s="7">
        <f>ROUND(1672.55/E129,3)</f>
        <v>22.300999999999998</v>
      </c>
      <c r="M129" s="7">
        <f>ROUND(28/E129,3)</f>
        <v>0.373</v>
      </c>
      <c r="N129" s="7" t="s">
        <v>1207</v>
      </c>
      <c r="O129" s="7" t="s">
        <v>1208</v>
      </c>
      <c r="P129" s="7">
        <f>ROUND(268/E129,3)</f>
        <v>3.573</v>
      </c>
      <c r="Q129" s="7">
        <f>ROUND(187/E129,3)</f>
        <v>2.4929999999999999</v>
      </c>
      <c r="R129" s="7">
        <f>ROUND(93/E129,3)</f>
        <v>1.24</v>
      </c>
      <c r="S129" s="7">
        <f>ROUND(38/E129,3)</f>
        <v>0.50700000000000001</v>
      </c>
      <c r="T129" s="7">
        <f>ROUND(10.04/E129,3)</f>
        <v>0.13400000000000001</v>
      </c>
      <c r="U129" s="7">
        <f>ROUND(78/E129,3)</f>
        <v>1.04</v>
      </c>
      <c r="V129" s="7">
        <f>ROUND(35/E129,3)</f>
        <v>0.46700000000000003</v>
      </c>
      <c r="W129" s="7">
        <f>ROUND(10.27/E129,3)</f>
        <v>0.13700000000000001</v>
      </c>
      <c r="X129" s="7">
        <v>0.48</v>
      </c>
      <c r="Y129" s="7">
        <v>0.49</v>
      </c>
      <c r="Z129" s="7">
        <v>0.5</v>
      </c>
      <c r="AA129" s="7">
        <f>ROUND(43.54/E129,3)</f>
        <v>0.58099999999999996</v>
      </c>
      <c r="AB129" s="7">
        <f>ROUND(11/E129,3)</f>
        <v>0.14699999999999999</v>
      </c>
      <c r="AC129" s="7">
        <v>8481605</v>
      </c>
    </row>
    <row r="130" spans="1:29" ht="15" customHeight="1" x14ac:dyDescent="0.2">
      <c r="A130" s="7" t="s">
        <v>415</v>
      </c>
      <c r="B130" s="7" t="s">
        <v>376</v>
      </c>
      <c r="C130" s="7" t="s">
        <v>72</v>
      </c>
      <c r="D130" s="7">
        <v>29</v>
      </c>
      <c r="E130" s="7">
        <v>80</v>
      </c>
      <c r="F130" s="7">
        <f>ROUND(14/E130,3)</f>
        <v>0.17499999999999999</v>
      </c>
      <c r="G130" s="7">
        <f>ROUND(48/E130,3)</f>
        <v>0.6</v>
      </c>
      <c r="H130" s="7">
        <f>ROUND(172/E130,3)</f>
        <v>2.15</v>
      </c>
      <c r="I130" s="7">
        <f>ROUND(49/E130,3)</f>
        <v>0.61299999999999999</v>
      </c>
      <c r="J130" s="7">
        <f>ROUND(113/E130,3)</f>
        <v>1.413</v>
      </c>
      <c r="K130" s="7">
        <f t="shared" si="5"/>
        <v>8.8695000000000004</v>
      </c>
      <c r="L130" s="7">
        <f>ROUND(1951.3/E130,3)</f>
        <v>24.390999999999998</v>
      </c>
      <c r="M130" s="7">
        <f>ROUND(22/E130,3)</f>
        <v>0.27500000000000002</v>
      </c>
      <c r="N130" s="7" t="s">
        <v>1209</v>
      </c>
      <c r="O130" s="7" t="s">
        <v>1210</v>
      </c>
      <c r="P130" s="7">
        <f>ROUND(433/E130,3)</f>
        <v>5.4130000000000003</v>
      </c>
      <c r="Q130" s="7">
        <f>ROUND(272/E130,3)</f>
        <v>3.4</v>
      </c>
      <c r="R130" s="7">
        <f>ROUND(95/E130,3)</f>
        <v>1.1879999999999999</v>
      </c>
      <c r="S130" s="7">
        <f>ROUND(10/E130,3)</f>
        <v>0.125</v>
      </c>
      <c r="T130" s="7">
        <f>ROUND(9.08/E130,3)</f>
        <v>0.114</v>
      </c>
      <c r="U130" s="7">
        <f>ROUND(78/E130,3)</f>
        <v>0.97499999999999998</v>
      </c>
      <c r="V130" s="7">
        <f>ROUND(32/E130,3)</f>
        <v>0.4</v>
      </c>
      <c r="W130" s="7">
        <f>ROUND(9.89/E130,3)</f>
        <v>0.124</v>
      </c>
      <c r="X130" s="7">
        <v>0.57999999999999996</v>
      </c>
      <c r="Y130" s="7">
        <v>0.54</v>
      </c>
      <c r="Z130" s="7">
        <v>0.55000000000000004</v>
      </c>
      <c r="AA130" s="7">
        <f>ROUND(65.55/E130,3)</f>
        <v>0.81899999999999995</v>
      </c>
      <c r="AB130" s="7">
        <f>ROUND(8/E130,3)</f>
        <v>0.1</v>
      </c>
      <c r="AC130" s="7">
        <v>8477504</v>
      </c>
    </row>
    <row r="131" spans="1:29" ht="15" customHeight="1" x14ac:dyDescent="0.2">
      <c r="A131" s="7" t="s">
        <v>418</v>
      </c>
      <c r="B131" s="7" t="s">
        <v>376</v>
      </c>
      <c r="C131" s="7" t="s">
        <v>164</v>
      </c>
      <c r="D131" s="7">
        <v>34</v>
      </c>
      <c r="E131" s="7">
        <v>53</v>
      </c>
      <c r="F131" s="7">
        <f>ROUND(9/E131,3)</f>
        <v>0.17</v>
      </c>
      <c r="G131" s="7">
        <f>ROUND(29/E131,3)</f>
        <v>0.54700000000000004</v>
      </c>
      <c r="H131" s="7">
        <f>ROUND(150/E131,3)</f>
        <v>2.83</v>
      </c>
      <c r="I131" s="7">
        <f>ROUND(42/E131,3)</f>
        <v>0.79200000000000004</v>
      </c>
      <c r="J131" s="7">
        <f>ROUND(95/E131,3)</f>
        <v>1.792</v>
      </c>
      <c r="K131" s="7">
        <f t="shared" si="5"/>
        <v>9.6600000000000019</v>
      </c>
      <c r="L131" s="7">
        <f>ROUND(1326.7166666667/E131,3)</f>
        <v>25.032</v>
      </c>
      <c r="M131" s="7">
        <f>ROUND(18/E131,3)</f>
        <v>0.34</v>
      </c>
      <c r="N131" s="7" t="s">
        <v>568</v>
      </c>
      <c r="O131" s="7" t="s">
        <v>1211</v>
      </c>
      <c r="P131" s="7">
        <f>ROUND(368/E131,3)</f>
        <v>6.9429999999999996</v>
      </c>
      <c r="Q131" s="7">
        <f>ROUND(234/E131,3)</f>
        <v>4.415</v>
      </c>
      <c r="R131" s="7">
        <f>ROUND(121/E131,3)</f>
        <v>2.2829999999999999</v>
      </c>
      <c r="S131" s="7">
        <f>ROUND(27/E131,3)</f>
        <v>0.50900000000000001</v>
      </c>
      <c r="T131" s="7">
        <f>ROUND(11.41/E131,3)</f>
        <v>0.215</v>
      </c>
      <c r="U131" s="7">
        <f>ROUND(75/E131,3)</f>
        <v>1.415</v>
      </c>
      <c r="V131" s="7">
        <f>ROUND(23/E131,3)</f>
        <v>0.434</v>
      </c>
      <c r="W131" s="7">
        <f>ROUND(13.44/E131,3)</f>
        <v>0.254</v>
      </c>
      <c r="X131" s="7">
        <v>0.54</v>
      </c>
      <c r="Y131" s="7">
        <v>0.57999999999999996</v>
      </c>
      <c r="Z131" s="7">
        <v>0.56999999999999995</v>
      </c>
      <c r="AA131" s="7">
        <f>ROUND(49/E131,3)</f>
        <v>0.92500000000000004</v>
      </c>
      <c r="AB131" s="7">
        <f>ROUND(15/E131,3)</f>
        <v>0.28299999999999997</v>
      </c>
      <c r="AC131" s="7">
        <v>8474600</v>
      </c>
    </row>
    <row r="132" spans="1:29" ht="15" customHeight="1" x14ac:dyDescent="0.2">
      <c r="A132" s="7" t="s">
        <v>421</v>
      </c>
      <c r="B132" s="7" t="s">
        <v>376</v>
      </c>
      <c r="C132" s="7" t="s">
        <v>135</v>
      </c>
      <c r="D132" s="7">
        <v>22</v>
      </c>
      <c r="E132" s="7">
        <v>80</v>
      </c>
      <c r="F132" s="7">
        <f>ROUND(11/E132,3)</f>
        <v>0.13800000000000001</v>
      </c>
      <c r="G132" s="7">
        <f>ROUND(46/E132,3)</f>
        <v>0.57499999999999996</v>
      </c>
      <c r="H132" s="7">
        <f>ROUND(195/E132,3)</f>
        <v>2.4380000000000002</v>
      </c>
      <c r="I132" s="7">
        <f>ROUND(38/E132,3)</f>
        <v>0.47499999999999998</v>
      </c>
      <c r="J132" s="7">
        <f>ROUND(163/E132,3)</f>
        <v>2.0379999999999998</v>
      </c>
      <c r="K132" s="7">
        <f t="shared" si="5"/>
        <v>9.2675000000000018</v>
      </c>
      <c r="L132" s="7">
        <f>ROUND(1955.3666666667/E132,3)</f>
        <v>24.442</v>
      </c>
      <c r="M132" s="7">
        <f>ROUND(12/E132,3)</f>
        <v>0.15</v>
      </c>
      <c r="N132" s="7" t="s">
        <v>1175</v>
      </c>
      <c r="O132" s="7" t="s">
        <v>1212</v>
      </c>
      <c r="P132" s="7">
        <f>ROUND(421/E132,3)</f>
        <v>5.2629999999999999</v>
      </c>
      <c r="Q132" s="7">
        <f>ROUND(275/E132,3)</f>
        <v>3.4380000000000002</v>
      </c>
      <c r="R132" s="7">
        <f>ROUND(113/E132,3)</f>
        <v>1.413</v>
      </c>
      <c r="S132" s="7">
        <f>ROUND(10/E132,3)</f>
        <v>0.125</v>
      </c>
      <c r="T132" s="7">
        <f>ROUND(9.16/E132,3)</f>
        <v>0.115</v>
      </c>
      <c r="U132" s="7">
        <f>ROUND(98/E132,3)</f>
        <v>1.2250000000000001</v>
      </c>
      <c r="V132" s="7">
        <f>ROUND(53/E132,3)</f>
        <v>0.66300000000000003</v>
      </c>
      <c r="W132" s="7">
        <f>ROUND(9.3/E132,3)</f>
        <v>0.11600000000000001</v>
      </c>
      <c r="X132" s="7">
        <v>0.51</v>
      </c>
      <c r="Y132" s="7">
        <v>0.51</v>
      </c>
      <c r="Z132" s="7">
        <v>0.52</v>
      </c>
      <c r="AA132" s="7">
        <f>ROUND(58.67/E132,3)</f>
        <v>0.73299999999999998</v>
      </c>
      <c r="AB132" s="7">
        <f>ROUND(4/E132,3)</f>
        <v>0.05</v>
      </c>
      <c r="AC132" s="7">
        <v>8482105</v>
      </c>
    </row>
    <row r="133" spans="1:29" ht="15" customHeight="1" x14ac:dyDescent="0.2">
      <c r="A133" s="7" t="s">
        <v>422</v>
      </c>
      <c r="B133" s="7" t="s">
        <v>376</v>
      </c>
      <c r="C133" s="7" t="s">
        <v>131</v>
      </c>
      <c r="D133" s="7">
        <v>26</v>
      </c>
      <c r="E133" s="7">
        <v>74</v>
      </c>
      <c r="F133" s="7">
        <f>ROUND(10/E133,3)</f>
        <v>0.13500000000000001</v>
      </c>
      <c r="G133" s="7">
        <f>ROUND(51/E133,3)</f>
        <v>0.68899999999999995</v>
      </c>
      <c r="H133" s="7">
        <f>ROUND(135/E133,3)</f>
        <v>1.8240000000000001</v>
      </c>
      <c r="I133" s="7">
        <f>ROUND(40/E133,3)</f>
        <v>0.54100000000000004</v>
      </c>
      <c r="J133" s="7">
        <f>ROUND(108/E133,3)</f>
        <v>1.4590000000000001</v>
      </c>
      <c r="K133" s="7">
        <f t="shared" si="5"/>
        <v>8.7675000000000001</v>
      </c>
      <c r="L133" s="7">
        <f>ROUND(1720.4166666667/E133,3)</f>
        <v>23.248999999999999</v>
      </c>
      <c r="M133" s="7">
        <f>ROUND(32/E133,3)</f>
        <v>0.432</v>
      </c>
      <c r="N133" s="7" t="s">
        <v>1213</v>
      </c>
      <c r="O133" s="7" t="s">
        <v>1214</v>
      </c>
      <c r="P133" s="7">
        <f>ROUND(339/E133,3)</f>
        <v>4.5810000000000004</v>
      </c>
      <c r="Q133" s="7">
        <f>ROUND(208/E133,3)</f>
        <v>2.8109999999999999</v>
      </c>
      <c r="R133" s="7">
        <f>ROUND(122/E133,3)</f>
        <v>1.649</v>
      </c>
      <c r="S133" s="7">
        <f>ROUND(23/E133,3)</f>
        <v>0.311</v>
      </c>
      <c r="T133" s="7">
        <f>ROUND(12.08/E133,3)</f>
        <v>0.16300000000000001</v>
      </c>
      <c r="U133" s="7">
        <f>ROUND(76/E133,3)</f>
        <v>1.0269999999999999</v>
      </c>
      <c r="V133" s="7">
        <f>ROUND(40/E133,3)</f>
        <v>0.54100000000000004</v>
      </c>
      <c r="W133" s="7">
        <f>ROUND(12.52/E133,3)</f>
        <v>0.16900000000000001</v>
      </c>
      <c r="X133" s="7">
        <v>0.54</v>
      </c>
      <c r="Y133" s="7">
        <v>0.57999999999999996</v>
      </c>
      <c r="Z133" s="7">
        <v>0.57999999999999996</v>
      </c>
      <c r="AA133" s="7">
        <f>ROUND(72.78/E133,3)</f>
        <v>0.98399999999999999</v>
      </c>
      <c r="AB133" s="7">
        <f>ROUND(12/E133,3)</f>
        <v>0.16200000000000001</v>
      </c>
      <c r="AC133" s="7">
        <v>8479323</v>
      </c>
    </row>
    <row r="134" spans="1:29" ht="15" customHeight="1" x14ac:dyDescent="0.2">
      <c r="A134" s="7" t="s">
        <v>425</v>
      </c>
      <c r="B134" s="7" t="s">
        <v>376</v>
      </c>
      <c r="C134" s="7" t="s">
        <v>106</v>
      </c>
      <c r="D134" s="7">
        <v>22</v>
      </c>
      <c r="E134" s="7">
        <v>78</v>
      </c>
      <c r="F134" s="7">
        <f>ROUND(10/E134,3)</f>
        <v>0.128</v>
      </c>
      <c r="G134" s="7">
        <f>ROUND(19/E134,3)</f>
        <v>0.24399999999999999</v>
      </c>
      <c r="H134" s="7">
        <f>ROUND(124/E134,3)</f>
        <v>1.59</v>
      </c>
      <c r="I134" s="7">
        <f>ROUND(35/E134,3)</f>
        <v>0.44900000000000001</v>
      </c>
      <c r="J134" s="7">
        <f>ROUND(115/E134,3)</f>
        <v>1.474</v>
      </c>
      <c r="K134" s="7">
        <f t="shared" si="5"/>
        <v>5.7765000000000004</v>
      </c>
      <c r="L134" s="7">
        <f>ROUND(1990.95/E134,3)</f>
        <v>25.524999999999999</v>
      </c>
      <c r="M134" s="7">
        <f>ROUND(23/E134,3)</f>
        <v>0.29499999999999998</v>
      </c>
      <c r="N134" s="7" t="s">
        <v>87</v>
      </c>
      <c r="O134" s="7" t="s">
        <v>1215</v>
      </c>
      <c r="P134" s="7">
        <f>ROUND(298/E134,3)</f>
        <v>3.8210000000000002</v>
      </c>
      <c r="Q134" s="7">
        <f>ROUND(188/E134,3)</f>
        <v>2.41</v>
      </c>
      <c r="R134" s="7">
        <f>ROUND(96/E134,3)</f>
        <v>1.2310000000000001</v>
      </c>
      <c r="S134" s="7">
        <f>ROUND(18/E134,3)</f>
        <v>0.23100000000000001</v>
      </c>
      <c r="T134" s="7">
        <f>ROUND(5.94/E134,3)</f>
        <v>7.5999999999999998E-2</v>
      </c>
      <c r="U134" s="7">
        <f>ROUND(109/E134,3)</f>
        <v>1.397</v>
      </c>
      <c r="V134" s="7">
        <f>ROUND(29/E134,3)</f>
        <v>0.372</v>
      </c>
      <c r="W134" s="7">
        <f>ROUND(6.39/E134,3)</f>
        <v>8.2000000000000003E-2</v>
      </c>
      <c r="X134" s="7">
        <v>0.48</v>
      </c>
      <c r="Y134" s="7">
        <v>0.46</v>
      </c>
      <c r="Z134" s="7">
        <v>0.46</v>
      </c>
      <c r="AA134" s="7">
        <f>ROUND(22.5/E134,3)</f>
        <v>0.28799999999999998</v>
      </c>
      <c r="AB134" s="7">
        <f>ROUND(4/E134,3)</f>
        <v>5.0999999999999997E-2</v>
      </c>
      <c r="AC134" s="7">
        <v>8482122</v>
      </c>
    </row>
    <row r="135" spans="1:29" ht="15" customHeight="1" x14ac:dyDescent="0.2">
      <c r="A135" s="7" t="s">
        <v>426</v>
      </c>
      <c r="B135" s="7" t="s">
        <v>376</v>
      </c>
      <c r="C135" s="7" t="s">
        <v>80</v>
      </c>
      <c r="D135" s="7">
        <v>31</v>
      </c>
      <c r="E135" s="7">
        <v>70</v>
      </c>
      <c r="F135" s="7">
        <f>ROUND(7/E135,3)</f>
        <v>0.1</v>
      </c>
      <c r="G135" s="7">
        <f>ROUND(38/E135,3)</f>
        <v>0.54300000000000004</v>
      </c>
      <c r="H135" s="7">
        <f>ROUND(122/E135,3)</f>
        <v>1.7430000000000001</v>
      </c>
      <c r="I135" s="7">
        <f>ROUND(40/E135,3)</f>
        <v>0.57099999999999995</v>
      </c>
      <c r="J135" s="7">
        <f>ROUND(66/E135,3)</f>
        <v>0.94299999999999995</v>
      </c>
      <c r="K135" s="7">
        <f t="shared" si="5"/>
        <v>7.0294999999999996</v>
      </c>
      <c r="L135" s="7">
        <f>ROUND(1296.4666666667/E135,3)</f>
        <v>18.521000000000001</v>
      </c>
      <c r="M135" s="7">
        <f>ROUND(52/E135,3)</f>
        <v>0.74299999999999999</v>
      </c>
      <c r="N135" s="7" t="s">
        <v>112</v>
      </c>
      <c r="O135" s="7" t="s">
        <v>1216</v>
      </c>
      <c r="P135" s="7">
        <f>ROUND(330/E135,3)</f>
        <v>4.7140000000000004</v>
      </c>
      <c r="Q135" s="7">
        <f>ROUND(206/E135,3)</f>
        <v>2.9430000000000001</v>
      </c>
      <c r="R135" s="7">
        <f>ROUND(97/E135,3)</f>
        <v>1.3859999999999999</v>
      </c>
      <c r="S135" s="7">
        <f>ROUND(8/E135,3)</f>
        <v>0.114</v>
      </c>
      <c r="T135" s="7">
        <f>ROUND(7.63/E135,3)</f>
        <v>0.109</v>
      </c>
      <c r="U135" s="7">
        <f>ROUND(76/E135,3)</f>
        <v>1.0860000000000001</v>
      </c>
      <c r="V135" s="7">
        <f>ROUND(36/E135,3)</f>
        <v>0.51400000000000001</v>
      </c>
      <c r="W135" s="7">
        <f>ROUND(9.39/E135,3)</f>
        <v>0.13400000000000001</v>
      </c>
      <c r="X135" s="7">
        <v>0.65</v>
      </c>
      <c r="Y135" s="7">
        <v>0.68</v>
      </c>
      <c r="Z135" s="7">
        <v>0.67</v>
      </c>
      <c r="AA135" s="7">
        <f>ROUND(63.2/E135,3)</f>
        <v>0.90300000000000002</v>
      </c>
      <c r="AB135" s="7">
        <f>ROUND(9/E135,3)</f>
        <v>0.129</v>
      </c>
      <c r="AC135" s="7">
        <v>8476906</v>
      </c>
    </row>
    <row r="136" spans="1:29" ht="15" customHeight="1" x14ac:dyDescent="0.2">
      <c r="A136" s="7" t="s">
        <v>429</v>
      </c>
      <c r="B136" s="7" t="s">
        <v>376</v>
      </c>
      <c r="C136" s="7" t="s">
        <v>307</v>
      </c>
      <c r="D136" s="7">
        <v>26</v>
      </c>
      <c r="E136" s="7">
        <v>61</v>
      </c>
      <c r="F136" s="7">
        <f>ROUND(5/E136,3)</f>
        <v>8.2000000000000003E-2</v>
      </c>
      <c r="G136" s="7">
        <f>ROUND(28/E136,3)</f>
        <v>0.45900000000000002</v>
      </c>
      <c r="H136" s="7">
        <f>ROUND(83/E136,3)</f>
        <v>1.361</v>
      </c>
      <c r="I136" s="7">
        <f>ROUND(89/E136,3)</f>
        <v>1.4590000000000001</v>
      </c>
      <c r="J136" s="7">
        <f>ROUND(75/E136,3)</f>
        <v>1.23</v>
      </c>
      <c r="K136" s="7">
        <f t="shared" si="5"/>
        <v>6.7304999999999993</v>
      </c>
      <c r="L136" s="7">
        <f>ROUND(1457.55/E136,3)</f>
        <v>23.893999999999998</v>
      </c>
      <c r="M136" s="7">
        <f>ROUND(40/E136,3)</f>
        <v>0.65600000000000003</v>
      </c>
      <c r="N136" s="7" t="s">
        <v>242</v>
      </c>
      <c r="O136" s="7" t="s">
        <v>402</v>
      </c>
      <c r="P136" s="7">
        <f>ROUND(240/E136,3)</f>
        <v>3.9340000000000002</v>
      </c>
      <c r="Q136" s="7">
        <f>ROUND(154/E136,3)</f>
        <v>2.5249999999999999</v>
      </c>
      <c r="R136" s="7">
        <f>ROUND(61/E136,3)</f>
        <v>1</v>
      </c>
      <c r="S136" s="7">
        <f>ROUND(8/E136,3)</f>
        <v>0.13100000000000001</v>
      </c>
      <c r="T136" s="7">
        <f>ROUND(4.97/E136,3)</f>
        <v>8.1000000000000003E-2</v>
      </c>
      <c r="U136" s="7">
        <f>ROUND(74/E136,3)</f>
        <v>1.2130000000000001</v>
      </c>
      <c r="V136" s="7">
        <f>ROUND(14/E136,3)</f>
        <v>0.23</v>
      </c>
      <c r="W136" s="7">
        <f>ROUND(4.28/E136,3)</f>
        <v>7.0000000000000007E-2</v>
      </c>
      <c r="X136" s="7">
        <v>0.49</v>
      </c>
      <c r="Y136" s="7">
        <v>0.52</v>
      </c>
      <c r="Z136" s="7">
        <v>0.5</v>
      </c>
      <c r="AA136" s="7">
        <f>ROUND(36.53/E136,3)</f>
        <v>0.59899999999999998</v>
      </c>
      <c r="AB136" s="7">
        <f>ROUND(1/E136,3)</f>
        <v>1.6E-2</v>
      </c>
      <c r="AC136" s="7">
        <v>8479425</v>
      </c>
    </row>
    <row r="137" spans="1:29" ht="15" customHeight="1" x14ac:dyDescent="0.2">
      <c r="A137" s="7" t="s">
        <v>432</v>
      </c>
      <c r="B137" s="7" t="s">
        <v>376</v>
      </c>
      <c r="C137" s="7" t="s">
        <v>433</v>
      </c>
      <c r="D137" s="7">
        <v>27</v>
      </c>
      <c r="E137" s="7">
        <v>81</v>
      </c>
      <c r="F137" s="7">
        <f>ROUND(11/E137,3)</f>
        <v>0.13600000000000001</v>
      </c>
      <c r="G137" s="7">
        <f>ROUND(20/E137,3)</f>
        <v>0.247</v>
      </c>
      <c r="H137" s="7">
        <f>ROUND(163/E137,3)</f>
        <v>2.012</v>
      </c>
      <c r="I137" s="7">
        <f>ROUND(36/E137,3)</f>
        <v>0.44400000000000001</v>
      </c>
      <c r="J137" s="7">
        <f>ROUND(196/E137,3)</f>
        <v>2.42</v>
      </c>
      <c r="K137" s="7">
        <f t="shared" si="5"/>
        <v>7.2240000000000011</v>
      </c>
      <c r="L137" s="7">
        <f>ROUND(1942.8/E137,3)</f>
        <v>23.984999999999999</v>
      </c>
      <c r="M137" s="7">
        <f>ROUND(60/E137,3)</f>
        <v>0.74099999999999999</v>
      </c>
      <c r="N137" s="7" t="s">
        <v>1217</v>
      </c>
      <c r="O137" s="7" t="s">
        <v>1218</v>
      </c>
      <c r="P137" s="7">
        <f>ROUND(378/E137,3)</f>
        <v>4.6669999999999998</v>
      </c>
      <c r="Q137" s="7">
        <f>ROUND(258/E137,3)</f>
        <v>3.1850000000000001</v>
      </c>
      <c r="R137" s="7">
        <f>ROUND(113/E137,3)</f>
        <v>1.395</v>
      </c>
      <c r="S137" s="7">
        <f>ROUND(21/E137,3)</f>
        <v>0.25900000000000001</v>
      </c>
      <c r="T137" s="7">
        <f>ROUND(8/E137,3)</f>
        <v>9.9000000000000005E-2</v>
      </c>
      <c r="U137" s="7">
        <f>ROUND(107/E137,3)</f>
        <v>1.321</v>
      </c>
      <c r="V137" s="7">
        <f>ROUND(30/E137,3)</f>
        <v>0.37</v>
      </c>
      <c r="W137" s="7">
        <f>ROUND(9.51/E137,3)</f>
        <v>0.11700000000000001</v>
      </c>
      <c r="X137" s="7">
        <v>0.44</v>
      </c>
      <c r="Y137" s="7">
        <v>0.48</v>
      </c>
      <c r="Z137" s="7">
        <v>0.48</v>
      </c>
      <c r="AA137" s="7">
        <f>ROUND(37.17/E137,3)</f>
        <v>0.45900000000000002</v>
      </c>
      <c r="AB137" s="7">
        <f>ROUND(7/E137,3)</f>
        <v>8.5999999999999993E-2</v>
      </c>
      <c r="AC137" s="7">
        <v>8478397</v>
      </c>
    </row>
    <row r="138" spans="1:29" ht="15" customHeight="1" x14ac:dyDescent="0.2">
      <c r="A138" s="7" t="s">
        <v>436</v>
      </c>
      <c r="B138" s="7" t="s">
        <v>376</v>
      </c>
      <c r="C138" s="7" t="s">
        <v>191</v>
      </c>
      <c r="D138" s="7">
        <v>24</v>
      </c>
      <c r="E138" s="7">
        <v>71</v>
      </c>
      <c r="F138" s="7">
        <f>ROUND(10/E138,3)</f>
        <v>0.14099999999999999</v>
      </c>
      <c r="G138" s="7">
        <f>ROUND(29/E138,3)</f>
        <v>0.40799999999999997</v>
      </c>
      <c r="H138" s="7">
        <f>ROUND(196/E138,3)</f>
        <v>2.7610000000000001</v>
      </c>
      <c r="I138" s="7">
        <f>ROUND(56/E138,3)</f>
        <v>0.78900000000000003</v>
      </c>
      <c r="J138" s="7">
        <f>ROUND(126/E138,3)</f>
        <v>1.7749999999999999</v>
      </c>
      <c r="K138" s="7">
        <f t="shared" si="5"/>
        <v>8.5065000000000008</v>
      </c>
      <c r="L138" s="7">
        <f>ROUND(1652.3333333333/E138,3)</f>
        <v>23.271999999999998</v>
      </c>
      <c r="M138" s="7">
        <f>ROUND(28/E138,3)</f>
        <v>0.39400000000000002</v>
      </c>
      <c r="N138" s="7" t="s">
        <v>1219</v>
      </c>
      <c r="O138" s="7" t="s">
        <v>967</v>
      </c>
      <c r="P138" s="7">
        <f>ROUND(437/E138,3)</f>
        <v>6.1550000000000002</v>
      </c>
      <c r="Q138" s="7">
        <f>ROUND(295/E138,3)</f>
        <v>4.1550000000000002</v>
      </c>
      <c r="R138" s="7">
        <f>ROUND(103/E138,3)</f>
        <v>1.4510000000000001</v>
      </c>
      <c r="S138" s="7">
        <f>ROUND(16/E138,3)</f>
        <v>0.22500000000000001</v>
      </c>
      <c r="T138" s="7">
        <f>ROUND(9.72/E138,3)</f>
        <v>0.13700000000000001</v>
      </c>
      <c r="U138" s="7">
        <f>ROUND(108/E138,3)</f>
        <v>1.5209999999999999</v>
      </c>
      <c r="V138" s="7">
        <f>ROUND(36/E138,3)</f>
        <v>0.50700000000000001</v>
      </c>
      <c r="W138" s="7">
        <f>ROUND(9.54/E138,3)</f>
        <v>0.13400000000000001</v>
      </c>
      <c r="X138" s="7">
        <v>0.56000000000000005</v>
      </c>
      <c r="Y138" s="7">
        <v>0.56000000000000005</v>
      </c>
      <c r="Z138" s="7">
        <v>0.56999999999999995</v>
      </c>
      <c r="AA138" s="7">
        <f>ROUND(54.05/E138,3)</f>
        <v>0.76100000000000001</v>
      </c>
      <c r="AB138" s="7">
        <f>ROUND(5/E138,3)</f>
        <v>7.0000000000000007E-2</v>
      </c>
      <c r="AC138" s="7">
        <v>8480865</v>
      </c>
    </row>
    <row r="139" spans="1:29" ht="15" customHeight="1" x14ac:dyDescent="0.2">
      <c r="A139" s="7" t="s">
        <v>439</v>
      </c>
      <c r="B139" s="7" t="s">
        <v>376</v>
      </c>
      <c r="C139" s="7" t="s">
        <v>213</v>
      </c>
      <c r="D139" s="7">
        <v>27</v>
      </c>
      <c r="E139" s="7">
        <v>62</v>
      </c>
      <c r="F139" s="7">
        <f>ROUND(11/E139,3)</f>
        <v>0.17699999999999999</v>
      </c>
      <c r="G139" s="7">
        <f>ROUND(28/E139,3)</f>
        <v>0.45200000000000001</v>
      </c>
      <c r="H139" s="7">
        <f>ROUND(137/E139,3)</f>
        <v>2.21</v>
      </c>
      <c r="I139" s="7">
        <f>ROUND(29/E139,3)</f>
        <v>0.46800000000000003</v>
      </c>
      <c r="J139" s="7">
        <f>ROUND(79/E139,3)</f>
        <v>1.274</v>
      </c>
      <c r="K139" s="7">
        <f t="shared" si="5"/>
        <v>7.8460000000000001</v>
      </c>
      <c r="L139" s="7">
        <f>ROUND(1368.9/E139,3)</f>
        <v>22.079000000000001</v>
      </c>
      <c r="M139" s="7">
        <f>ROUND(33/E139,3)</f>
        <v>0.53200000000000003</v>
      </c>
      <c r="N139" s="7" t="s">
        <v>1220</v>
      </c>
      <c r="O139" s="7" t="s">
        <v>1221</v>
      </c>
      <c r="P139" s="7">
        <f>ROUND(321/E139,3)</f>
        <v>5.1769999999999996</v>
      </c>
      <c r="Q139" s="7">
        <f>ROUND(185/E139,3)</f>
        <v>2.984</v>
      </c>
      <c r="R139" s="7">
        <f>ROUND(78/E139,3)</f>
        <v>1.258</v>
      </c>
      <c r="S139" s="7">
        <f>ROUND(15/E139,3)</f>
        <v>0.24199999999999999</v>
      </c>
      <c r="T139" s="7">
        <f>ROUND(6.39/E139,3)</f>
        <v>0.10299999999999999</v>
      </c>
      <c r="U139" s="7">
        <f>ROUND(79/E139,3)</f>
        <v>1.274</v>
      </c>
      <c r="V139" s="7">
        <f>ROUND(25/E139,3)</f>
        <v>0.40300000000000002</v>
      </c>
      <c r="W139" s="7">
        <f>ROUND(7.09/E139,3)</f>
        <v>0.114</v>
      </c>
      <c r="X139" s="7">
        <v>0.51</v>
      </c>
      <c r="Y139" s="7">
        <v>0.55000000000000004</v>
      </c>
      <c r="Z139" s="7">
        <v>0.55000000000000004</v>
      </c>
      <c r="AA139" s="7">
        <f>ROUND(42.78/E139,3)</f>
        <v>0.69</v>
      </c>
      <c r="AB139" s="7">
        <f>ROUND(4/E139,3)</f>
        <v>6.5000000000000002E-2</v>
      </c>
      <c r="AC139" s="7">
        <v>8478407</v>
      </c>
    </row>
    <row r="140" spans="1:29" ht="15" customHeight="1" x14ac:dyDescent="0.2">
      <c r="A140" s="7" t="s">
        <v>442</v>
      </c>
      <c r="B140" s="7" t="s">
        <v>376</v>
      </c>
      <c r="C140" s="7" t="s">
        <v>138</v>
      </c>
      <c r="D140" s="7">
        <v>23</v>
      </c>
      <c r="E140" s="7">
        <v>82</v>
      </c>
      <c r="F140" s="7">
        <f>ROUND(7/E140,3)</f>
        <v>8.5000000000000006E-2</v>
      </c>
      <c r="G140" s="7">
        <f>ROUND(31/E140,3)</f>
        <v>0.378</v>
      </c>
      <c r="H140" s="7">
        <f>ROUND(94/E140,3)</f>
        <v>1.1459999999999999</v>
      </c>
      <c r="I140" s="7">
        <f>ROUND(74/E140,3)</f>
        <v>0.90200000000000002</v>
      </c>
      <c r="J140" s="7">
        <f>ROUND(117/E140,3)</f>
        <v>1.427</v>
      </c>
      <c r="K140" s="7">
        <f t="shared" si="5"/>
        <v>5.9719999999999986</v>
      </c>
      <c r="L140" s="7">
        <f>ROUND(1861.1666666667/E140,3)</f>
        <v>22.696999999999999</v>
      </c>
      <c r="M140" s="7">
        <f>ROUND(46/E140,3)</f>
        <v>0.56100000000000005</v>
      </c>
      <c r="N140" s="7" t="s">
        <v>970</v>
      </c>
      <c r="O140" s="7" t="s">
        <v>766</v>
      </c>
      <c r="P140" s="7">
        <f>ROUND(209/E140,3)</f>
        <v>2.5489999999999999</v>
      </c>
      <c r="Q140" s="7">
        <f>ROUND(144/E140,3)</f>
        <v>1.756</v>
      </c>
      <c r="R140" s="7">
        <f>ROUND(66/E140,3)</f>
        <v>0.80500000000000005</v>
      </c>
      <c r="S140" s="7">
        <f>ROUND(19/E140,3)</f>
        <v>0.23200000000000001</v>
      </c>
      <c r="T140" s="7">
        <f>ROUND(8.3/E140,3)</f>
        <v>0.10100000000000001</v>
      </c>
      <c r="U140" s="7">
        <f>ROUND(84/E140,3)</f>
        <v>1.024</v>
      </c>
      <c r="V140" s="7">
        <f>ROUND(15/E140,3)</f>
        <v>0.183</v>
      </c>
      <c r="W140" s="7">
        <f>ROUND(8.81/E140,3)</f>
        <v>0.107</v>
      </c>
      <c r="X140" s="7">
        <v>0.46</v>
      </c>
      <c r="Y140" s="7">
        <v>0.48</v>
      </c>
      <c r="Z140" s="7">
        <v>0.48</v>
      </c>
      <c r="AA140" s="7">
        <f>ROUND(35.85/E140,3)</f>
        <v>0.437</v>
      </c>
      <c r="AB140" s="7">
        <f>ROUND(10/E140,3)</f>
        <v>0.122</v>
      </c>
      <c r="AC140" s="7">
        <v>8481524</v>
      </c>
    </row>
    <row r="141" spans="1:29" ht="15" customHeight="1" x14ac:dyDescent="0.2">
      <c r="A141" s="7" t="s">
        <v>445</v>
      </c>
      <c r="B141" s="7" t="s">
        <v>376</v>
      </c>
      <c r="C141" s="7" t="s">
        <v>138</v>
      </c>
      <c r="D141" s="7">
        <v>24</v>
      </c>
      <c r="E141" s="7">
        <v>62</v>
      </c>
      <c r="F141" s="7">
        <f>ROUND(4/E141,3)</f>
        <v>6.5000000000000002E-2</v>
      </c>
      <c r="G141" s="7">
        <f>ROUND(10/E141,3)</f>
        <v>0.161</v>
      </c>
      <c r="H141" s="7">
        <f>ROUND(52/E141,3)</f>
        <v>0.83899999999999997</v>
      </c>
      <c r="I141" s="7">
        <f>ROUND(104/E141,3)</f>
        <v>1.677</v>
      </c>
      <c r="J141" s="7">
        <f>ROUND(93/E141,3)</f>
        <v>1.5</v>
      </c>
      <c r="K141" s="7">
        <f t="shared" si="5"/>
        <v>4.6635</v>
      </c>
      <c r="L141" s="7">
        <f>ROUND(1196.8166666667/E141,3)</f>
        <v>19.303000000000001</v>
      </c>
      <c r="M141" s="7">
        <f>ROUND(22/E141,3)</f>
        <v>0.35499999999999998</v>
      </c>
      <c r="N141" s="7" t="s">
        <v>1222</v>
      </c>
      <c r="O141" s="7" t="s">
        <v>1086</v>
      </c>
      <c r="P141" s="7">
        <f>ROUND(106/E141,3)</f>
        <v>1.71</v>
      </c>
      <c r="Q141" s="7">
        <f>ROUND(78/E141,3)</f>
        <v>1.258</v>
      </c>
      <c r="R141" s="7">
        <f>ROUND(24/E141,3)</f>
        <v>0.38700000000000001</v>
      </c>
      <c r="S141" s="7">
        <f>ROUND(4/E141,3)</f>
        <v>6.5000000000000002E-2</v>
      </c>
      <c r="T141" s="7">
        <f>ROUND(1.66/E141,3)</f>
        <v>2.7E-2</v>
      </c>
      <c r="U141" s="7">
        <f>ROUND(55/E141,3)</f>
        <v>0.88700000000000001</v>
      </c>
      <c r="V141" s="7">
        <f>ROUND(11/E141,3)</f>
        <v>0.17699999999999999</v>
      </c>
      <c r="W141" s="7">
        <f>ROUND(1.88/E141,3)</f>
        <v>0.03</v>
      </c>
      <c r="X141" s="7">
        <v>0.39</v>
      </c>
      <c r="Y141" s="7">
        <v>0.4</v>
      </c>
      <c r="Z141" s="7">
        <v>0.41</v>
      </c>
      <c r="AA141" s="7">
        <f>ROUND(10.65/E141,3)</f>
        <v>0.17199999999999999</v>
      </c>
      <c r="AB141" s="7">
        <f>ROUND(1/E141,3)</f>
        <v>1.6E-2</v>
      </c>
      <c r="AC141" s="7">
        <v>8480807</v>
      </c>
    </row>
    <row r="142" spans="1:29" ht="15" customHeight="1" x14ac:dyDescent="0.2">
      <c r="A142" s="7" t="s">
        <v>447</v>
      </c>
      <c r="B142" s="7" t="s">
        <v>376</v>
      </c>
      <c r="C142" s="7" t="s">
        <v>56</v>
      </c>
      <c r="D142" s="7">
        <v>34</v>
      </c>
      <c r="E142" s="7">
        <v>65</v>
      </c>
      <c r="F142" s="7">
        <f>ROUND(9/E142,3)</f>
        <v>0.13800000000000001</v>
      </c>
      <c r="G142" s="7">
        <f>ROUND(24/E142,3)</f>
        <v>0.36899999999999999</v>
      </c>
      <c r="H142" s="7">
        <f>ROUND(143/E142,3)</f>
        <v>2.2000000000000002</v>
      </c>
      <c r="I142" s="7">
        <f>ROUND(41/E142,3)</f>
        <v>0.63100000000000001</v>
      </c>
      <c r="J142" s="7">
        <f>ROUND(95/E142,3)</f>
        <v>1.462</v>
      </c>
      <c r="K142" s="7">
        <f t="shared" si="5"/>
        <v>7.2955000000000005</v>
      </c>
      <c r="L142" s="7">
        <f>ROUND(1442.75/E142,3)</f>
        <v>22.196000000000002</v>
      </c>
      <c r="M142" s="7">
        <f>ROUND(30/E142,3)</f>
        <v>0.46200000000000002</v>
      </c>
      <c r="N142" s="7" t="s">
        <v>952</v>
      </c>
      <c r="O142" s="7" t="s">
        <v>1223</v>
      </c>
      <c r="P142" s="7">
        <f>ROUND(328/E142,3)</f>
        <v>5.0460000000000003</v>
      </c>
      <c r="Q142" s="7">
        <f>ROUND(212/E142,3)</f>
        <v>3.262</v>
      </c>
      <c r="R142" s="7">
        <f>ROUND(99/E142,3)</f>
        <v>1.5229999999999999</v>
      </c>
      <c r="S142" s="7">
        <f>ROUND(19/E142,3)</f>
        <v>0.29199999999999998</v>
      </c>
      <c r="T142" s="7">
        <f>ROUND(8.05/E142,3)</f>
        <v>0.124</v>
      </c>
      <c r="U142" s="7">
        <f>ROUND(83/E142,3)</f>
        <v>1.2769999999999999</v>
      </c>
      <c r="V142" s="7">
        <f>ROUND(35/E142,3)</f>
        <v>0.53800000000000003</v>
      </c>
      <c r="W142" s="7">
        <f>ROUND(7.78/E142,3)</f>
        <v>0.12</v>
      </c>
      <c r="X142" s="7">
        <v>0.53</v>
      </c>
      <c r="Y142" s="7">
        <v>0.56000000000000005</v>
      </c>
      <c r="Z142" s="7">
        <v>0.56000000000000005</v>
      </c>
      <c r="AA142" s="7">
        <f>ROUND(58.68/E142,3)</f>
        <v>0.90300000000000002</v>
      </c>
      <c r="AB142" s="7">
        <f>ROUND(6/E142,3)</f>
        <v>9.1999999999999998E-2</v>
      </c>
      <c r="AC142" s="7">
        <v>8475218</v>
      </c>
    </row>
    <row r="143" spans="1:29" ht="15" customHeight="1" x14ac:dyDescent="0.2">
      <c r="A143" s="7" t="s">
        <v>450</v>
      </c>
      <c r="B143" s="7" t="s">
        <v>376</v>
      </c>
      <c r="C143" s="7" t="s">
        <v>180</v>
      </c>
      <c r="D143" s="7">
        <v>32</v>
      </c>
      <c r="E143" s="7">
        <v>78</v>
      </c>
      <c r="F143" s="7">
        <f>ROUND(4/E143,3)</f>
        <v>5.0999999999999997E-2</v>
      </c>
      <c r="G143" s="7">
        <f>ROUND(28/E143,3)</f>
        <v>0.35899999999999999</v>
      </c>
      <c r="H143" s="7">
        <f>ROUND(124/E143,3)</f>
        <v>1.59</v>
      </c>
      <c r="I143" s="7">
        <f>ROUND(78/E143,3)</f>
        <v>1</v>
      </c>
      <c r="J143" s="7">
        <f>ROUND(108/E143,3)</f>
        <v>1.385</v>
      </c>
      <c r="K143" s="7">
        <f t="shared" si="5"/>
        <v>6.0369999999999999</v>
      </c>
      <c r="L143" s="7">
        <f>ROUND(1751.1333333333/E143,3)</f>
        <v>22.45</v>
      </c>
      <c r="M143" s="7">
        <f>ROUND(30/E143,3)</f>
        <v>0.38500000000000001</v>
      </c>
      <c r="N143" s="7" t="s">
        <v>604</v>
      </c>
      <c r="O143" s="7" t="s">
        <v>1224</v>
      </c>
      <c r="P143" s="7">
        <f>ROUND(296/E143,3)</f>
        <v>3.7949999999999999</v>
      </c>
      <c r="Q143" s="7">
        <f>ROUND(181/E143,3)</f>
        <v>2.3210000000000002</v>
      </c>
      <c r="R143" s="7">
        <f>ROUND(90/E143,3)</f>
        <v>1.1539999999999999</v>
      </c>
      <c r="S143" s="7">
        <f>ROUND(13/E143,3)</f>
        <v>0.16700000000000001</v>
      </c>
      <c r="T143" s="7">
        <f>ROUND(6.73/E143,3)</f>
        <v>8.5999999999999993E-2</v>
      </c>
      <c r="U143" s="7">
        <f>ROUND(100/E143,3)</f>
        <v>1.282</v>
      </c>
      <c r="V143" s="7">
        <f>ROUND(28/E143,3)</f>
        <v>0.35899999999999999</v>
      </c>
      <c r="W143" s="7">
        <f>ROUND(6.01/E143,3)</f>
        <v>7.6999999999999999E-2</v>
      </c>
      <c r="X143" s="7">
        <v>0.51</v>
      </c>
      <c r="Y143" s="7">
        <v>0.49</v>
      </c>
      <c r="Z143" s="7">
        <v>0.48</v>
      </c>
      <c r="AA143" s="7">
        <f>ROUND(22.75/E143,3)</f>
        <v>0.29199999999999998</v>
      </c>
      <c r="AB143" s="7">
        <f>ROUND(3/E143,3)</f>
        <v>3.7999999999999999E-2</v>
      </c>
      <c r="AC143" s="7">
        <v>8475753</v>
      </c>
    </row>
    <row r="144" spans="1:29" ht="15" customHeight="1" x14ac:dyDescent="0.2">
      <c r="A144" s="7" t="s">
        <v>453</v>
      </c>
      <c r="B144" s="7" t="s">
        <v>376</v>
      </c>
      <c r="C144" s="7" t="s">
        <v>66</v>
      </c>
      <c r="D144" s="7">
        <v>26</v>
      </c>
      <c r="E144" s="7">
        <v>76</v>
      </c>
      <c r="F144" s="7">
        <f>ROUND(5/E144,3)</f>
        <v>6.6000000000000003E-2</v>
      </c>
      <c r="G144" s="7">
        <f>ROUND(10/E144,3)</f>
        <v>0.13200000000000001</v>
      </c>
      <c r="H144" s="7">
        <f>ROUND(115/E144,3)</f>
        <v>1.5129999999999999</v>
      </c>
      <c r="I144" s="7">
        <f>ROUND(57/E144,3)</f>
        <v>0.75</v>
      </c>
      <c r="J144" s="7">
        <f>ROUND(107/E144,3)</f>
        <v>1.4079999999999999</v>
      </c>
      <c r="K144" s="7">
        <f t="shared" si="5"/>
        <v>4.6159999999999997</v>
      </c>
      <c r="L144" s="7">
        <f>ROUND(1212.5166666667/E144,3)</f>
        <v>15.954000000000001</v>
      </c>
      <c r="M144" s="7">
        <f>ROUND(16/E144,3)</f>
        <v>0.21099999999999999</v>
      </c>
      <c r="N144" s="7" t="s">
        <v>575</v>
      </c>
      <c r="O144" s="7" t="s">
        <v>1225</v>
      </c>
      <c r="P144" s="7">
        <f>ROUND(279/E144,3)</f>
        <v>3.6709999999999998</v>
      </c>
      <c r="Q144" s="7">
        <f>ROUND(161/E144,3)</f>
        <v>2.1179999999999999</v>
      </c>
      <c r="R144" s="7">
        <f>ROUND(73/E144,3)</f>
        <v>0.96099999999999997</v>
      </c>
      <c r="S144" s="7">
        <f>ROUND(11/E144,3)</f>
        <v>0.14499999999999999</v>
      </c>
      <c r="T144" s="7">
        <f>ROUND(4.26/E144,3)</f>
        <v>5.6000000000000001E-2</v>
      </c>
      <c r="U144" s="7">
        <f>ROUND(68/E144,3)</f>
        <v>0.89500000000000002</v>
      </c>
      <c r="V144" s="7">
        <f>ROUND(29/E144,3)</f>
        <v>0.38200000000000001</v>
      </c>
      <c r="W144" s="7">
        <f>ROUND(4.42/E144,3)</f>
        <v>5.8000000000000003E-2</v>
      </c>
      <c r="X144" s="7">
        <v>0.51</v>
      </c>
      <c r="Y144" s="7">
        <v>0.52</v>
      </c>
      <c r="Z144" s="7">
        <v>0.53</v>
      </c>
      <c r="AA144" s="7">
        <f>ROUND(30.88/E144,3)</f>
        <v>0.40600000000000003</v>
      </c>
      <c r="AB144" s="7">
        <f>ROUND(4/E144,3)</f>
        <v>5.2999999999999999E-2</v>
      </c>
      <c r="AC144" s="7">
        <v>8484258</v>
      </c>
    </row>
    <row r="145" spans="1:29" ht="15" customHeight="1" x14ac:dyDescent="0.2">
      <c r="A145" s="7" t="s">
        <v>454</v>
      </c>
      <c r="B145" s="7" t="s">
        <v>376</v>
      </c>
      <c r="C145" s="7" t="s">
        <v>184</v>
      </c>
      <c r="D145" s="7">
        <v>21</v>
      </c>
      <c r="E145" s="7">
        <v>78</v>
      </c>
      <c r="F145" s="7">
        <f>ROUND(5/E145,3)</f>
        <v>6.4000000000000001E-2</v>
      </c>
      <c r="G145" s="7">
        <f>ROUND(28/E145,3)</f>
        <v>0.35899999999999999</v>
      </c>
      <c r="H145" s="7">
        <f>ROUND(131/E145,3)</f>
        <v>1.679</v>
      </c>
      <c r="I145" s="7">
        <f>ROUND(22/E145,3)</f>
        <v>0.28199999999999997</v>
      </c>
      <c r="J145" s="7">
        <f>ROUND(121/E145,3)</f>
        <v>1.5509999999999999</v>
      </c>
      <c r="K145" s="7">
        <f t="shared" si="5"/>
        <v>6.0369999999999999</v>
      </c>
      <c r="L145" s="7">
        <f>ROUND(1269.7666666667/E145,3)</f>
        <v>16.279</v>
      </c>
      <c r="M145" s="7">
        <f>ROUND(46/E145,3)</f>
        <v>0.59</v>
      </c>
      <c r="N145" s="7" t="s">
        <v>1226</v>
      </c>
      <c r="O145" s="7" t="s">
        <v>1227</v>
      </c>
      <c r="P145" s="7">
        <f>ROUND(269/E145,3)</f>
        <v>3.4489999999999998</v>
      </c>
      <c r="Q145" s="7">
        <f>ROUND(180/E145,3)</f>
        <v>2.3079999999999998</v>
      </c>
      <c r="R145" s="7">
        <f>ROUND(61/E145,3)</f>
        <v>0.78200000000000003</v>
      </c>
      <c r="S145" s="7">
        <f>ROUND(14/E145,3)</f>
        <v>0.17899999999999999</v>
      </c>
      <c r="T145" s="7">
        <f>ROUND(6.5/E145,3)</f>
        <v>8.3000000000000004E-2</v>
      </c>
      <c r="U145" s="7">
        <f>ROUND(63/E145,3)</f>
        <v>0.80800000000000005</v>
      </c>
      <c r="V145" s="7">
        <f>ROUND(24/E145,3)</f>
        <v>0.308</v>
      </c>
      <c r="W145" s="7">
        <f>ROUND(6.69/E145,3)</f>
        <v>8.5999999999999993E-2</v>
      </c>
      <c r="X145" s="7">
        <v>0.57999999999999996</v>
      </c>
      <c r="Y145" s="7">
        <v>0.56999999999999995</v>
      </c>
      <c r="Z145" s="7">
        <v>0.57999999999999996</v>
      </c>
      <c r="AA145" s="7">
        <f>ROUND(46.72/E145,3)</f>
        <v>0.59899999999999998</v>
      </c>
      <c r="AB145" s="7">
        <f>ROUND(6/E145,3)</f>
        <v>7.6999999999999999E-2</v>
      </c>
      <c r="AC145" s="7">
        <v>8482730</v>
      </c>
    </row>
    <row r="146" spans="1:29" ht="15" customHeight="1" x14ac:dyDescent="0.2">
      <c r="A146" s="7" t="s">
        <v>455</v>
      </c>
      <c r="B146" s="7" t="s">
        <v>376</v>
      </c>
      <c r="C146" s="7" t="s">
        <v>102</v>
      </c>
      <c r="D146" s="7">
        <v>29</v>
      </c>
      <c r="E146" s="7">
        <v>67</v>
      </c>
      <c r="F146" s="7">
        <f>ROUND(7/E146,3)</f>
        <v>0.104</v>
      </c>
      <c r="G146" s="7">
        <f>ROUND(50/E146,3)</f>
        <v>0.746</v>
      </c>
      <c r="H146" s="7">
        <f>ROUND(128/E146,3)</f>
        <v>1.91</v>
      </c>
      <c r="I146" s="7">
        <f>ROUND(6/E146,3)</f>
        <v>0.09</v>
      </c>
      <c r="J146" s="7">
        <f>ROUND(82/E146,3)</f>
        <v>1.224</v>
      </c>
      <c r="K146" s="7">
        <f t="shared" si="5"/>
        <v>8.4870000000000001</v>
      </c>
      <c r="L146" s="7">
        <f>ROUND(1473.4666666667/E146,3)</f>
        <v>21.992000000000001</v>
      </c>
      <c r="M146" s="7">
        <f>ROUND(26/E146,3)</f>
        <v>0.38800000000000001</v>
      </c>
      <c r="N146" s="7" t="s">
        <v>1228</v>
      </c>
      <c r="O146" s="7" t="s">
        <v>1229</v>
      </c>
      <c r="P146" s="7">
        <f>ROUND(333/E146,3)</f>
        <v>4.97</v>
      </c>
      <c r="Q146" s="7">
        <f>ROUND(185/E146,3)</f>
        <v>2.7610000000000001</v>
      </c>
      <c r="R146" s="7">
        <f>ROUND(99/E146,3)</f>
        <v>1.478</v>
      </c>
      <c r="S146" s="7">
        <f>ROUND(7/E146,3)</f>
        <v>0.104</v>
      </c>
      <c r="T146" s="7">
        <f>ROUND(7.19/E146,3)</f>
        <v>0.107</v>
      </c>
      <c r="U146" s="7">
        <f>ROUND(105/E146,3)</f>
        <v>1.5669999999999999</v>
      </c>
      <c r="V146" s="7">
        <f>ROUND(28/E146,3)</f>
        <v>0.41799999999999998</v>
      </c>
      <c r="W146" s="7">
        <f>ROUND(7.36/E146,3)</f>
        <v>0.11</v>
      </c>
      <c r="X146" s="7">
        <v>0.63</v>
      </c>
      <c r="Y146" s="7">
        <v>0.57999999999999996</v>
      </c>
      <c r="Z146" s="7">
        <v>0.57999999999999996</v>
      </c>
      <c r="AA146" s="7">
        <f>ROUND(57.35/E146,3)</f>
        <v>0.85599999999999998</v>
      </c>
      <c r="AB146" s="7">
        <f>ROUND(4/E146,3)</f>
        <v>0.06</v>
      </c>
      <c r="AC146" s="7">
        <v>8477447</v>
      </c>
    </row>
    <row r="147" spans="1:29" ht="15" customHeight="1" x14ac:dyDescent="0.2">
      <c r="A147" s="7" t="s">
        <v>458</v>
      </c>
      <c r="B147" s="7" t="s">
        <v>376</v>
      </c>
      <c r="C147" s="7" t="s">
        <v>146</v>
      </c>
      <c r="D147" s="7">
        <v>33</v>
      </c>
      <c r="E147" s="7">
        <v>77</v>
      </c>
      <c r="F147" s="7">
        <f>ROUND(4/E147,3)</f>
        <v>5.1999999999999998E-2</v>
      </c>
      <c r="G147" s="7">
        <f>ROUND(25/E147,3)</f>
        <v>0.32500000000000001</v>
      </c>
      <c r="H147" s="7">
        <f>ROUND(118/E147,3)</f>
        <v>1.532</v>
      </c>
      <c r="I147" s="7">
        <f>ROUND(108/E147,3)</f>
        <v>1.403</v>
      </c>
      <c r="J147" s="7">
        <f>ROUND(83/E147,3)</f>
        <v>1.0780000000000001</v>
      </c>
      <c r="K147" s="7">
        <f t="shared" si="5"/>
        <v>5.6775000000000002</v>
      </c>
      <c r="L147" s="7">
        <f>ROUND(1622.2833333333/E147,3)</f>
        <v>21.068999999999999</v>
      </c>
      <c r="M147" s="7">
        <f>ROUND(52/E147,3)</f>
        <v>0.67500000000000004</v>
      </c>
      <c r="N147" s="7" t="s">
        <v>1230</v>
      </c>
      <c r="O147" s="7" t="s">
        <v>1231</v>
      </c>
      <c r="P147" s="7">
        <f>ROUND(288/E147,3)</f>
        <v>3.74</v>
      </c>
      <c r="Q147" s="7">
        <f>ROUND(187/E147,3)</f>
        <v>2.4289999999999998</v>
      </c>
      <c r="R147" s="7">
        <f>ROUND(70/E147,3)</f>
        <v>0.90900000000000003</v>
      </c>
      <c r="S147" s="7">
        <f>ROUND(8/E147,3)</f>
        <v>0.104</v>
      </c>
      <c r="T147" s="7">
        <f>ROUND(6.24/E147,3)</f>
        <v>8.1000000000000003E-2</v>
      </c>
      <c r="U147" s="7">
        <f>ROUND(95/E147,3)</f>
        <v>1.234</v>
      </c>
      <c r="V147" s="7">
        <f>ROUND(28/E147,3)</f>
        <v>0.36399999999999999</v>
      </c>
      <c r="W147" s="7">
        <f>ROUND(5.64/E147,3)</f>
        <v>7.2999999999999995E-2</v>
      </c>
      <c r="X147" s="7">
        <v>0.54</v>
      </c>
      <c r="Y147" s="7">
        <v>0.5</v>
      </c>
      <c r="Z147" s="7">
        <v>0.5</v>
      </c>
      <c r="AA147" s="7">
        <f>ROUND(26.8/E147,3)</f>
        <v>0.34799999999999998</v>
      </c>
      <c r="AB147" s="7">
        <f>ROUND(2/E147,3)</f>
        <v>2.5999999999999999E-2</v>
      </c>
      <c r="AC147" s="7">
        <v>8475171</v>
      </c>
    </row>
    <row r="148" spans="1:29" ht="15" customHeight="1" x14ac:dyDescent="0.2">
      <c r="A148" s="7" t="s">
        <v>461</v>
      </c>
      <c r="B148" s="7" t="s">
        <v>376</v>
      </c>
      <c r="C148" s="7" t="s">
        <v>153</v>
      </c>
      <c r="D148" s="7">
        <v>31</v>
      </c>
      <c r="E148" s="7">
        <v>64</v>
      </c>
      <c r="F148" s="7">
        <f>ROUND(9/E148,3)</f>
        <v>0.14099999999999999</v>
      </c>
      <c r="G148" s="7">
        <f>ROUND(31/E148,3)</f>
        <v>0.48399999999999999</v>
      </c>
      <c r="H148" s="7">
        <f>ROUND(186/E148,3)</f>
        <v>2.9060000000000001</v>
      </c>
      <c r="I148" s="7">
        <f>ROUND(73/E148,3)</f>
        <v>1.141</v>
      </c>
      <c r="J148" s="7">
        <f>ROUND(85/E148,3)</f>
        <v>1.3280000000000001</v>
      </c>
      <c r="K148" s="7">
        <f t="shared" si="5"/>
        <v>8.8365000000000009</v>
      </c>
      <c r="L148" s="7">
        <f>ROUND(1270.7666666667/E148,3)</f>
        <v>19.856000000000002</v>
      </c>
      <c r="M148" s="7">
        <f>ROUND(30/E148,3)</f>
        <v>0.46899999999999997</v>
      </c>
      <c r="N148" s="7" t="s">
        <v>1232</v>
      </c>
      <c r="O148" s="7" t="s">
        <v>1233</v>
      </c>
      <c r="P148" s="7">
        <f>ROUND(424/E148,3)</f>
        <v>6.625</v>
      </c>
      <c r="Q148" s="7">
        <f>ROUND(278/E148,3)</f>
        <v>4.3440000000000003</v>
      </c>
      <c r="R148" s="7">
        <f>ROUND(141/E148,3)</f>
        <v>2.2029999999999998</v>
      </c>
      <c r="S148" s="7">
        <f>ROUND(15/E148,3)</f>
        <v>0.23400000000000001</v>
      </c>
      <c r="T148" s="7">
        <f>ROUND(10.97/E148,3)</f>
        <v>0.17100000000000001</v>
      </c>
      <c r="U148" s="7">
        <f>ROUND(94/E148,3)</f>
        <v>1.4690000000000001</v>
      </c>
      <c r="V148" s="7">
        <f>ROUND(20/E148,3)</f>
        <v>0.313</v>
      </c>
      <c r="W148" s="7">
        <f>ROUND(12.29/E148,3)</f>
        <v>0.192</v>
      </c>
      <c r="X148" s="7">
        <v>0.63</v>
      </c>
      <c r="Y148" s="7">
        <v>0.59</v>
      </c>
      <c r="Z148" s="7">
        <v>0.59</v>
      </c>
      <c r="AA148" s="7">
        <f>ROUND(49.7/E148,3)</f>
        <v>0.77700000000000002</v>
      </c>
      <c r="AB148" s="7">
        <f>ROUND(12/E148,3)</f>
        <v>0.188</v>
      </c>
      <c r="AC148" s="7">
        <v>8476462</v>
      </c>
    </row>
    <row r="149" spans="1:29" ht="15" customHeight="1" x14ac:dyDescent="0.2">
      <c r="A149" s="7" t="s">
        <v>463</v>
      </c>
      <c r="B149" s="7" t="s">
        <v>376</v>
      </c>
      <c r="C149" s="7" t="s">
        <v>220</v>
      </c>
      <c r="D149" s="7">
        <v>28</v>
      </c>
      <c r="E149" s="7">
        <v>82</v>
      </c>
      <c r="F149" s="7">
        <f>ROUND(8/E149,3)</f>
        <v>9.8000000000000004E-2</v>
      </c>
      <c r="G149" s="7">
        <f>ROUND(22/E149,3)</f>
        <v>0.26800000000000002</v>
      </c>
      <c r="H149" s="7">
        <f>ROUND(139/E149,3)</f>
        <v>1.6950000000000001</v>
      </c>
      <c r="I149" s="7">
        <f>ROUND(84/E149,3)</f>
        <v>1.024</v>
      </c>
      <c r="J149" s="7">
        <f>ROUND(170/E149,3)</f>
        <v>2.073</v>
      </c>
      <c r="K149" s="7">
        <f t="shared" si="5"/>
        <v>6.6720000000000006</v>
      </c>
      <c r="L149" s="7">
        <f>ROUND(2008.6166666667/E149,3)</f>
        <v>24.495000000000001</v>
      </c>
      <c r="M149" s="7">
        <f>ROUND(40/E149,3)</f>
        <v>0.48799999999999999</v>
      </c>
      <c r="N149" s="7" t="s">
        <v>1234</v>
      </c>
      <c r="O149" s="7" t="s">
        <v>1198</v>
      </c>
      <c r="P149" s="7">
        <f>ROUND(306/E149,3)</f>
        <v>3.7320000000000002</v>
      </c>
      <c r="Q149" s="7">
        <f>ROUND(213/E149,3)</f>
        <v>2.5979999999999999</v>
      </c>
      <c r="R149" s="7">
        <f>ROUND(121/E149,3)</f>
        <v>1.476</v>
      </c>
      <c r="S149" s="7">
        <f>ROUND(27/E149,3)</f>
        <v>0.32900000000000001</v>
      </c>
      <c r="T149" s="7">
        <f>ROUND(10.21/E149,3)</f>
        <v>0.125</v>
      </c>
      <c r="U149" s="7">
        <f>ROUND(127/E149,3)</f>
        <v>1.5489999999999999</v>
      </c>
      <c r="V149" s="7">
        <f>ROUND(51/E149,3)</f>
        <v>0.622</v>
      </c>
      <c r="W149" s="7">
        <f>ROUND(11.3/E149,3)</f>
        <v>0.13800000000000001</v>
      </c>
      <c r="X149" s="7">
        <v>0.5</v>
      </c>
      <c r="Y149" s="7">
        <v>0.46</v>
      </c>
      <c r="Z149" s="7">
        <v>0.48</v>
      </c>
      <c r="AA149" s="7">
        <f>ROUND(31.97/E149,3)</f>
        <v>0.39</v>
      </c>
      <c r="AB149" s="7">
        <f>ROUND(10/E149,3)</f>
        <v>0.122</v>
      </c>
      <c r="AC149" s="7">
        <v>8477948</v>
      </c>
    </row>
    <row r="150" spans="1:29" ht="15" customHeight="1" x14ac:dyDescent="0.2">
      <c r="A150" s="7" t="s">
        <v>466</v>
      </c>
      <c r="B150" s="7" t="s">
        <v>376</v>
      </c>
      <c r="C150" s="7" t="s">
        <v>131</v>
      </c>
      <c r="D150" s="7">
        <v>24</v>
      </c>
      <c r="E150" s="7">
        <v>74</v>
      </c>
      <c r="F150" s="7">
        <f>ROUND(7/E150,3)</f>
        <v>9.5000000000000001E-2</v>
      </c>
      <c r="G150" s="7">
        <f>ROUND(20/E150,3)</f>
        <v>0.27</v>
      </c>
      <c r="H150" s="7">
        <f>ROUND(110/E150,3)</f>
        <v>1.486</v>
      </c>
      <c r="I150" s="7">
        <f>ROUND(106/E150,3)</f>
        <v>1.4319999999999999</v>
      </c>
      <c r="J150" s="7">
        <f>ROUND(110/E150,3)</f>
        <v>1.486</v>
      </c>
      <c r="K150" s="7">
        <f t="shared" si="5"/>
        <v>6.0679999999999996</v>
      </c>
      <c r="L150" s="7">
        <f>ROUND(1624.05/E150,3)</f>
        <v>21.946999999999999</v>
      </c>
      <c r="M150" s="7">
        <f>ROUND(22/E150,3)</f>
        <v>0.29699999999999999</v>
      </c>
      <c r="N150" s="7" t="s">
        <v>1235</v>
      </c>
      <c r="O150" s="7" t="s">
        <v>1236</v>
      </c>
      <c r="P150" s="7">
        <f>ROUND(261/E150,3)</f>
        <v>3.5270000000000001</v>
      </c>
      <c r="Q150" s="7">
        <f>ROUND(167/E150,3)</f>
        <v>2.2570000000000001</v>
      </c>
      <c r="R150" s="7">
        <f>ROUND(76/E150,3)</f>
        <v>1.0269999999999999</v>
      </c>
      <c r="S150" s="7">
        <f>ROUND(10/E150,3)</f>
        <v>0.13500000000000001</v>
      </c>
      <c r="T150" s="7">
        <f>ROUND(5.65/E150,3)</f>
        <v>7.5999999999999998E-2</v>
      </c>
      <c r="U150" s="7">
        <f>ROUND(97/E150,3)</f>
        <v>1.3109999999999999</v>
      </c>
      <c r="V150" s="7">
        <f>ROUND(47/E150,3)</f>
        <v>0.63500000000000001</v>
      </c>
      <c r="W150" s="7">
        <f>ROUND(5.77/E150,3)</f>
        <v>7.8E-2</v>
      </c>
      <c r="X150" s="7">
        <v>0.48</v>
      </c>
      <c r="Y150" s="7">
        <v>0.48</v>
      </c>
      <c r="Z150" s="7">
        <v>0.48</v>
      </c>
      <c r="AA150" s="7">
        <f>ROUND(29.05/E150,3)</f>
        <v>0.39300000000000002</v>
      </c>
      <c r="AB150" s="7">
        <f>ROUND(4/E150,3)</f>
        <v>5.3999999999999999E-2</v>
      </c>
      <c r="AC150" s="7">
        <v>8480817</v>
      </c>
    </row>
    <row r="151" spans="1:29" ht="15" customHeight="1" x14ac:dyDescent="0.2">
      <c r="A151" s="7" t="s">
        <v>469</v>
      </c>
      <c r="B151" s="7" t="s">
        <v>376</v>
      </c>
      <c r="C151" s="7" t="s">
        <v>76</v>
      </c>
      <c r="D151" s="7">
        <v>30</v>
      </c>
      <c r="E151" s="7">
        <v>80</v>
      </c>
      <c r="F151" s="7">
        <f>ROUND(6/E151,3)</f>
        <v>7.4999999999999997E-2</v>
      </c>
      <c r="G151" s="7">
        <f>ROUND(25/E151,3)</f>
        <v>0.313</v>
      </c>
      <c r="H151" s="7">
        <f>ROUND(149/E151,3)</f>
        <v>1.863</v>
      </c>
      <c r="I151" s="7">
        <f>ROUND(59/E151,3)</f>
        <v>0.73799999999999999</v>
      </c>
      <c r="J151" s="7">
        <f>ROUND(168/E151,3)</f>
        <v>2.1</v>
      </c>
      <c r="K151" s="7">
        <f t="shared" si="5"/>
        <v>6.8100000000000005</v>
      </c>
      <c r="L151" s="7">
        <f>ROUND(2006.45/E151,3)</f>
        <v>25.081</v>
      </c>
      <c r="M151" s="7">
        <f>ROUND(51/E151,3)</f>
        <v>0.63800000000000001</v>
      </c>
      <c r="N151" s="7" t="s">
        <v>1237</v>
      </c>
      <c r="O151" s="7" t="s">
        <v>1238</v>
      </c>
      <c r="P151" s="7">
        <f>ROUND(366/E151,3)</f>
        <v>4.5750000000000002</v>
      </c>
      <c r="Q151" s="7">
        <f>ROUND(217/E151,3)</f>
        <v>2.7130000000000001</v>
      </c>
      <c r="R151" s="7">
        <f>ROUND(90/E151,3)</f>
        <v>1.125</v>
      </c>
      <c r="S151" s="7">
        <f>ROUND(17/E151,3)</f>
        <v>0.21299999999999999</v>
      </c>
      <c r="T151" s="7">
        <f>ROUND(9.29/E151,3)</f>
        <v>0.11600000000000001</v>
      </c>
      <c r="U151" s="7">
        <f>ROUND(107/E151,3)</f>
        <v>1.3380000000000001</v>
      </c>
      <c r="V151" s="7">
        <f>ROUND(43/E151,3)</f>
        <v>0.53800000000000003</v>
      </c>
      <c r="W151" s="7">
        <f>ROUND(9.14/E151,3)</f>
        <v>0.114</v>
      </c>
      <c r="X151" s="7">
        <v>0.42</v>
      </c>
      <c r="Y151" s="7">
        <v>0.43</v>
      </c>
      <c r="Z151" s="7">
        <v>0.43</v>
      </c>
      <c r="AA151" s="7">
        <f>ROUND(28.37/E151,3)</f>
        <v>0.35499999999999998</v>
      </c>
      <c r="AB151" s="7">
        <f>ROUND(7/E151,3)</f>
        <v>8.7999999999999995E-2</v>
      </c>
      <c r="AC151" s="7">
        <v>8476875</v>
      </c>
    </row>
    <row r="152" spans="1:29" ht="15" customHeight="1" x14ac:dyDescent="0.2">
      <c r="A152" s="7" t="s">
        <v>472</v>
      </c>
      <c r="B152" s="7" t="s">
        <v>376</v>
      </c>
      <c r="C152" s="7" t="s">
        <v>80</v>
      </c>
      <c r="D152" s="7">
        <v>33</v>
      </c>
      <c r="E152" s="7">
        <v>76</v>
      </c>
      <c r="F152" s="7">
        <f>ROUND(6/E152,3)</f>
        <v>7.9000000000000001E-2</v>
      </c>
      <c r="G152" s="7">
        <f>ROUND(22/E152,3)</f>
        <v>0.28899999999999998</v>
      </c>
      <c r="H152" s="7">
        <f>ROUND(117/E152,3)</f>
        <v>1.5389999999999999</v>
      </c>
      <c r="I152" s="7">
        <f>ROUND(101/E152,3)</f>
        <v>1.329</v>
      </c>
      <c r="J152" s="7">
        <f>ROUND(60/E152,3)</f>
        <v>0.78900000000000003</v>
      </c>
      <c r="K152" s="7">
        <f t="shared" si="5"/>
        <v>5.3585000000000003</v>
      </c>
      <c r="L152" s="7">
        <f>ROUND(1519.7333333333/E152,3)</f>
        <v>19.995999999999999</v>
      </c>
      <c r="M152" s="7">
        <f>ROUND(24/E152,3)</f>
        <v>0.316</v>
      </c>
      <c r="N152" s="7" t="s">
        <v>1239</v>
      </c>
      <c r="O152" s="7" t="s">
        <v>691</v>
      </c>
      <c r="P152" s="7">
        <f>ROUND(310/E152,3)</f>
        <v>4.0789999999999997</v>
      </c>
      <c r="Q152" s="7">
        <f>ROUND(197/E152,3)</f>
        <v>2.5920000000000001</v>
      </c>
      <c r="R152" s="7">
        <f>ROUND(94/E152,3)</f>
        <v>1.2370000000000001</v>
      </c>
      <c r="S152" s="7">
        <f>ROUND(9/E152,3)</f>
        <v>0.11799999999999999</v>
      </c>
      <c r="T152" s="7">
        <f>ROUND(6.62/E152,3)</f>
        <v>8.6999999999999994E-2</v>
      </c>
      <c r="U152" s="7">
        <f>ROUND(98/E152,3)</f>
        <v>1.2889999999999999</v>
      </c>
      <c r="V152" s="7">
        <f>ROUND(21/E152,3)</f>
        <v>0.27600000000000002</v>
      </c>
      <c r="W152" s="7">
        <f>ROUND(6.7/E152,3)</f>
        <v>8.7999999999999995E-2</v>
      </c>
      <c r="X152" s="7">
        <v>0.5</v>
      </c>
      <c r="Y152" s="7">
        <v>0.55000000000000004</v>
      </c>
      <c r="Z152" s="7">
        <v>0.53</v>
      </c>
      <c r="AA152" s="7">
        <f>ROUND(53.13/E152,3)</f>
        <v>0.69899999999999995</v>
      </c>
      <c r="AB152" s="7">
        <f>ROUND(3/E152,3)</f>
        <v>3.9E-2</v>
      </c>
      <c r="AC152" s="7">
        <v>8475200</v>
      </c>
    </row>
    <row r="153" spans="1:29" ht="15" customHeight="1" x14ac:dyDescent="0.2">
      <c r="A153" s="7" t="s">
        <v>475</v>
      </c>
      <c r="B153" s="7" t="s">
        <v>376</v>
      </c>
      <c r="C153" s="7" t="s">
        <v>146</v>
      </c>
      <c r="D153" s="7">
        <v>30</v>
      </c>
      <c r="E153" s="7">
        <v>82</v>
      </c>
      <c r="F153" s="7">
        <f>ROUND(7/E153,3)</f>
        <v>8.5000000000000006E-2</v>
      </c>
      <c r="G153" s="7">
        <f>ROUND(34/E153,3)</f>
        <v>0.41499999999999998</v>
      </c>
      <c r="H153" s="7">
        <f>ROUND(126/E153,3)</f>
        <v>1.5369999999999999</v>
      </c>
      <c r="I153" s="7">
        <f>ROUND(21/E153,3)</f>
        <v>0.25600000000000001</v>
      </c>
      <c r="J153" s="7">
        <f>ROUND(131/E153,3)</f>
        <v>1.5980000000000001</v>
      </c>
      <c r="K153" s="7">
        <f t="shared" si="5"/>
        <v>6.4329999999999998</v>
      </c>
      <c r="L153" s="7">
        <f>ROUND(1753.8666666667/E153,3)</f>
        <v>21.388999999999999</v>
      </c>
      <c r="M153" s="7">
        <f>ROUND(21/E153,3)</f>
        <v>0.25600000000000001</v>
      </c>
      <c r="N153" s="7" t="s">
        <v>1240</v>
      </c>
      <c r="O153" s="7" t="s">
        <v>955</v>
      </c>
      <c r="P153" s="7">
        <f>ROUND(303/E153,3)</f>
        <v>3.6949999999999998</v>
      </c>
      <c r="Q153" s="7">
        <f>ROUND(198/E153,3)</f>
        <v>2.415</v>
      </c>
      <c r="R153" s="7">
        <f>ROUND(92/E153,3)</f>
        <v>1.1220000000000001</v>
      </c>
      <c r="S153" s="7">
        <f>ROUND(11/E153,3)</f>
        <v>0.13400000000000001</v>
      </c>
      <c r="T153" s="7">
        <f>ROUND(6.1/E153,3)</f>
        <v>7.3999999999999996E-2</v>
      </c>
      <c r="U153" s="7">
        <f>ROUND(99/E153,3)</f>
        <v>1.2070000000000001</v>
      </c>
      <c r="V153" s="7">
        <f>ROUND(20/E153,3)</f>
        <v>0.24399999999999999</v>
      </c>
      <c r="W153" s="7">
        <f>ROUND(5.48/E153,3)</f>
        <v>6.7000000000000004E-2</v>
      </c>
      <c r="X153" s="7">
        <v>0.53</v>
      </c>
      <c r="Y153" s="7">
        <v>0.51</v>
      </c>
      <c r="Z153" s="7">
        <v>0.52</v>
      </c>
      <c r="AA153" s="7">
        <f>ROUND(35.75/E153,3)</f>
        <v>0.436</v>
      </c>
      <c r="AB153" s="7">
        <f>ROUND(1/E153,3)</f>
        <v>1.2E-2</v>
      </c>
      <c r="AC153" s="7">
        <v>8476853</v>
      </c>
    </row>
    <row r="154" spans="1:29" ht="15" customHeight="1" x14ac:dyDescent="0.2">
      <c r="A154" s="7" t="s">
        <v>478</v>
      </c>
      <c r="B154" s="7" t="s">
        <v>376</v>
      </c>
      <c r="C154" s="7" t="s">
        <v>93</v>
      </c>
      <c r="D154" s="7">
        <v>23</v>
      </c>
      <c r="E154" s="7">
        <v>78</v>
      </c>
      <c r="F154" s="7">
        <f>ROUND(16/E154,3)</f>
        <v>0.20499999999999999</v>
      </c>
      <c r="G154" s="7">
        <f>ROUND(34/E154,3)</f>
        <v>0.436</v>
      </c>
      <c r="H154" s="7">
        <f>ROUND(171/E154,3)</f>
        <v>2.1920000000000002</v>
      </c>
      <c r="I154" s="7">
        <f>ROUND(33/E154,3)</f>
        <v>0.42299999999999999</v>
      </c>
      <c r="J154" s="7">
        <f>ROUND(110/E154,3)</f>
        <v>1.41</v>
      </c>
      <c r="K154" s="7">
        <f t="shared" si="5"/>
        <v>8.0694999999999997</v>
      </c>
      <c r="L154" s="7">
        <f>ROUND(1823.8166666667/E154,3)</f>
        <v>23.382000000000001</v>
      </c>
      <c r="M154" s="7">
        <f>ROUND(16/E154,3)</f>
        <v>0.20499999999999999</v>
      </c>
      <c r="N154" s="7" t="s">
        <v>482</v>
      </c>
      <c r="O154" s="7" t="s">
        <v>1241</v>
      </c>
      <c r="P154" s="7">
        <f>ROUND(396/E154,3)</f>
        <v>5.077</v>
      </c>
      <c r="Q154" s="7">
        <f>ROUND(249/E154,3)</f>
        <v>3.1920000000000002</v>
      </c>
      <c r="R154" s="7">
        <f>ROUND(121/E154,3)</f>
        <v>1.5509999999999999</v>
      </c>
      <c r="S154" s="7">
        <f>ROUND(17/E154,3)</f>
        <v>0.218</v>
      </c>
      <c r="T154" s="7">
        <f>ROUND(9.57/E154,3)</f>
        <v>0.123</v>
      </c>
      <c r="U154" s="7">
        <f>ROUND(118/E154,3)</f>
        <v>1.5129999999999999</v>
      </c>
      <c r="V154" s="7">
        <f>ROUND(29/E154,3)</f>
        <v>0.372</v>
      </c>
      <c r="W154" s="7">
        <f>ROUND(9.84/E154,3)</f>
        <v>0.126</v>
      </c>
      <c r="X154" s="7">
        <v>0.56000000000000005</v>
      </c>
      <c r="Y154" s="7">
        <v>0.54</v>
      </c>
      <c r="Z154" s="7">
        <v>0.53</v>
      </c>
      <c r="AA154" s="7">
        <f>ROUND(61.42/E154,3)</f>
        <v>0.78700000000000003</v>
      </c>
      <c r="AB154" s="7">
        <f>ROUND(6/E154,3)</f>
        <v>7.6999999999999999E-2</v>
      </c>
      <c r="AC154" s="7">
        <v>8481581</v>
      </c>
    </row>
    <row r="155" spans="1:29" ht="15" customHeight="1" x14ac:dyDescent="0.2">
      <c r="A155" s="7" t="s">
        <v>481</v>
      </c>
      <c r="B155" s="7" t="s">
        <v>376</v>
      </c>
      <c r="C155" s="7" t="s">
        <v>1049</v>
      </c>
      <c r="D155" s="7">
        <v>27</v>
      </c>
      <c r="E155" s="7">
        <v>35</v>
      </c>
      <c r="F155" s="7">
        <f>ROUND(1/E155,3)</f>
        <v>2.9000000000000001E-2</v>
      </c>
      <c r="G155" s="7">
        <f>ROUND(13/E155,3)</f>
        <v>0.371</v>
      </c>
      <c r="H155" s="7">
        <f>ROUND(30/E155,3)</f>
        <v>0.85699999999999998</v>
      </c>
      <c r="I155" s="7">
        <f>ROUND(9/E155,3)</f>
        <v>0.25700000000000001</v>
      </c>
      <c r="J155" s="7">
        <f>ROUND(46/E155,3)</f>
        <v>1.3140000000000001</v>
      </c>
      <c r="K155" s="7">
        <f t="shared" si="5"/>
        <v>4.7575000000000003</v>
      </c>
      <c r="L155" s="7">
        <f>ROUND(740.85/E155,3)</f>
        <v>21.167000000000002</v>
      </c>
      <c r="M155" s="7">
        <f>ROUND(2/E155,3)</f>
        <v>5.7000000000000002E-2</v>
      </c>
      <c r="N155" s="7" t="s">
        <v>521</v>
      </c>
      <c r="O155" s="7" t="s">
        <v>1242</v>
      </c>
      <c r="P155" s="7">
        <f>ROUND(76/E155,3)</f>
        <v>2.1709999999999998</v>
      </c>
      <c r="Q155" s="7">
        <f>ROUND(42/E155,3)</f>
        <v>1.2</v>
      </c>
      <c r="R155" s="7">
        <f>ROUND(22/E155,3)</f>
        <v>0.629</v>
      </c>
      <c r="S155" s="7">
        <f>ROUND(4/E155,3)</f>
        <v>0.114</v>
      </c>
      <c r="T155" s="7">
        <f>ROUND(1.7/E155,3)</f>
        <v>4.9000000000000002E-2</v>
      </c>
      <c r="U155" s="7">
        <f>ROUND(32/E155,3)</f>
        <v>0.91400000000000003</v>
      </c>
      <c r="V155" s="7">
        <f>ROUND(10/E155,3)</f>
        <v>0.28599999999999998</v>
      </c>
      <c r="W155" s="7">
        <f>ROUND(1.79/E155,3)</f>
        <v>5.0999999999999997E-2</v>
      </c>
      <c r="X155" s="7">
        <v>0.46</v>
      </c>
      <c r="Y155" s="7">
        <v>0.5</v>
      </c>
      <c r="Z155" s="7">
        <v>0.5</v>
      </c>
      <c r="AA155" s="7">
        <f>ROUND(18.95/E155,3)</f>
        <v>0.54100000000000004</v>
      </c>
      <c r="AB155" s="7">
        <f>ROUND(2/E155,3)</f>
        <v>5.7000000000000002E-2</v>
      </c>
      <c r="AC155" s="7">
        <v>8478507</v>
      </c>
    </row>
    <row r="156" spans="1:29" ht="15" customHeight="1" x14ac:dyDescent="0.2">
      <c r="A156" s="7" t="s">
        <v>484</v>
      </c>
      <c r="B156" s="7" t="s">
        <v>376</v>
      </c>
      <c r="C156" s="7" t="s">
        <v>184</v>
      </c>
      <c r="D156" s="7">
        <v>28</v>
      </c>
      <c r="E156" s="7">
        <v>82</v>
      </c>
      <c r="F156" s="7">
        <f>ROUND(5/E156,3)</f>
        <v>6.0999999999999999E-2</v>
      </c>
      <c r="G156" s="7">
        <f>ROUND(25/E156,3)</f>
        <v>0.30499999999999999</v>
      </c>
      <c r="H156" s="7">
        <f>ROUND(112/E156,3)</f>
        <v>1.3660000000000001</v>
      </c>
      <c r="I156" s="7">
        <f>ROUND(50/E156,3)</f>
        <v>0.61</v>
      </c>
      <c r="J156" s="7">
        <f>ROUND(140/E156,3)</f>
        <v>1.7070000000000001</v>
      </c>
      <c r="K156" s="7">
        <f t="shared" si="5"/>
        <v>5.6959999999999997</v>
      </c>
      <c r="L156" s="7">
        <f>ROUND(1893.1/E156,3)</f>
        <v>23.087</v>
      </c>
      <c r="M156" s="7">
        <f>ROUND(28/E156,3)</f>
        <v>0.34100000000000003</v>
      </c>
      <c r="N156" s="7" t="s">
        <v>125</v>
      </c>
      <c r="O156" s="7" t="s">
        <v>1243</v>
      </c>
      <c r="P156" s="7">
        <f>ROUND(285/E156,3)</f>
        <v>3.476</v>
      </c>
      <c r="Q156" s="7">
        <f>ROUND(169/E156,3)</f>
        <v>2.0609999999999999</v>
      </c>
      <c r="R156" s="7">
        <f>ROUND(72/E156,3)</f>
        <v>0.878</v>
      </c>
      <c r="S156" s="7">
        <f>ROUND(13/E156,3)</f>
        <v>0.159</v>
      </c>
      <c r="T156" s="7">
        <f>ROUND(7.08/E156,3)</f>
        <v>8.5999999999999993E-2</v>
      </c>
      <c r="U156" s="7">
        <f>ROUND(69/E156,3)</f>
        <v>0.84099999999999997</v>
      </c>
      <c r="V156" s="7">
        <f>ROUND(22/E156,3)</f>
        <v>0.26800000000000002</v>
      </c>
      <c r="W156" s="7">
        <f>ROUND(5.98/E156,3)</f>
        <v>7.2999999999999995E-2</v>
      </c>
      <c r="X156" s="7">
        <v>0.5</v>
      </c>
      <c r="Y156" s="7">
        <v>0.49</v>
      </c>
      <c r="Z156" s="7">
        <v>0.48</v>
      </c>
      <c r="AA156" s="7">
        <f>ROUND(50.05/E156,3)</f>
        <v>0.61</v>
      </c>
      <c r="AB156" s="7">
        <f>ROUND(3/E156,3)</f>
        <v>3.6999999999999998E-2</v>
      </c>
      <c r="AC156" s="7">
        <v>8478882</v>
      </c>
    </row>
    <row r="157" spans="1:29" ht="15" customHeight="1" x14ac:dyDescent="0.2">
      <c r="A157" s="7" t="s">
        <v>486</v>
      </c>
      <c r="B157" s="7" t="s">
        <v>376</v>
      </c>
      <c r="C157" s="7" t="s">
        <v>80</v>
      </c>
      <c r="D157" s="7">
        <v>39</v>
      </c>
      <c r="E157" s="7">
        <v>82</v>
      </c>
      <c r="F157" s="7">
        <f>ROUND(6/E157,3)</f>
        <v>7.2999999999999995E-2</v>
      </c>
      <c r="G157" s="7">
        <f>ROUND(23/E157,3)</f>
        <v>0.28000000000000003</v>
      </c>
      <c r="H157" s="7">
        <f>ROUND(174/E157,3)</f>
        <v>2.1219999999999999</v>
      </c>
      <c r="I157" s="7">
        <f>ROUND(11/E157,3)</f>
        <v>0.13400000000000001</v>
      </c>
      <c r="J157" s="7">
        <f>ROUND(98/E157,3)</f>
        <v>1.1950000000000001</v>
      </c>
      <c r="K157" s="7">
        <f t="shared" si="5"/>
        <v>5.6480000000000006</v>
      </c>
      <c r="L157" s="7">
        <f>ROUND(1718.3666666667/E157,3)</f>
        <v>20.956</v>
      </c>
      <c r="M157" s="7">
        <f>ROUND(28/E157,3)</f>
        <v>0.34100000000000003</v>
      </c>
      <c r="N157" s="7" t="s">
        <v>1244</v>
      </c>
      <c r="O157" s="7" t="s">
        <v>498</v>
      </c>
      <c r="P157" s="7">
        <f>ROUND(461/E157,3)</f>
        <v>5.6219999999999999</v>
      </c>
      <c r="Q157" s="7">
        <f>ROUND(277/E157,3)</f>
        <v>3.3780000000000001</v>
      </c>
      <c r="R157" s="7">
        <f>ROUND(102/E157,3)</f>
        <v>1.244</v>
      </c>
      <c r="S157" s="7">
        <f>ROUND(8/E157,3)</f>
        <v>9.8000000000000004E-2</v>
      </c>
      <c r="T157" s="7">
        <f>ROUND(6.64/E157,3)</f>
        <v>8.1000000000000003E-2</v>
      </c>
      <c r="U157" s="7">
        <f>ROUND(104/E157,3)</f>
        <v>1.268</v>
      </c>
      <c r="V157" s="7">
        <f>ROUND(36/E157,3)</f>
        <v>0.439</v>
      </c>
      <c r="W157" s="7">
        <f>ROUND(7.11/E157,3)</f>
        <v>8.6999999999999994E-2</v>
      </c>
      <c r="X157" s="7">
        <v>0.53</v>
      </c>
      <c r="Y157" s="7">
        <v>0.56000000000000005</v>
      </c>
      <c r="Z157" s="7">
        <v>0.55000000000000004</v>
      </c>
      <c r="AA157" s="7">
        <f>ROUND(56.85/E157,3)</f>
        <v>0.69299999999999995</v>
      </c>
      <c r="AB157" s="7">
        <f>ROUND(4/E157,3)</f>
        <v>4.9000000000000002E-2</v>
      </c>
      <c r="AC157" s="7">
        <v>8470613</v>
      </c>
    </row>
    <row r="158" spans="1:29" ht="15" customHeight="1" x14ac:dyDescent="0.2">
      <c r="A158" s="7" t="s">
        <v>489</v>
      </c>
      <c r="B158" s="7" t="s">
        <v>376</v>
      </c>
      <c r="C158" s="7" t="s">
        <v>1245</v>
      </c>
      <c r="D158" s="7">
        <v>30</v>
      </c>
      <c r="E158" s="7">
        <v>77</v>
      </c>
      <c r="F158" s="7">
        <f>ROUND(1/E158,3)</f>
        <v>1.2999999999999999E-2</v>
      </c>
      <c r="G158" s="7">
        <f>ROUND(13/E158,3)</f>
        <v>0.16900000000000001</v>
      </c>
      <c r="H158" s="7">
        <f>ROUND(111/E158,3)</f>
        <v>1.4419999999999999</v>
      </c>
      <c r="I158" s="7">
        <f>ROUND(162/E158,3)</f>
        <v>2.1040000000000001</v>
      </c>
      <c r="J158" s="7">
        <f>ROUND(208/E158,3)</f>
        <v>2.7010000000000001</v>
      </c>
      <c r="K158" s="7">
        <f t="shared" si="5"/>
        <v>6.3130000000000006</v>
      </c>
      <c r="L158" s="7">
        <f>ROUND(1579.9/E158,3)</f>
        <v>20.518000000000001</v>
      </c>
      <c r="M158" s="7">
        <f>ROUND(66/E158,3)</f>
        <v>0.85699999999999998</v>
      </c>
      <c r="N158" s="7" t="s">
        <v>1246</v>
      </c>
      <c r="O158" s="7" t="s">
        <v>1247</v>
      </c>
      <c r="P158" s="7">
        <f>ROUND(268/E158,3)</f>
        <v>3.4809999999999999</v>
      </c>
      <c r="Q158" s="7">
        <f>ROUND(164/E158,3)</f>
        <v>2.13</v>
      </c>
      <c r="R158" s="7">
        <f>ROUND(52/E158,3)</f>
        <v>0.67500000000000004</v>
      </c>
      <c r="S158" s="7">
        <f>ROUND(7/E158,3)</f>
        <v>9.0999999999999998E-2</v>
      </c>
      <c r="T158" s="7">
        <f>ROUND(4.81/E158,3)</f>
        <v>6.2E-2</v>
      </c>
      <c r="U158" s="7">
        <f>ROUND(90/E158,3)</f>
        <v>1.169</v>
      </c>
      <c r="V158" s="7">
        <f>ROUND(29/E158,3)</f>
        <v>0.377</v>
      </c>
      <c r="W158" s="7">
        <f>ROUND(3.64/E158,3)</f>
        <v>4.7E-2</v>
      </c>
      <c r="X158" s="7">
        <v>0.4</v>
      </c>
      <c r="Y158" s="7">
        <v>0.41</v>
      </c>
      <c r="Z158" s="7">
        <v>0.41</v>
      </c>
      <c r="AA158" s="7">
        <f>ROUND(8.03/E158,3)</f>
        <v>0.104</v>
      </c>
      <c r="AB158" s="7">
        <f>ROUND(1/E158,3)</f>
        <v>1.2999999999999999E-2</v>
      </c>
      <c r="AC158" s="7">
        <v>8476885</v>
      </c>
    </row>
    <row r="159" spans="1:29" ht="15" customHeight="1" x14ac:dyDescent="0.2">
      <c r="A159" s="7" t="s">
        <v>492</v>
      </c>
      <c r="B159" s="7" t="s">
        <v>376</v>
      </c>
      <c r="C159" s="7" t="s">
        <v>153</v>
      </c>
      <c r="D159" s="7">
        <v>21</v>
      </c>
      <c r="E159" s="7">
        <v>71</v>
      </c>
      <c r="F159" s="7">
        <f>ROUND(7/E159,3)</f>
        <v>9.9000000000000005E-2</v>
      </c>
      <c r="G159" s="7">
        <f>ROUND(37/E159,3)</f>
        <v>0.52100000000000002</v>
      </c>
      <c r="H159" s="7">
        <f>ROUND(121/E159,3)</f>
        <v>1.704</v>
      </c>
      <c r="I159" s="7">
        <f>ROUND(19/E159,3)</f>
        <v>0.26800000000000002</v>
      </c>
      <c r="J159" s="7">
        <f>ROUND(60/E159,3)</f>
        <v>0.84499999999999997</v>
      </c>
      <c r="K159" s="7">
        <f t="shared" si="5"/>
        <v>6.601</v>
      </c>
      <c r="L159" s="7">
        <f>ROUND(1502.2166666667/E159,3)</f>
        <v>21.158000000000001</v>
      </c>
      <c r="M159" s="7">
        <f>ROUND(16/E159,3)</f>
        <v>0.22500000000000001</v>
      </c>
      <c r="N159" s="7" t="s">
        <v>883</v>
      </c>
      <c r="O159" s="7" t="s">
        <v>441</v>
      </c>
      <c r="P159" s="7">
        <f>ROUND(328/E159,3)</f>
        <v>4.62</v>
      </c>
      <c r="Q159" s="7">
        <f>ROUND(179/E159,3)</f>
        <v>2.5209999999999999</v>
      </c>
      <c r="R159" s="7">
        <f>ROUND(119/E159,3)</f>
        <v>1.6759999999999999</v>
      </c>
      <c r="S159" s="7">
        <f>ROUND(22/E159,3)</f>
        <v>0.31</v>
      </c>
      <c r="T159" s="7">
        <f>ROUND(7.93/E159,3)</f>
        <v>0.112</v>
      </c>
      <c r="U159" s="7">
        <f>ROUND(86/E159,3)</f>
        <v>1.2110000000000001</v>
      </c>
      <c r="V159" s="7">
        <f>ROUND(33/E159,3)</f>
        <v>0.46500000000000002</v>
      </c>
      <c r="W159" s="7">
        <f>ROUND(7.92/E159,3)</f>
        <v>0.112</v>
      </c>
      <c r="X159" s="7">
        <v>0.55000000000000004</v>
      </c>
      <c r="Y159" s="7">
        <v>0.55000000000000004</v>
      </c>
      <c r="Z159" s="7">
        <v>0.53</v>
      </c>
      <c r="AA159" s="7">
        <f>ROUND(46.37/E159,3)</f>
        <v>0.65300000000000002</v>
      </c>
      <c r="AB159" s="7">
        <f>ROUND(6/E159,3)</f>
        <v>8.5000000000000006E-2</v>
      </c>
      <c r="AC159" s="7">
        <v>8482684</v>
      </c>
    </row>
    <row r="160" spans="1:29" ht="15" customHeight="1" x14ac:dyDescent="0.2">
      <c r="A160" s="7" t="s">
        <v>493</v>
      </c>
      <c r="B160" s="7" t="s">
        <v>376</v>
      </c>
      <c r="C160" s="7" t="s">
        <v>114</v>
      </c>
      <c r="D160" s="7">
        <v>27</v>
      </c>
      <c r="E160" s="7">
        <v>39</v>
      </c>
      <c r="F160" s="7">
        <f>ROUND(2/E160,3)</f>
        <v>5.0999999999999997E-2</v>
      </c>
      <c r="G160" s="7">
        <f>ROUND(3/E160,3)</f>
        <v>7.6999999999999999E-2</v>
      </c>
      <c r="H160" s="7">
        <f>ROUND(19/E160,3)</f>
        <v>0.48699999999999999</v>
      </c>
      <c r="I160" s="7">
        <f>ROUND(20/E160,3)</f>
        <v>0.51300000000000001</v>
      </c>
      <c r="J160" s="7">
        <f>ROUND(51/E160,3)</f>
        <v>1.3080000000000001</v>
      </c>
      <c r="K160" s="7">
        <f t="shared" si="5"/>
        <v>2.9215</v>
      </c>
      <c r="L160" s="7">
        <f>ROUND(652.31666666667/E160,3)</f>
        <v>16.725999999999999</v>
      </c>
      <c r="M160" s="7">
        <f>ROUND(14/E160,3)</f>
        <v>0.35899999999999999</v>
      </c>
      <c r="N160" s="7" t="s">
        <v>817</v>
      </c>
      <c r="O160" s="7" t="s">
        <v>104</v>
      </c>
      <c r="P160" s="7">
        <f>ROUND(65/E160,3)</f>
        <v>1.667</v>
      </c>
      <c r="Q160" s="7">
        <f>ROUND(38/E160,3)</f>
        <v>0.97399999999999998</v>
      </c>
      <c r="R160" s="7">
        <f>ROUND(18/E160,3)</f>
        <v>0.46200000000000002</v>
      </c>
      <c r="S160" s="7">
        <f>ROUND(0/E160,3)</f>
        <v>0</v>
      </c>
      <c r="T160" s="7">
        <f>ROUND(0.85/E160,3)</f>
        <v>2.1999999999999999E-2</v>
      </c>
      <c r="U160" s="7">
        <f>ROUND(35/E160,3)</f>
        <v>0.89700000000000002</v>
      </c>
      <c r="V160" s="7">
        <f>ROUND(14/E160,3)</f>
        <v>0.35899999999999999</v>
      </c>
      <c r="W160" s="7">
        <f>ROUND(0.8/E160,3)</f>
        <v>2.1000000000000001E-2</v>
      </c>
      <c r="X160" s="7">
        <v>0.4</v>
      </c>
      <c r="Y160" s="7">
        <v>0.45</v>
      </c>
      <c r="Z160" s="7">
        <v>0.44</v>
      </c>
      <c r="AA160" s="7">
        <f>ROUND(5.02/E160,3)</f>
        <v>0.129</v>
      </c>
      <c r="AB160" s="7">
        <f>ROUND(0/E160,3)</f>
        <v>0</v>
      </c>
      <c r="AC160" s="7">
        <v>8478854</v>
      </c>
    </row>
    <row r="161" spans="1:29" ht="15" customHeight="1" x14ac:dyDescent="0.2">
      <c r="A161" s="7" t="s">
        <v>494</v>
      </c>
      <c r="B161" s="7" t="s">
        <v>376</v>
      </c>
      <c r="C161" s="7" t="s">
        <v>191</v>
      </c>
      <c r="D161" s="7">
        <v>28</v>
      </c>
      <c r="E161" s="7">
        <v>35</v>
      </c>
      <c r="F161" s="7">
        <f>ROUND(4/E161,3)</f>
        <v>0.114</v>
      </c>
      <c r="G161" s="7">
        <f>ROUND(15/E161,3)</f>
        <v>0.42899999999999999</v>
      </c>
      <c r="H161" s="7">
        <f>ROUND(76/E161,3)</f>
        <v>2.1709999999999998</v>
      </c>
      <c r="I161" s="7">
        <f>ROUND(17/E161,3)</f>
        <v>0.48599999999999999</v>
      </c>
      <c r="J161" s="7">
        <f>ROUND(42/E161,3)</f>
        <v>1.2</v>
      </c>
      <c r="K161" s="7">
        <f t="shared" si="5"/>
        <v>7.1000000000000005</v>
      </c>
      <c r="L161" s="7">
        <f>ROUND(817.03333333333/E161,3)</f>
        <v>23.344000000000001</v>
      </c>
      <c r="M161" s="7">
        <f>ROUND(10/E161,3)</f>
        <v>0.28599999999999998</v>
      </c>
      <c r="N161" s="7" t="s">
        <v>1248</v>
      </c>
      <c r="O161" s="7" t="s">
        <v>1009</v>
      </c>
      <c r="P161" s="7">
        <f>ROUND(167/E161,3)</f>
        <v>4.7709999999999999</v>
      </c>
      <c r="Q161" s="7">
        <f>ROUND(102/E161,3)</f>
        <v>2.9140000000000001</v>
      </c>
      <c r="R161" s="7">
        <f>ROUND(44/E161,3)</f>
        <v>1.2569999999999999</v>
      </c>
      <c r="S161" s="7">
        <f>ROUND(9/E161,3)</f>
        <v>0.25700000000000001</v>
      </c>
      <c r="T161" s="7">
        <f>ROUND(3.86/E161,3)</f>
        <v>0.11</v>
      </c>
      <c r="U161" s="7">
        <f>ROUND(44/E161,3)</f>
        <v>1.2569999999999999</v>
      </c>
      <c r="V161" s="7">
        <f>ROUND(6/E161,3)</f>
        <v>0.17100000000000001</v>
      </c>
      <c r="W161" s="7">
        <f>ROUND(3.28/E161,3)</f>
        <v>9.4E-2</v>
      </c>
      <c r="X161" s="7">
        <v>0.49</v>
      </c>
      <c r="Y161" s="7">
        <v>0.55000000000000004</v>
      </c>
      <c r="Z161" s="7">
        <v>0.55000000000000004</v>
      </c>
      <c r="AA161" s="7">
        <f>ROUND(21.75/E161,3)</f>
        <v>0.621</v>
      </c>
      <c r="AB161" s="7">
        <f>ROUND(2/E161,3)</f>
        <v>5.7000000000000002E-2</v>
      </c>
      <c r="AC161" s="7">
        <v>8477950</v>
      </c>
    </row>
    <row r="162" spans="1:29" ht="15" customHeight="1" x14ac:dyDescent="0.2">
      <c r="A162" s="7" t="s">
        <v>497</v>
      </c>
      <c r="B162" s="7" t="s">
        <v>376</v>
      </c>
      <c r="C162" s="7" t="s">
        <v>180</v>
      </c>
      <c r="D162" s="7">
        <v>23</v>
      </c>
      <c r="E162" s="7">
        <v>68</v>
      </c>
      <c r="F162" s="7">
        <f>ROUND(8/E162,3)</f>
        <v>0.11799999999999999</v>
      </c>
      <c r="G162" s="7">
        <f>ROUND(21/E162,3)</f>
        <v>0.309</v>
      </c>
      <c r="H162" s="7">
        <f>ROUND(97/E162,3)</f>
        <v>1.4259999999999999</v>
      </c>
      <c r="I162" s="7">
        <f>ROUND(43/E162,3)</f>
        <v>0.63200000000000001</v>
      </c>
      <c r="J162" s="7">
        <f>ROUND(103/E162,3)</f>
        <v>1.5149999999999999</v>
      </c>
      <c r="K162" s="7">
        <f t="shared" si="5"/>
        <v>6.0549999999999997</v>
      </c>
      <c r="L162" s="7">
        <f>ROUND(1393.9833333333/E162,3)</f>
        <v>20.5</v>
      </c>
      <c r="M162" s="7">
        <f>ROUND(16/E162,3)</f>
        <v>0.23499999999999999</v>
      </c>
      <c r="N162" s="7" t="s">
        <v>1249</v>
      </c>
      <c r="O162" s="7" t="s">
        <v>1250</v>
      </c>
      <c r="P162" s="7">
        <f>ROUND(238/E162,3)</f>
        <v>3.5</v>
      </c>
      <c r="Q162" s="7">
        <f>ROUND(154/E162,3)</f>
        <v>2.2650000000000001</v>
      </c>
      <c r="R162" s="7">
        <f>ROUND(59/E162,3)</f>
        <v>0.86799999999999999</v>
      </c>
      <c r="S162" s="7">
        <f>ROUND(14/E162,3)</f>
        <v>0.20599999999999999</v>
      </c>
      <c r="T162" s="7">
        <f>ROUND(5.05/E162,3)</f>
        <v>7.3999999999999996E-2</v>
      </c>
      <c r="U162" s="7">
        <f>ROUND(103/E162,3)</f>
        <v>1.5149999999999999</v>
      </c>
      <c r="V162" s="7">
        <f>ROUND(22/E162,3)</f>
        <v>0.32400000000000001</v>
      </c>
      <c r="W162" s="7">
        <f>ROUND(4.87/E162,3)</f>
        <v>7.1999999999999995E-2</v>
      </c>
      <c r="X162" s="7">
        <v>0.48</v>
      </c>
      <c r="Y162" s="7">
        <v>0.46</v>
      </c>
      <c r="Z162" s="7">
        <v>0.46</v>
      </c>
      <c r="AA162" s="7">
        <f>ROUND(30.37/E162,3)</f>
        <v>0.44700000000000001</v>
      </c>
      <c r="AB162" s="7">
        <f>ROUND(1/E162,3)</f>
        <v>1.4999999999999999E-2</v>
      </c>
      <c r="AC162" s="7">
        <v>8481598</v>
      </c>
    </row>
    <row r="163" spans="1:29" ht="15" customHeight="1" x14ac:dyDescent="0.2">
      <c r="A163" s="7" t="s">
        <v>499</v>
      </c>
      <c r="B163" s="7" t="s">
        <v>376</v>
      </c>
      <c r="C163" s="7" t="s">
        <v>114</v>
      </c>
      <c r="D163" s="7">
        <v>37</v>
      </c>
      <c r="E163" s="7">
        <v>74</v>
      </c>
      <c r="F163" s="7">
        <f>ROUND(9/E163,3)</f>
        <v>0.122</v>
      </c>
      <c r="G163" s="7">
        <f>ROUND(21/E163,3)</f>
        <v>0.28399999999999997</v>
      </c>
      <c r="H163" s="7">
        <f>ROUND(164/E163,3)</f>
        <v>2.2160000000000002</v>
      </c>
      <c r="I163" s="7">
        <f>ROUND(119/E163,3)</f>
        <v>1.6080000000000001</v>
      </c>
      <c r="J163" s="7">
        <f>ROUND(99/E163,3)</f>
        <v>1.3380000000000001</v>
      </c>
      <c r="K163" s="7">
        <f t="shared" si="5"/>
        <v>7.0380000000000003</v>
      </c>
      <c r="L163" s="7">
        <f>ROUND(1740.8833333333/E163,3)</f>
        <v>23.524999999999999</v>
      </c>
      <c r="M163" s="7">
        <f>ROUND(52/E163,3)</f>
        <v>0.70299999999999996</v>
      </c>
      <c r="N163" s="7" t="s">
        <v>1199</v>
      </c>
      <c r="O163" s="7" t="s">
        <v>1251</v>
      </c>
      <c r="P163" s="7">
        <f>ROUND(361/E163,3)</f>
        <v>4.8780000000000001</v>
      </c>
      <c r="Q163" s="7">
        <f>ROUND(236/E163,3)</f>
        <v>3.1890000000000001</v>
      </c>
      <c r="R163" s="7">
        <f>ROUND(107/E163,3)</f>
        <v>1.446</v>
      </c>
      <c r="S163" s="7">
        <f>ROUND(20/E163,3)</f>
        <v>0.27</v>
      </c>
      <c r="T163" s="7">
        <f>ROUND(10.82/E163,3)</f>
        <v>0.14599999999999999</v>
      </c>
      <c r="U163" s="7">
        <f>ROUND(100/E163,3)</f>
        <v>1.351</v>
      </c>
      <c r="V163" s="7">
        <f>ROUND(37/E163,3)</f>
        <v>0.5</v>
      </c>
      <c r="W163" s="7">
        <f>ROUND(9.1/E163,3)</f>
        <v>0.123</v>
      </c>
      <c r="X163" s="7">
        <v>0.46</v>
      </c>
      <c r="Y163" s="7">
        <v>0.48</v>
      </c>
      <c r="Z163" s="7">
        <v>0.48</v>
      </c>
      <c r="AA163" s="7">
        <f>ROUND(31.35/E163,3)</f>
        <v>0.42399999999999999</v>
      </c>
      <c r="AB163" s="7">
        <f>ROUND(8/E163,3)</f>
        <v>0.108</v>
      </c>
      <c r="AC163" s="7">
        <v>8471724</v>
      </c>
    </row>
    <row r="164" spans="1:29" ht="15" customHeight="1" x14ac:dyDescent="0.2">
      <c r="A164" s="7" t="s">
        <v>502</v>
      </c>
      <c r="B164" s="7" t="s">
        <v>376</v>
      </c>
      <c r="D164" s="7">
        <v>22</v>
      </c>
      <c r="K164" s="7"/>
      <c r="AC164" s="7">
        <v>8482100</v>
      </c>
    </row>
    <row r="165" spans="1:29" ht="15" customHeight="1" x14ac:dyDescent="0.2">
      <c r="A165" s="7" t="s">
        <v>503</v>
      </c>
      <c r="B165" s="7" t="s">
        <v>376</v>
      </c>
      <c r="C165" s="7" t="s">
        <v>213</v>
      </c>
      <c r="D165" s="7">
        <v>30</v>
      </c>
      <c r="E165" s="7">
        <v>81</v>
      </c>
      <c r="F165" s="7">
        <f>ROUND(18/E165,3)</f>
        <v>0.222</v>
      </c>
      <c r="G165" s="7">
        <f>ROUND(23/E165,3)</f>
        <v>0.28399999999999997</v>
      </c>
      <c r="H165" s="7">
        <f>ROUND(231/E165,3)</f>
        <v>2.8519999999999999</v>
      </c>
      <c r="I165" s="7">
        <f>ROUND(83/E165,3)</f>
        <v>1.0249999999999999</v>
      </c>
      <c r="J165" s="7">
        <f>ROUND(100/E165,3)</f>
        <v>1.2350000000000001</v>
      </c>
      <c r="K165" s="7">
        <f t="shared" ref="K165:K173" si="6">8*F165+6*G165+1*H165+1*J165+0.5*I165</f>
        <v>8.0794999999999995</v>
      </c>
      <c r="L165" s="7">
        <f>ROUND(1861.0666666667/E165,3)</f>
        <v>22.975999999999999</v>
      </c>
      <c r="M165" s="7">
        <f>ROUND(70/E165,3)</f>
        <v>0.86399999999999999</v>
      </c>
      <c r="N165" s="7" t="s">
        <v>1252</v>
      </c>
      <c r="O165" s="7" t="s">
        <v>1253</v>
      </c>
      <c r="P165" s="7">
        <f>ROUND(531/E165,3)</f>
        <v>6.556</v>
      </c>
      <c r="Q165" s="7">
        <f>ROUND(363/E165,3)</f>
        <v>4.4809999999999999</v>
      </c>
      <c r="R165" s="7">
        <f>ROUND(150/E165,3)</f>
        <v>1.8520000000000001</v>
      </c>
      <c r="S165" s="7">
        <f>ROUND(35/E165,3)</f>
        <v>0.432</v>
      </c>
      <c r="T165" s="7">
        <f>ROUND(14.61/E165,3)</f>
        <v>0.18</v>
      </c>
      <c r="U165" s="7">
        <f>ROUND(97/E165,3)</f>
        <v>1.198</v>
      </c>
      <c r="V165" s="7">
        <f>ROUND(25/E165,3)</f>
        <v>0.309</v>
      </c>
      <c r="W165" s="7">
        <f>ROUND(15.79/E165,3)</f>
        <v>0.19500000000000001</v>
      </c>
      <c r="X165" s="7">
        <v>0.5</v>
      </c>
      <c r="Y165" s="7">
        <v>0.52</v>
      </c>
      <c r="Z165" s="7">
        <v>0.52</v>
      </c>
      <c r="AA165" s="7">
        <f>ROUND(40.02/E165,3)</f>
        <v>0.49399999999999999</v>
      </c>
      <c r="AB165" s="7">
        <f>ROUND(11/E165,3)</f>
        <v>0.13600000000000001</v>
      </c>
      <c r="AC165" s="7">
        <v>8477986</v>
      </c>
    </row>
    <row r="166" spans="1:29" ht="15" customHeight="1" x14ac:dyDescent="0.2">
      <c r="A166" s="7" t="s">
        <v>506</v>
      </c>
      <c r="B166" s="7" t="s">
        <v>376</v>
      </c>
      <c r="C166" s="7" t="s">
        <v>220</v>
      </c>
      <c r="D166" s="7">
        <v>22</v>
      </c>
      <c r="E166" s="7">
        <v>70</v>
      </c>
      <c r="F166" s="7">
        <f>ROUND(7/E166,3)</f>
        <v>0.1</v>
      </c>
      <c r="G166" s="7">
        <f>ROUND(13/E166,3)</f>
        <v>0.186</v>
      </c>
      <c r="H166" s="7">
        <f>ROUND(63/E166,3)</f>
        <v>0.9</v>
      </c>
      <c r="I166" s="7">
        <f>ROUND(18/E166,3)</f>
        <v>0.25700000000000001</v>
      </c>
      <c r="J166" s="7">
        <f>ROUND(102/E166,3)</f>
        <v>1.4570000000000001</v>
      </c>
      <c r="K166" s="7">
        <f t="shared" si="6"/>
        <v>4.4015000000000004</v>
      </c>
      <c r="L166" s="7">
        <f>ROUND(1394.1833333333/E166,3)</f>
        <v>19.917000000000002</v>
      </c>
      <c r="M166" s="7">
        <f>ROUND(22/E166,3)</f>
        <v>0.314</v>
      </c>
      <c r="N166" s="7" t="s">
        <v>542</v>
      </c>
      <c r="O166" s="7" t="s">
        <v>316</v>
      </c>
      <c r="P166" s="7">
        <f>ROUND(186/E166,3)</f>
        <v>2.657</v>
      </c>
      <c r="Q166" s="7">
        <f>ROUND(109/E166,3)</f>
        <v>1.5569999999999999</v>
      </c>
      <c r="R166" s="7">
        <f>ROUND(49/E166,3)</f>
        <v>0.7</v>
      </c>
      <c r="S166" s="7">
        <f>ROUND(6/E166,3)</f>
        <v>8.5999999999999993E-2</v>
      </c>
      <c r="T166" s="7">
        <f>ROUND(3.37/E166,3)</f>
        <v>4.8000000000000001E-2</v>
      </c>
      <c r="U166" s="7">
        <f>ROUND(73/E166,3)</f>
        <v>1.0429999999999999</v>
      </c>
      <c r="V166" s="7">
        <f>ROUND(20/E166,3)</f>
        <v>0.28599999999999998</v>
      </c>
      <c r="W166" s="7">
        <f>ROUND(3.58/E166,3)</f>
        <v>5.0999999999999997E-2</v>
      </c>
      <c r="X166" s="7">
        <v>0.53</v>
      </c>
      <c r="Y166" s="7">
        <v>0.51</v>
      </c>
      <c r="Z166" s="7">
        <v>0.52</v>
      </c>
      <c r="AA166" s="7">
        <f>ROUND(11.23/E166,3)</f>
        <v>0.16</v>
      </c>
      <c r="AB166" s="7">
        <f>ROUND(1/E166,3)</f>
        <v>1.4E-2</v>
      </c>
      <c r="AC166" s="7">
        <v>8482142</v>
      </c>
    </row>
    <row r="167" spans="1:29" ht="15" customHeight="1" x14ac:dyDescent="0.2">
      <c r="A167" s="7" t="s">
        <v>508</v>
      </c>
      <c r="B167" s="7" t="s">
        <v>376</v>
      </c>
      <c r="C167" s="7" t="s">
        <v>380</v>
      </c>
      <c r="D167" s="7">
        <v>30</v>
      </c>
      <c r="E167" s="7">
        <v>70</v>
      </c>
      <c r="F167" s="7">
        <f>ROUND(6/E167,3)</f>
        <v>8.5999999999999993E-2</v>
      </c>
      <c r="G167" s="7">
        <f>ROUND(19/E167,3)</f>
        <v>0.27100000000000002</v>
      </c>
      <c r="H167" s="7">
        <f>ROUND(91/E167,3)</f>
        <v>1.3</v>
      </c>
      <c r="I167" s="7">
        <f>ROUND(43/E167,3)</f>
        <v>0.61399999999999999</v>
      </c>
      <c r="J167" s="7">
        <f>ROUND(104/E167,3)</f>
        <v>1.486</v>
      </c>
      <c r="K167" s="7">
        <f t="shared" si="6"/>
        <v>5.407</v>
      </c>
      <c r="L167" s="7">
        <f>ROUND(1333.8333333333/E167,3)</f>
        <v>19.055</v>
      </c>
      <c r="M167" s="7">
        <f>ROUND(47/E167,3)</f>
        <v>0.67100000000000004</v>
      </c>
      <c r="N167" s="7" t="s">
        <v>1254</v>
      </c>
      <c r="O167" s="7" t="s">
        <v>1192</v>
      </c>
      <c r="P167" s="7">
        <f>ROUND(197/E167,3)</f>
        <v>2.8140000000000001</v>
      </c>
      <c r="Q167" s="7">
        <f>ROUND(133/E167,3)</f>
        <v>1.9</v>
      </c>
      <c r="R167" s="7">
        <f>ROUND(78/E167,3)</f>
        <v>1.1140000000000001</v>
      </c>
      <c r="S167" s="7">
        <f>ROUND(23/E167,3)</f>
        <v>0.32900000000000001</v>
      </c>
      <c r="T167" s="7">
        <f>ROUND(7.11/E167,3)</f>
        <v>0.10199999999999999</v>
      </c>
      <c r="U167" s="7">
        <f>ROUND(85/E167,3)</f>
        <v>1.214</v>
      </c>
      <c r="V167" s="7">
        <f>ROUND(28/E167,3)</f>
        <v>0.4</v>
      </c>
      <c r="W167" s="7">
        <f>ROUND(7.83/E167,3)</f>
        <v>0.112</v>
      </c>
      <c r="X167" s="7">
        <v>0.48</v>
      </c>
      <c r="Y167" s="7">
        <v>0.47</v>
      </c>
      <c r="Z167" s="7">
        <v>0.48</v>
      </c>
      <c r="AA167" s="7">
        <f>ROUND(25.22/E167,3)</f>
        <v>0.36</v>
      </c>
      <c r="AB167" s="7">
        <f>ROUND(11/E167,3)</f>
        <v>0.157</v>
      </c>
      <c r="AC167" s="7">
        <v>8476923</v>
      </c>
    </row>
    <row r="168" spans="1:29" ht="15" customHeight="1" x14ac:dyDescent="0.2">
      <c r="A168" s="7" t="s">
        <v>510</v>
      </c>
      <c r="B168" s="7" t="s">
        <v>376</v>
      </c>
      <c r="C168" s="7" t="s">
        <v>1255</v>
      </c>
      <c r="D168" s="7">
        <v>29</v>
      </c>
      <c r="E168" s="7">
        <v>63</v>
      </c>
      <c r="F168" s="7">
        <f>ROUND(9/E168,3)</f>
        <v>0.14299999999999999</v>
      </c>
      <c r="G168" s="7">
        <f>ROUND(27/E168,3)</f>
        <v>0.42899999999999999</v>
      </c>
      <c r="H168" s="7">
        <f>ROUND(129/E168,3)</f>
        <v>2.048</v>
      </c>
      <c r="I168" s="7">
        <f>ROUND(96/E168,3)</f>
        <v>1.524</v>
      </c>
      <c r="J168" s="7">
        <f>ROUND(109/E168,3)</f>
        <v>1.73</v>
      </c>
      <c r="K168" s="7">
        <f t="shared" si="6"/>
        <v>8.2580000000000009</v>
      </c>
      <c r="L168" s="7">
        <f>ROUND(1552.4166666667/E168,3)</f>
        <v>24.641999999999999</v>
      </c>
      <c r="M168" s="7">
        <f>ROUND(22/E168,3)</f>
        <v>0.34899999999999998</v>
      </c>
      <c r="N168" s="7" t="s">
        <v>1256</v>
      </c>
      <c r="O168" s="7" t="s">
        <v>1257</v>
      </c>
      <c r="P168" s="7">
        <f>ROUND(305/E168,3)</f>
        <v>4.8410000000000002</v>
      </c>
      <c r="Q168" s="7">
        <f>ROUND(191/E168,3)</f>
        <v>3.032</v>
      </c>
      <c r="R168" s="7">
        <f>ROUND(87/E168,3)</f>
        <v>1.381</v>
      </c>
      <c r="S168" s="7">
        <f>ROUND(10/E168,3)</f>
        <v>0.159</v>
      </c>
      <c r="T168" s="7">
        <f>ROUND(6.95/E168,3)</f>
        <v>0.11</v>
      </c>
      <c r="U168" s="7">
        <f>ROUND(82/E168,3)</f>
        <v>1.302</v>
      </c>
      <c r="V168" s="7">
        <f>ROUND(26/E168,3)</f>
        <v>0.41299999999999998</v>
      </c>
      <c r="W168" s="7">
        <f>ROUND(8.29/E168,3)</f>
        <v>0.13200000000000001</v>
      </c>
      <c r="X168" s="7">
        <v>0.48</v>
      </c>
      <c r="Y168" s="7">
        <v>0.5</v>
      </c>
      <c r="Z168" s="7">
        <v>0.49</v>
      </c>
      <c r="AA168" s="7">
        <f>ROUND(33.13/E168,3)</f>
        <v>0.52600000000000002</v>
      </c>
      <c r="AB168" s="7">
        <f>ROUND(9/E168,3)</f>
        <v>0.14299999999999999</v>
      </c>
      <c r="AC168" s="7">
        <v>8477495</v>
      </c>
    </row>
    <row r="169" spans="1:29" ht="15" customHeight="1" x14ac:dyDescent="0.2">
      <c r="A169" s="7" t="s">
        <v>512</v>
      </c>
      <c r="B169" s="7" t="s">
        <v>376</v>
      </c>
      <c r="C169" s="7" t="s">
        <v>93</v>
      </c>
      <c r="D169" s="7">
        <v>30</v>
      </c>
      <c r="E169" s="7">
        <v>80</v>
      </c>
      <c r="F169" s="7">
        <f>ROUND(5/E169,3)</f>
        <v>6.3E-2</v>
      </c>
      <c r="G169" s="7">
        <f>ROUND(21/E169,3)</f>
        <v>0.26300000000000001</v>
      </c>
      <c r="H169" s="7">
        <f>ROUND(99/E169,3)</f>
        <v>1.238</v>
      </c>
      <c r="I169" s="7">
        <f>ROUND(50/E169,3)</f>
        <v>0.625</v>
      </c>
      <c r="J169" s="7">
        <f>ROUND(170/E169,3)</f>
        <v>2.125</v>
      </c>
      <c r="K169" s="7">
        <f t="shared" si="6"/>
        <v>5.7575000000000003</v>
      </c>
      <c r="L169" s="7">
        <f>ROUND(1774.45/E169,3)</f>
        <v>22.181000000000001</v>
      </c>
      <c r="M169" s="7">
        <f>ROUND(14/E169,3)</f>
        <v>0.17499999999999999</v>
      </c>
      <c r="N169" s="7" t="s">
        <v>1258</v>
      </c>
      <c r="O169" s="7" t="s">
        <v>1259</v>
      </c>
      <c r="P169" s="7">
        <f>ROUND(229/E169,3)</f>
        <v>2.863</v>
      </c>
      <c r="Q169" s="7">
        <f>ROUND(147/E169,3)</f>
        <v>1.8380000000000001</v>
      </c>
      <c r="R169" s="7">
        <f>ROUND(65/E169,3)</f>
        <v>0.81299999999999994</v>
      </c>
      <c r="S169" s="7">
        <f>ROUND(10/E169,3)</f>
        <v>0.125</v>
      </c>
      <c r="T169" s="7">
        <f>ROUND(5.6/E169,3)</f>
        <v>7.0000000000000007E-2</v>
      </c>
      <c r="U169" s="7">
        <f>ROUND(109/E169,3)</f>
        <v>1.363</v>
      </c>
      <c r="V169" s="7">
        <f>ROUND(30/E169,3)</f>
        <v>0.375</v>
      </c>
      <c r="W169" s="7">
        <f>ROUND(7.2/E169,3)</f>
        <v>0.09</v>
      </c>
      <c r="X169" s="7">
        <v>0.45</v>
      </c>
      <c r="Y169" s="7">
        <v>0.41</v>
      </c>
      <c r="Z169" s="7">
        <v>0.41</v>
      </c>
      <c r="AA169" s="7">
        <f>ROUND(26.08/E169,3)</f>
        <v>0.32600000000000001</v>
      </c>
      <c r="AB169" s="7">
        <f>ROUND(5/E169,3)</f>
        <v>6.3E-2</v>
      </c>
      <c r="AC169" s="7">
        <v>8476902</v>
      </c>
    </row>
    <row r="170" spans="1:29" ht="15" customHeight="1" x14ac:dyDescent="0.2">
      <c r="A170" s="7" t="s">
        <v>515</v>
      </c>
      <c r="B170" s="7" t="s">
        <v>376</v>
      </c>
      <c r="C170" s="7" t="s">
        <v>380</v>
      </c>
      <c r="D170" s="7">
        <v>20</v>
      </c>
      <c r="E170" s="7">
        <v>45</v>
      </c>
      <c r="F170" s="7">
        <f>ROUND(4/E170,3)</f>
        <v>8.8999999999999996E-2</v>
      </c>
      <c r="G170" s="7">
        <f>ROUND(9/E170,3)</f>
        <v>0.2</v>
      </c>
      <c r="H170" s="7">
        <f>ROUND(44/E170,3)</f>
        <v>0.97799999999999998</v>
      </c>
      <c r="I170" s="7">
        <f>ROUND(26/E170,3)</f>
        <v>0.57799999999999996</v>
      </c>
      <c r="J170" s="7">
        <f>ROUND(63/E170,3)</f>
        <v>1.4</v>
      </c>
      <c r="K170" s="7">
        <f t="shared" si="6"/>
        <v>4.5789999999999997</v>
      </c>
      <c r="L170" s="7">
        <f>ROUND(811.58333333333/E170,3)</f>
        <v>18.035</v>
      </c>
      <c r="M170" s="7">
        <f>ROUND(20/E170,3)</f>
        <v>0.44400000000000001</v>
      </c>
      <c r="N170" s="7" t="s">
        <v>87</v>
      </c>
      <c r="O170" s="7" t="s">
        <v>600</v>
      </c>
      <c r="P170" s="7">
        <f>ROUND(111/E170,3)</f>
        <v>2.4670000000000001</v>
      </c>
      <c r="Q170" s="7">
        <f>ROUND(72/E170,3)</f>
        <v>1.6</v>
      </c>
      <c r="R170" s="7">
        <f>ROUND(29/E170,3)</f>
        <v>0.64400000000000002</v>
      </c>
      <c r="S170" s="7">
        <f>ROUND(5/E170,3)</f>
        <v>0.111</v>
      </c>
      <c r="T170" s="7">
        <f>ROUND(2.57/E170,3)</f>
        <v>5.7000000000000002E-2</v>
      </c>
      <c r="U170" s="7">
        <f>ROUND(35/E170,3)</f>
        <v>0.77800000000000002</v>
      </c>
      <c r="V170" s="7">
        <f>ROUND(19/E170,3)</f>
        <v>0.42199999999999999</v>
      </c>
      <c r="W170" s="7">
        <f>ROUND(2.25/E170,3)</f>
        <v>0.05</v>
      </c>
      <c r="X170" s="7">
        <v>0.44</v>
      </c>
      <c r="Y170" s="7">
        <v>0.45</v>
      </c>
      <c r="Z170" s="7">
        <v>0.46</v>
      </c>
      <c r="AA170" s="7">
        <f>ROUND(8.95/E170,3)</f>
        <v>0.19900000000000001</v>
      </c>
      <c r="AB170" s="7">
        <f>ROUND(0/E170,3)</f>
        <v>0</v>
      </c>
      <c r="AC170" s="7">
        <v>8483485</v>
      </c>
    </row>
    <row r="171" spans="1:29" ht="15" customHeight="1" x14ac:dyDescent="0.2">
      <c r="A171" s="7" t="s">
        <v>516</v>
      </c>
      <c r="B171" s="7" t="s">
        <v>376</v>
      </c>
      <c r="C171" s="7" t="s">
        <v>80</v>
      </c>
      <c r="D171" s="7">
        <v>29</v>
      </c>
      <c r="E171" s="7">
        <v>82</v>
      </c>
      <c r="F171" s="7">
        <f>ROUND(5/E171,3)</f>
        <v>6.0999999999999999E-2</v>
      </c>
      <c r="G171" s="7">
        <f>ROUND(11/E171,3)</f>
        <v>0.13400000000000001</v>
      </c>
      <c r="H171" s="7">
        <f>ROUND(144/E171,3)</f>
        <v>1.756</v>
      </c>
      <c r="I171" s="7">
        <f>ROUND(91/E171,3)</f>
        <v>1.1100000000000001</v>
      </c>
      <c r="J171" s="7">
        <f>ROUND(90/E171,3)</f>
        <v>1.0980000000000001</v>
      </c>
      <c r="K171" s="7">
        <f t="shared" si="6"/>
        <v>4.7009999999999996</v>
      </c>
      <c r="L171" s="7">
        <f>ROUND(1380.3666666667/E171,3)</f>
        <v>16.834</v>
      </c>
      <c r="M171" s="7">
        <f>ROUND(46/E171,3)</f>
        <v>0.56100000000000005</v>
      </c>
      <c r="N171" s="7" t="s">
        <v>87</v>
      </c>
      <c r="O171" s="7" t="s">
        <v>1260</v>
      </c>
      <c r="P171" s="7">
        <f>ROUND(375/E171,3)</f>
        <v>4.5730000000000004</v>
      </c>
      <c r="Q171" s="7">
        <f>ROUND(222/E171,3)</f>
        <v>2.7069999999999999</v>
      </c>
      <c r="R171" s="7">
        <f>ROUND(113/E171,3)</f>
        <v>1.3779999999999999</v>
      </c>
      <c r="S171" s="7">
        <f>ROUND(15/E171,3)</f>
        <v>0.183</v>
      </c>
      <c r="T171" s="7">
        <f>ROUND(7.88/E171,3)</f>
        <v>9.6000000000000002E-2</v>
      </c>
      <c r="U171" s="7">
        <f>ROUND(67/E171,3)</f>
        <v>0.81699999999999995</v>
      </c>
      <c r="V171" s="7">
        <f>ROUND(40/E171,3)</f>
        <v>0.48799999999999999</v>
      </c>
      <c r="W171" s="7">
        <f>ROUND(8.75/E171,3)</f>
        <v>0.107</v>
      </c>
      <c r="X171" s="7">
        <v>0.54</v>
      </c>
      <c r="Y171" s="7">
        <v>0.6</v>
      </c>
      <c r="Z171" s="7">
        <v>0.59</v>
      </c>
      <c r="AA171" s="7">
        <f>ROUND(47.5/E171,3)</f>
        <v>0.57899999999999996</v>
      </c>
      <c r="AB171" s="7">
        <f>ROUND(5/E171,3)</f>
        <v>6.0999999999999999E-2</v>
      </c>
      <c r="AC171" s="7">
        <v>8480336</v>
      </c>
    </row>
    <row r="172" spans="1:29" ht="15" customHeight="1" x14ac:dyDescent="0.2">
      <c r="A172" s="7" t="s">
        <v>517</v>
      </c>
      <c r="B172" s="7" t="s">
        <v>376</v>
      </c>
      <c r="C172" s="7" t="s">
        <v>380</v>
      </c>
      <c r="D172" s="7">
        <v>27</v>
      </c>
      <c r="E172" s="7">
        <v>82</v>
      </c>
      <c r="F172" s="7">
        <f>ROUND(7/E172,3)</f>
        <v>8.5000000000000006E-2</v>
      </c>
      <c r="G172" s="7">
        <f>ROUND(26/E172,3)</f>
        <v>0.317</v>
      </c>
      <c r="H172" s="7">
        <f>ROUND(100/E172,3)</f>
        <v>1.22</v>
      </c>
      <c r="I172" s="7">
        <f>ROUND(28/E172,3)</f>
        <v>0.34100000000000003</v>
      </c>
      <c r="J172" s="7">
        <f>ROUND(127/E172,3)</f>
        <v>1.5489999999999999</v>
      </c>
      <c r="K172" s="7">
        <f t="shared" si="6"/>
        <v>5.5215000000000005</v>
      </c>
      <c r="L172" s="7">
        <f>ROUND(1915.0166666667/E172,3)</f>
        <v>23.353999999999999</v>
      </c>
      <c r="M172" s="7">
        <f>ROUND(31/E172,3)</f>
        <v>0.378</v>
      </c>
      <c r="N172" s="7" t="s">
        <v>1261</v>
      </c>
      <c r="O172" s="7" t="s">
        <v>1262</v>
      </c>
      <c r="P172" s="7">
        <f>ROUND(269/E172,3)</f>
        <v>3.28</v>
      </c>
      <c r="Q172" s="7">
        <f>ROUND(147/E172,3)</f>
        <v>1.7929999999999999</v>
      </c>
      <c r="R172" s="7">
        <f>ROUND(72/E172,3)</f>
        <v>0.878</v>
      </c>
      <c r="S172" s="7">
        <f>ROUND(13/E172,3)</f>
        <v>0.159</v>
      </c>
      <c r="T172" s="7">
        <f>ROUND(5.9/E172,3)</f>
        <v>7.1999999999999995E-2</v>
      </c>
      <c r="U172" s="7">
        <f>ROUND(120/E172,3)</f>
        <v>1.4630000000000001</v>
      </c>
      <c r="V172" s="7">
        <f>ROUND(29/E172,3)</f>
        <v>0.35399999999999998</v>
      </c>
      <c r="W172" s="7">
        <f>ROUND(5.55/E172,3)</f>
        <v>6.8000000000000005E-2</v>
      </c>
      <c r="X172" s="7">
        <v>0.44</v>
      </c>
      <c r="Y172" s="7">
        <v>0.45</v>
      </c>
      <c r="Z172" s="7">
        <v>0.45</v>
      </c>
      <c r="AA172" s="7">
        <f>ROUND(30.55/E172,3)</f>
        <v>0.373</v>
      </c>
      <c r="AB172" s="7">
        <f>ROUND(3/E172,3)</f>
        <v>3.6999999999999998E-2</v>
      </c>
      <c r="AC172" s="7">
        <v>8478500</v>
      </c>
    </row>
    <row r="173" spans="1:29" ht="15" customHeight="1" x14ac:dyDescent="0.2">
      <c r="A173" s="7" t="s">
        <v>520</v>
      </c>
      <c r="B173" s="7" t="s">
        <v>376</v>
      </c>
      <c r="C173" s="7" t="s">
        <v>184</v>
      </c>
      <c r="D173" s="7">
        <v>23</v>
      </c>
      <c r="E173" s="7">
        <v>79</v>
      </c>
      <c r="F173" s="7">
        <f>ROUND(4/E173,3)</f>
        <v>5.0999999999999997E-2</v>
      </c>
      <c r="G173" s="7">
        <f>ROUND(24/E173,3)</f>
        <v>0.30399999999999999</v>
      </c>
      <c r="H173" s="7">
        <f>ROUND(86/E173,3)</f>
        <v>1.089</v>
      </c>
      <c r="I173" s="7">
        <f>ROUND(80/E173,3)</f>
        <v>1.0129999999999999</v>
      </c>
      <c r="J173" s="7">
        <f>ROUND(77/E173,3)</f>
        <v>0.97499999999999998</v>
      </c>
      <c r="K173" s="7">
        <f t="shared" si="6"/>
        <v>4.8024999999999993</v>
      </c>
      <c r="L173" s="7">
        <f>ROUND(1326.3/E173,3)</f>
        <v>16.789000000000001</v>
      </c>
      <c r="M173" s="7">
        <f>ROUND(16/E173,3)</f>
        <v>0.20300000000000001</v>
      </c>
      <c r="N173" s="7" t="s">
        <v>798</v>
      </c>
      <c r="O173" s="7" t="s">
        <v>1002</v>
      </c>
      <c r="P173" s="7">
        <f>ROUND(261/E173,3)</f>
        <v>3.3039999999999998</v>
      </c>
      <c r="Q173" s="7">
        <f>ROUND(154/E173,3)</f>
        <v>1.9490000000000001</v>
      </c>
      <c r="R173" s="7">
        <f>ROUND(60/E173,3)</f>
        <v>0.75900000000000001</v>
      </c>
      <c r="S173" s="7">
        <f>ROUND(4/E173,3)</f>
        <v>5.0999999999999997E-2</v>
      </c>
      <c r="T173" s="7">
        <f>ROUND(3.88/E173,3)</f>
        <v>4.9000000000000002E-2</v>
      </c>
      <c r="U173" s="7">
        <f>ROUND(72/E173,3)</f>
        <v>0.91100000000000003</v>
      </c>
      <c r="V173" s="7">
        <f>ROUND(15/E173,3)</f>
        <v>0.19</v>
      </c>
      <c r="W173" s="7">
        <f>ROUND(3.76/E173,3)</f>
        <v>4.8000000000000001E-2</v>
      </c>
      <c r="X173" s="7">
        <v>0.57999999999999996</v>
      </c>
      <c r="Y173" s="7">
        <v>0.57999999999999996</v>
      </c>
      <c r="Z173" s="7">
        <v>0.59</v>
      </c>
      <c r="AA173" s="7">
        <f>ROUND(46.05/E173,3)</f>
        <v>0.58299999999999996</v>
      </c>
      <c r="AB173" s="7">
        <f>ROUND(2/E173,3)</f>
        <v>2.5000000000000001E-2</v>
      </c>
      <c r="AC173" s="7">
        <v>8481606</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73"/>
  <sheetViews>
    <sheetView zoomScaleNormal="100" workbookViewId="0">
      <pane xSplit="4" ySplit="2" topLeftCell="J147" activePane="bottomRight" state="frozen"/>
      <selection pane="topRight" activeCell="E1" sqref="E1"/>
      <selection pane="bottomLeft" activeCell="A3" sqref="A3"/>
      <selection pane="bottomRight" activeCell="T131" sqref="T131"/>
    </sheetView>
  </sheetViews>
  <sheetFormatPr baseColWidth="10" defaultColWidth="8.6640625" defaultRowHeight="15" x14ac:dyDescent="0.2"/>
  <cols>
    <col min="1" max="1" width="14" customWidth="1"/>
    <col min="2" max="2" width="10" customWidth="1"/>
    <col min="3" max="3" width="14" customWidth="1"/>
    <col min="4" max="29" width="10" customWidth="1"/>
  </cols>
  <sheetData>
    <row r="1" spans="1:29" ht="15" customHeight="1" x14ac:dyDescent="0.2">
      <c r="A1" s="4" t="s">
        <v>24</v>
      </c>
      <c r="B1" s="5"/>
      <c r="C1" s="5"/>
      <c r="D1" s="5"/>
      <c r="E1" s="5"/>
      <c r="F1" s="5"/>
      <c r="G1" s="5"/>
      <c r="H1" s="5"/>
      <c r="I1" s="5"/>
      <c r="J1" s="5"/>
      <c r="K1" s="5"/>
      <c r="L1" s="5"/>
      <c r="M1" s="5"/>
      <c r="N1" s="5"/>
      <c r="O1" s="5"/>
      <c r="P1" s="5"/>
      <c r="Q1" s="5"/>
      <c r="R1" s="5"/>
      <c r="S1" s="5"/>
      <c r="T1" s="5"/>
      <c r="U1" s="5"/>
      <c r="V1" s="5"/>
      <c r="W1" s="5"/>
      <c r="X1" s="5"/>
      <c r="Y1" s="5"/>
      <c r="Z1" s="5"/>
      <c r="AA1" s="5"/>
      <c r="AB1" s="5"/>
      <c r="AC1" s="5"/>
    </row>
    <row r="2" spans="1:29" ht="15" customHeight="1" x14ac:dyDescent="0.2">
      <c r="A2" s="6" t="s">
        <v>25</v>
      </c>
      <c r="B2" s="6" t="s">
        <v>26</v>
      </c>
      <c r="C2" s="6" t="s">
        <v>27</v>
      </c>
      <c r="D2" s="6" t="s">
        <v>28</v>
      </c>
      <c r="E2" s="6" t="s">
        <v>29</v>
      </c>
      <c r="F2" s="6" t="s">
        <v>30</v>
      </c>
      <c r="G2" s="6" t="s">
        <v>31</v>
      </c>
      <c r="H2" s="6" t="s">
        <v>32</v>
      </c>
      <c r="I2" s="6" t="s">
        <v>33</v>
      </c>
      <c r="J2" s="6" t="s">
        <v>34</v>
      </c>
      <c r="K2" s="6" t="s">
        <v>35</v>
      </c>
      <c r="L2" s="6" t="s">
        <v>36</v>
      </c>
      <c r="M2" s="6" t="s">
        <v>37</v>
      </c>
      <c r="N2" s="6" t="s">
        <v>38</v>
      </c>
      <c r="O2" s="6" t="s">
        <v>39</v>
      </c>
      <c r="P2" s="6" t="s">
        <v>40</v>
      </c>
      <c r="Q2" s="6" t="s">
        <v>41</v>
      </c>
      <c r="R2" s="6" t="s">
        <v>42</v>
      </c>
      <c r="S2" s="6" t="s">
        <v>43</v>
      </c>
      <c r="T2" s="6" t="s">
        <v>44</v>
      </c>
      <c r="U2" s="6" t="s">
        <v>45</v>
      </c>
      <c r="V2" s="6" t="s">
        <v>46</v>
      </c>
      <c r="W2" s="6" t="s">
        <v>47</v>
      </c>
      <c r="X2" s="6" t="s">
        <v>48</v>
      </c>
      <c r="Y2" s="6" t="s">
        <v>49</v>
      </c>
      <c r="Z2" s="6" t="s">
        <v>50</v>
      </c>
      <c r="AA2" s="6" t="s">
        <v>51</v>
      </c>
      <c r="AB2" s="6" t="s">
        <v>52</v>
      </c>
      <c r="AC2" s="6" t="s">
        <v>53</v>
      </c>
    </row>
    <row r="3" spans="1:29" ht="15" customHeight="1" x14ac:dyDescent="0.2">
      <c r="A3" s="7" t="s">
        <v>54</v>
      </c>
      <c r="B3" s="7" t="s">
        <v>55</v>
      </c>
      <c r="C3" s="7" t="s">
        <v>56</v>
      </c>
      <c r="D3" s="7">
        <v>28</v>
      </c>
      <c r="E3" s="7">
        <v>82</v>
      </c>
      <c r="F3" s="7">
        <f>ROUND(48/E3,3)</f>
        <v>0.58499999999999996</v>
      </c>
      <c r="G3" s="7">
        <f>ROUND(90/E3,3)</f>
        <v>1.0980000000000001</v>
      </c>
      <c r="H3" s="7">
        <f>ROUND(307/E3,3)</f>
        <v>3.7440000000000002</v>
      </c>
      <c r="I3" s="7">
        <f>ROUND(40/E3,3)</f>
        <v>0.48799999999999999</v>
      </c>
      <c r="J3" s="7">
        <f>ROUND(30/E3,3)</f>
        <v>0.36599999999999999</v>
      </c>
      <c r="K3" s="7">
        <f t="shared" ref="K3:K34" si="0">8*F3+6*G3+1*H3+1*J3+0.5*I3</f>
        <v>15.622</v>
      </c>
      <c r="L3" s="7">
        <f>ROUND(1885.45/E3,3)</f>
        <v>22.992999999999999</v>
      </c>
      <c r="M3" s="7">
        <f>ROUND(44/E3,3)</f>
        <v>0.53700000000000003</v>
      </c>
      <c r="N3" s="7" t="s">
        <v>1263</v>
      </c>
      <c r="O3" s="7" t="s">
        <v>1264</v>
      </c>
      <c r="P3" s="7">
        <f>ROUND(508/E3,3)</f>
        <v>6.1950000000000003</v>
      </c>
      <c r="Q3" s="7">
        <f>ROUND(425/E3,3)</f>
        <v>5.1829999999999998</v>
      </c>
      <c r="R3" s="7">
        <f>ROUND(338/E3,3)</f>
        <v>4.1219999999999999</v>
      </c>
      <c r="S3" s="7">
        <f>ROUND(144/E3,3)</f>
        <v>1.756</v>
      </c>
      <c r="T3" s="7">
        <f>ROUND(42.05/E3,3)</f>
        <v>0.51300000000000001</v>
      </c>
      <c r="U3" s="7">
        <f>ROUND(134/E3,3)</f>
        <v>1.6339999999999999</v>
      </c>
      <c r="V3" s="7">
        <f>ROUND(32/E3,3)</f>
        <v>0.39</v>
      </c>
      <c r="W3" s="7">
        <f>ROUND(43.6/E3,3)</f>
        <v>0.53200000000000003</v>
      </c>
      <c r="X3" s="7">
        <v>0.62</v>
      </c>
      <c r="Y3" s="7">
        <v>0.59</v>
      </c>
      <c r="Z3" s="7">
        <v>0.6</v>
      </c>
      <c r="AA3" s="7">
        <f>ROUND(135.83/E3,3)</f>
        <v>1.6559999999999999</v>
      </c>
      <c r="AB3" s="7">
        <f>ROUND(48/E3,3)</f>
        <v>0.58499999999999996</v>
      </c>
      <c r="AC3" s="7">
        <v>8478402</v>
      </c>
    </row>
    <row r="4" spans="1:29" ht="15" customHeight="1" x14ac:dyDescent="0.2">
      <c r="A4" s="7" t="s">
        <v>59</v>
      </c>
      <c r="B4" s="7" t="s">
        <v>60</v>
      </c>
      <c r="C4" s="7" t="s">
        <v>61</v>
      </c>
      <c r="D4" s="7">
        <v>32</v>
      </c>
      <c r="E4" s="7">
        <v>76</v>
      </c>
      <c r="F4" s="7">
        <f>ROUND(44/E4,3)</f>
        <v>0.57899999999999996</v>
      </c>
      <c r="G4" s="7">
        <f>ROUND(86/E4,3)</f>
        <v>1.1319999999999999</v>
      </c>
      <c r="H4" s="7">
        <f>ROUND(231/E4,3)</f>
        <v>3.0390000000000001</v>
      </c>
      <c r="I4" s="7">
        <f>ROUND(36/E4,3)</f>
        <v>0.47399999999999998</v>
      </c>
      <c r="J4" s="7">
        <f>ROUND(29/E4,3)</f>
        <v>0.38200000000000001</v>
      </c>
      <c r="K4" s="7">
        <f t="shared" si="0"/>
        <v>15.081999999999999</v>
      </c>
      <c r="L4" s="7">
        <f>ROUND(1545.4666666667/E4,3)</f>
        <v>20.335000000000001</v>
      </c>
      <c r="M4" s="7">
        <f>ROUND(50/E4,3)</f>
        <v>0.65800000000000003</v>
      </c>
      <c r="N4" s="7" t="s">
        <v>1265</v>
      </c>
      <c r="O4" s="7" t="s">
        <v>1266</v>
      </c>
      <c r="P4" s="7">
        <f>ROUND(533/E4,3)</f>
        <v>7.0129999999999999</v>
      </c>
      <c r="Q4" s="7">
        <f>ROUND(378/E4,3)</f>
        <v>4.9740000000000002</v>
      </c>
      <c r="R4" s="7">
        <f>ROUND(230/E4,3)</f>
        <v>3.0259999999999998</v>
      </c>
      <c r="S4" s="7">
        <f>ROUND(70/E4,3)</f>
        <v>0.92100000000000004</v>
      </c>
      <c r="T4" s="7">
        <f>ROUND(32.17/E4,3)</f>
        <v>0.42299999999999999</v>
      </c>
      <c r="U4" s="7">
        <f>ROUND(124/E4,3)</f>
        <v>1.6319999999999999</v>
      </c>
      <c r="V4" s="7">
        <f>ROUND(21/E4,3)</f>
        <v>0.27600000000000002</v>
      </c>
      <c r="W4" s="7">
        <f>ROUND(36.04/E4,3)</f>
        <v>0.47399999999999998</v>
      </c>
      <c r="X4" s="7">
        <v>0.64</v>
      </c>
      <c r="Y4" s="7">
        <v>0.63</v>
      </c>
      <c r="Z4" s="7">
        <v>0.62</v>
      </c>
      <c r="AA4" s="7">
        <f>ROUND(127.56/E4,3)</f>
        <v>1.6779999999999999</v>
      </c>
      <c r="AB4" s="7">
        <f>ROUND(36/E4,3)</f>
        <v>0.47399999999999998</v>
      </c>
      <c r="AC4" s="7">
        <v>8476453</v>
      </c>
    </row>
    <row r="5" spans="1:29" ht="15" customHeight="1" x14ac:dyDescent="0.2">
      <c r="A5" s="7" t="s">
        <v>65</v>
      </c>
      <c r="B5" s="7" t="s">
        <v>55</v>
      </c>
      <c r="C5" s="7" t="s">
        <v>66</v>
      </c>
      <c r="D5" s="7">
        <v>30</v>
      </c>
      <c r="E5" s="7">
        <v>80</v>
      </c>
      <c r="F5" s="7">
        <f>ROUND(53/E5,3)</f>
        <v>0.66300000000000003</v>
      </c>
      <c r="G5" s="7">
        <f>ROUND(74/E5,3)</f>
        <v>0.92500000000000004</v>
      </c>
      <c r="H5" s="7">
        <f>ROUND(352/E5,3)</f>
        <v>4.4000000000000004</v>
      </c>
      <c r="I5" s="7">
        <f>ROUND(64/E5,3)</f>
        <v>0.8</v>
      </c>
      <c r="J5" s="7">
        <f>ROUND(35/E5,3)</f>
        <v>0.438</v>
      </c>
      <c r="K5" s="7">
        <f t="shared" si="0"/>
        <v>16.092000000000002</v>
      </c>
      <c r="L5" s="7">
        <f>ROUND(1780.95/E5,3)</f>
        <v>22.262</v>
      </c>
      <c r="M5" s="7">
        <f>ROUND(39/E5,3)</f>
        <v>0.48799999999999999</v>
      </c>
      <c r="N5" s="7" t="s">
        <v>1267</v>
      </c>
      <c r="O5" s="7" t="s">
        <v>1268</v>
      </c>
      <c r="P5" s="7">
        <f>ROUND(600/E5,3)</f>
        <v>7.5</v>
      </c>
      <c r="Q5" s="7">
        <f>ROUND(471/E5,3)</f>
        <v>5.8879999999999999</v>
      </c>
      <c r="R5" s="7">
        <f>ROUND(323/E5,3)</f>
        <v>4.0380000000000003</v>
      </c>
      <c r="S5" s="7">
        <f>ROUND(115/E5,3)</f>
        <v>1.4379999999999999</v>
      </c>
      <c r="T5" s="7">
        <f>ROUND(39.6/E5,3)</f>
        <v>0.495</v>
      </c>
      <c r="U5" s="7">
        <f>ROUND(165/E5,3)</f>
        <v>2.0630000000000002</v>
      </c>
      <c r="V5" s="7">
        <f>ROUND(25/E5,3)</f>
        <v>0.313</v>
      </c>
      <c r="W5" s="7">
        <f>ROUND(40.62/E5,3)</f>
        <v>0.50800000000000001</v>
      </c>
      <c r="X5" s="7">
        <v>0.65</v>
      </c>
      <c r="Y5" s="7">
        <v>0.63</v>
      </c>
      <c r="Z5" s="7">
        <v>0.63</v>
      </c>
      <c r="AA5" s="7">
        <f>ROUND(148.48/E5,3)</f>
        <v>1.8560000000000001</v>
      </c>
      <c r="AB5" s="7">
        <f>ROUND(40/E5,3)</f>
        <v>0.5</v>
      </c>
      <c r="AC5" s="7">
        <v>8477492</v>
      </c>
    </row>
    <row r="6" spans="1:29" ht="15" customHeight="1" x14ac:dyDescent="0.2">
      <c r="A6" s="7" t="s">
        <v>70</v>
      </c>
      <c r="B6" s="7" t="s">
        <v>55</v>
      </c>
      <c r="C6" s="7" t="s">
        <v>297</v>
      </c>
      <c r="D6" s="7">
        <v>19</v>
      </c>
      <c r="E6" s="7">
        <v>82</v>
      </c>
      <c r="F6" s="7">
        <f>ROUND(45/E6,3)</f>
        <v>0.54900000000000004</v>
      </c>
      <c r="G6" s="7">
        <f>ROUND(70/E6,3)</f>
        <v>0.85399999999999998</v>
      </c>
      <c r="H6" s="7">
        <f>ROUND(287/E6,3)</f>
        <v>3.5</v>
      </c>
      <c r="I6" s="7">
        <f>ROUND(53/E6,3)</f>
        <v>0.64600000000000002</v>
      </c>
      <c r="J6" s="7">
        <f>ROUND(53/E6,3)</f>
        <v>0.64600000000000002</v>
      </c>
      <c r="K6" s="7">
        <f t="shared" si="0"/>
        <v>13.985000000000001</v>
      </c>
      <c r="L6" s="7">
        <f>ROUND(1747.9/E6,3)</f>
        <v>21.315999999999999</v>
      </c>
      <c r="M6" s="7">
        <f>ROUND(44/E6,3)</f>
        <v>0.53700000000000003</v>
      </c>
      <c r="N6" s="7" t="s">
        <v>1269</v>
      </c>
      <c r="O6" s="7" t="s">
        <v>1270</v>
      </c>
      <c r="P6" s="7">
        <f>ROUND(543/E6,3)</f>
        <v>6.6219999999999999</v>
      </c>
      <c r="Q6" s="7">
        <f>ROUND(410/E6,3)</f>
        <v>5</v>
      </c>
      <c r="R6" s="7">
        <f>ROUND(322/E6,3)</f>
        <v>3.927</v>
      </c>
      <c r="S6" s="7">
        <f>ROUND(92/E6,3)</f>
        <v>1.1220000000000001</v>
      </c>
      <c r="T6" s="7">
        <f>ROUND(31.66/E6,3)</f>
        <v>0.38600000000000001</v>
      </c>
      <c r="U6" s="7">
        <f>ROUND(150/E6,3)</f>
        <v>1.829</v>
      </c>
      <c r="V6" s="7">
        <f>ROUND(41/E6,3)</f>
        <v>0.5</v>
      </c>
      <c r="W6" s="7">
        <f>ROUND(31.76/E6,3)</f>
        <v>0.38700000000000001</v>
      </c>
      <c r="X6" s="7">
        <v>0.57999999999999996</v>
      </c>
      <c r="Y6" s="7">
        <v>0.56000000000000005</v>
      </c>
      <c r="Z6" s="7">
        <v>0.56000000000000005</v>
      </c>
      <c r="AA6" s="7">
        <f>ROUND(104.42/E6,3)</f>
        <v>1.2729999999999999</v>
      </c>
      <c r="AB6" s="7">
        <f>ROUND(24/E6,3)</f>
        <v>0.29299999999999998</v>
      </c>
      <c r="AC6" s="7">
        <v>8484801</v>
      </c>
    </row>
    <row r="7" spans="1:29" ht="15" customHeight="1" x14ac:dyDescent="0.2">
      <c r="A7" s="7" t="s">
        <v>71</v>
      </c>
      <c r="B7" s="7" t="s">
        <v>55</v>
      </c>
      <c r="C7" s="7" t="s">
        <v>72</v>
      </c>
      <c r="D7" s="7">
        <v>32</v>
      </c>
      <c r="E7" s="7">
        <v>82</v>
      </c>
      <c r="F7" s="7">
        <f>ROUND(36/E7,3)</f>
        <v>0.439</v>
      </c>
      <c r="G7" s="7">
        <f>ROUND(67/E7,3)</f>
        <v>0.81699999999999995</v>
      </c>
      <c r="H7" s="7">
        <f>ROUND(175/E7,3)</f>
        <v>2.1339999999999999</v>
      </c>
      <c r="I7" s="7">
        <f>ROUND(32/E7,3)</f>
        <v>0.39</v>
      </c>
      <c r="J7" s="7">
        <f>ROUND(47/E7,3)</f>
        <v>0.57299999999999995</v>
      </c>
      <c r="K7" s="7">
        <f t="shared" si="0"/>
        <v>11.316000000000001</v>
      </c>
      <c r="L7" s="7">
        <f>ROUND(1763.3333333333/E7,3)</f>
        <v>21.504000000000001</v>
      </c>
      <c r="M7" s="7">
        <f>ROUND(43/E7,3)</f>
        <v>0.52400000000000002</v>
      </c>
      <c r="N7" s="7" t="s">
        <v>1271</v>
      </c>
      <c r="O7" s="7" t="s">
        <v>1272</v>
      </c>
      <c r="P7" s="7">
        <f>ROUND(328/E7,3)</f>
        <v>4</v>
      </c>
      <c r="Q7" s="7">
        <f>ROUND(272/E7,3)</f>
        <v>3.3170000000000002</v>
      </c>
      <c r="R7" s="7">
        <f>ROUND(243/E7,3)</f>
        <v>2.9630000000000001</v>
      </c>
      <c r="S7" s="7">
        <f>ROUND(107/E7,3)</f>
        <v>1.3049999999999999</v>
      </c>
      <c r="T7" s="7">
        <f>ROUND(27.39/E7,3)</f>
        <v>0.33400000000000002</v>
      </c>
      <c r="U7" s="7">
        <f>ROUND(129/E7,3)</f>
        <v>1.573</v>
      </c>
      <c r="V7" s="7">
        <f>ROUND(31/E7,3)</f>
        <v>0.378</v>
      </c>
      <c r="W7" s="7">
        <f>ROUND(27.83/E7,3)</f>
        <v>0.33900000000000002</v>
      </c>
      <c r="X7" s="7">
        <v>0.55000000000000004</v>
      </c>
      <c r="Y7" s="7">
        <v>0.55000000000000004</v>
      </c>
      <c r="Z7" s="7">
        <v>0.55000000000000004</v>
      </c>
      <c r="AA7" s="7">
        <f>ROUND(86.58/E7,3)</f>
        <v>1.056</v>
      </c>
      <c r="AB7" s="7">
        <f>ROUND(24/E7,3)</f>
        <v>0.29299999999999998</v>
      </c>
      <c r="AC7" s="7">
        <v>8476460</v>
      </c>
    </row>
    <row r="8" spans="1:29" ht="15" customHeight="1" x14ac:dyDescent="0.2">
      <c r="A8" s="7" t="s">
        <v>75</v>
      </c>
      <c r="B8" s="7" t="s">
        <v>55</v>
      </c>
      <c r="C8" s="7" t="s">
        <v>76</v>
      </c>
      <c r="D8" s="7">
        <v>26</v>
      </c>
      <c r="E8" s="7">
        <v>82</v>
      </c>
      <c r="F8" s="7">
        <f>ROUND(29/E8,3)</f>
        <v>0.35399999999999998</v>
      </c>
      <c r="G8" s="7">
        <f>ROUND(72/E8,3)</f>
        <v>0.878</v>
      </c>
      <c r="H8" s="7">
        <f>ROUND(183/E8,3)</f>
        <v>2.2320000000000002</v>
      </c>
      <c r="I8" s="7">
        <f>ROUND(62/E8,3)</f>
        <v>0.75600000000000001</v>
      </c>
      <c r="J8" s="7">
        <f>ROUND(62/E8,3)</f>
        <v>0.75600000000000001</v>
      </c>
      <c r="K8" s="7">
        <f t="shared" si="0"/>
        <v>11.466000000000001</v>
      </c>
      <c r="L8" s="7">
        <f>ROUND(1707.2833333333/E8,3)</f>
        <v>20.821000000000002</v>
      </c>
      <c r="M8" s="7">
        <f>ROUND(28/E8,3)</f>
        <v>0.34100000000000003</v>
      </c>
      <c r="N8" s="7" t="s">
        <v>1273</v>
      </c>
      <c r="O8" s="7" t="s">
        <v>633</v>
      </c>
      <c r="P8" s="7">
        <f>ROUND(385/E8,3)</f>
        <v>4.6950000000000003</v>
      </c>
      <c r="Q8" s="7">
        <f>ROUND(308/E8,3)</f>
        <v>3.7559999999999998</v>
      </c>
      <c r="R8" s="7">
        <f>ROUND(215/E8,3)</f>
        <v>2.6219999999999999</v>
      </c>
      <c r="S8" s="7">
        <f>ROUND(86/E8,3)</f>
        <v>1.0489999999999999</v>
      </c>
      <c r="T8" s="7">
        <f>ROUND(29.4/E8,3)</f>
        <v>0.35899999999999999</v>
      </c>
      <c r="U8" s="7">
        <f>ROUND(72/E8,3)</f>
        <v>0.878</v>
      </c>
      <c r="V8" s="7">
        <f>ROUND(29/E8,3)</f>
        <v>0.35399999999999998</v>
      </c>
      <c r="W8" s="7">
        <f>ROUND(29.67/E8,3)</f>
        <v>0.36199999999999999</v>
      </c>
      <c r="X8" s="7">
        <v>0.61</v>
      </c>
      <c r="Y8" s="7">
        <v>0.57999999999999996</v>
      </c>
      <c r="Z8" s="7">
        <v>0.6</v>
      </c>
      <c r="AA8" s="7">
        <f>ROUND(96.25/E8,3)</f>
        <v>1.1739999999999999</v>
      </c>
      <c r="AB8" s="7">
        <f>ROUND(37/E8,3)</f>
        <v>0.45100000000000001</v>
      </c>
      <c r="AC8" s="7">
        <v>8480018</v>
      </c>
    </row>
    <row r="9" spans="1:29" ht="15" customHeight="1" x14ac:dyDescent="0.2">
      <c r="A9" s="7" t="s">
        <v>79</v>
      </c>
      <c r="B9" s="7" t="s">
        <v>55</v>
      </c>
      <c r="C9" s="7" t="s">
        <v>66</v>
      </c>
      <c r="D9" s="7">
        <v>26</v>
      </c>
      <c r="E9" s="7">
        <v>78</v>
      </c>
      <c r="F9" s="7">
        <f>ROUND(38/E9,3)</f>
        <v>0.48699999999999999</v>
      </c>
      <c r="G9" s="7">
        <f>ROUND(62/E9,3)</f>
        <v>0.79500000000000004</v>
      </c>
      <c r="H9" s="7">
        <f>ROUND(206/E9,3)</f>
        <v>2.641</v>
      </c>
      <c r="I9" s="7">
        <f>ROUND(85/E9,3)</f>
        <v>1.0900000000000001</v>
      </c>
      <c r="J9" s="7">
        <f>ROUND(26/E9,3)</f>
        <v>0.33300000000000002</v>
      </c>
      <c r="K9" s="7">
        <f t="shared" si="0"/>
        <v>12.185</v>
      </c>
      <c r="L9" s="7">
        <f>ROUND(1676.85/E9,3)</f>
        <v>21.498000000000001</v>
      </c>
      <c r="M9" s="7">
        <f>ROUND(30/E9,3)</f>
        <v>0.38500000000000001</v>
      </c>
      <c r="N9" s="7" t="s">
        <v>1274</v>
      </c>
      <c r="O9" s="7" t="s">
        <v>1275</v>
      </c>
      <c r="P9" s="7">
        <f>ROUND(417/E9,3)</f>
        <v>5.3460000000000001</v>
      </c>
      <c r="Q9" s="7">
        <f>ROUND(306/E9,3)</f>
        <v>3.923</v>
      </c>
      <c r="R9" s="7">
        <f>ROUND(213/E9,3)</f>
        <v>2.7309999999999999</v>
      </c>
      <c r="S9" s="7">
        <f>ROUND(81/E9,3)</f>
        <v>1.038</v>
      </c>
      <c r="T9" s="7">
        <f>ROUND(27.19/E9,3)</f>
        <v>0.34899999999999998</v>
      </c>
      <c r="U9" s="7">
        <f>ROUND(123/E9,3)</f>
        <v>1.577</v>
      </c>
      <c r="V9" s="7">
        <f>ROUND(23/E9,3)</f>
        <v>0.29499999999999998</v>
      </c>
      <c r="W9" s="7">
        <f>ROUND(26.61/E9,3)</f>
        <v>0.34100000000000003</v>
      </c>
      <c r="X9" s="7">
        <v>0.64</v>
      </c>
      <c r="Y9" s="7">
        <v>0.62</v>
      </c>
      <c r="Z9" s="7">
        <v>0.61</v>
      </c>
      <c r="AA9" s="7">
        <f>ROUND(111.17/E9,3)</f>
        <v>1.425</v>
      </c>
      <c r="AB9" s="7">
        <f>ROUND(28/E9,3)</f>
        <v>0.35899999999999999</v>
      </c>
      <c r="AC9" s="7">
        <v>8480039</v>
      </c>
    </row>
    <row r="10" spans="1:29" ht="15" customHeight="1" x14ac:dyDescent="0.2">
      <c r="A10" s="7" t="s">
        <v>83</v>
      </c>
      <c r="B10" s="7" t="s">
        <v>60</v>
      </c>
      <c r="C10" s="7" t="s">
        <v>84</v>
      </c>
      <c r="D10" s="7">
        <v>29</v>
      </c>
      <c r="E10" s="7">
        <v>77</v>
      </c>
      <c r="F10" s="7">
        <f>ROUND(29/E10,3)</f>
        <v>0.377</v>
      </c>
      <c r="G10" s="7">
        <f>ROUND(71/E10,3)</f>
        <v>0.92200000000000004</v>
      </c>
      <c r="H10" s="7">
        <f>ROUND(261/E10,3)</f>
        <v>3.39</v>
      </c>
      <c r="I10" s="7">
        <f>ROUND(86/E10,3)</f>
        <v>1.117</v>
      </c>
      <c r="J10" s="7">
        <f>ROUND(32/E10,3)</f>
        <v>0.41599999999999998</v>
      </c>
      <c r="K10" s="7">
        <f t="shared" si="0"/>
        <v>12.912500000000001</v>
      </c>
      <c r="L10" s="7">
        <f>ROUND(1590.5/E10,3)</f>
        <v>20.655999999999999</v>
      </c>
      <c r="M10" s="7">
        <f>ROUND(72/E10,3)</f>
        <v>0.93500000000000005</v>
      </c>
      <c r="N10" s="7" t="s">
        <v>1024</v>
      </c>
      <c r="O10" s="7" t="s">
        <v>316</v>
      </c>
      <c r="P10" s="7">
        <f>ROUND(562/E10,3)</f>
        <v>7.2990000000000004</v>
      </c>
      <c r="Q10" s="7">
        <f>ROUND(389/E10,3)</f>
        <v>5.0519999999999996</v>
      </c>
      <c r="R10" s="7">
        <f>ROUND(241/E10,3)</f>
        <v>3.13</v>
      </c>
      <c r="S10" s="7">
        <f>ROUND(75/E10,3)</f>
        <v>0.97399999999999998</v>
      </c>
      <c r="T10" s="7">
        <f>ROUND(28.92/E10,3)</f>
        <v>0.376</v>
      </c>
      <c r="U10" s="7">
        <f>ROUND(134/E10,3)</f>
        <v>1.74</v>
      </c>
      <c r="V10" s="7">
        <f>ROUND(32/E10,3)</f>
        <v>0.41599999999999998</v>
      </c>
      <c r="W10" s="7">
        <f>ROUND(29.71/E10,3)</f>
        <v>0.38600000000000001</v>
      </c>
      <c r="X10" s="7">
        <v>0.56000000000000005</v>
      </c>
      <c r="Y10" s="7">
        <v>0.56000000000000005</v>
      </c>
      <c r="Z10" s="7">
        <v>0.55000000000000004</v>
      </c>
      <c r="AA10" s="7">
        <f>ROUND(91.22/E10,3)</f>
        <v>1.1850000000000001</v>
      </c>
      <c r="AB10" s="7">
        <f>ROUND(26/E10,3)</f>
        <v>0.33800000000000002</v>
      </c>
      <c r="AC10" s="7">
        <v>8477956</v>
      </c>
    </row>
    <row r="11" spans="1:29" ht="15" customHeight="1" x14ac:dyDescent="0.2">
      <c r="A11" s="7" t="s">
        <v>88</v>
      </c>
      <c r="B11" s="7" t="s">
        <v>55</v>
      </c>
      <c r="C11" s="7" t="s">
        <v>56</v>
      </c>
      <c r="D11" s="7">
        <v>29</v>
      </c>
      <c r="E11" s="7">
        <v>65</v>
      </c>
      <c r="F11" s="7">
        <f>ROUND(35/E11,3)</f>
        <v>0.53800000000000003</v>
      </c>
      <c r="G11" s="7">
        <f>ROUND(62/E11,3)</f>
        <v>0.95399999999999996</v>
      </c>
      <c r="H11" s="7">
        <f>ROUND(184/E11,3)</f>
        <v>2.831</v>
      </c>
      <c r="I11" s="7">
        <f>ROUND(34/E11,3)</f>
        <v>0.52300000000000002</v>
      </c>
      <c r="J11" s="7">
        <f>ROUND(15/E11,3)</f>
        <v>0.23100000000000001</v>
      </c>
      <c r="K11" s="7">
        <f t="shared" si="0"/>
        <v>13.3515</v>
      </c>
      <c r="L11" s="7">
        <f>ROUND(1402.3833333333/E11,3)</f>
        <v>21.574999999999999</v>
      </c>
      <c r="M11" s="7">
        <f>ROUND(26/E11,3)</f>
        <v>0.4</v>
      </c>
      <c r="N11" s="7" t="s">
        <v>1277</v>
      </c>
      <c r="O11" s="7" t="s">
        <v>825</v>
      </c>
      <c r="P11" s="7">
        <f>ROUND(370/E11,3)</f>
        <v>5.6920000000000002</v>
      </c>
      <c r="Q11" s="7">
        <f>ROUND(293/E11,3)</f>
        <v>4.508</v>
      </c>
      <c r="R11" s="7">
        <f>ROUND(198/E11,3)</f>
        <v>3.0459999999999998</v>
      </c>
      <c r="S11" s="7">
        <f>ROUND(65/E11,3)</f>
        <v>1</v>
      </c>
      <c r="T11" s="7">
        <f>ROUND(25.64/E11,3)</f>
        <v>0.39400000000000002</v>
      </c>
      <c r="U11" s="7">
        <f>ROUND(106/E11,3)</f>
        <v>1.631</v>
      </c>
      <c r="V11" s="7">
        <f>ROUND(26/E11,3)</f>
        <v>0.4</v>
      </c>
      <c r="W11" s="7">
        <f>ROUND(23.93/E11,3)</f>
        <v>0.36799999999999999</v>
      </c>
      <c r="X11" s="7">
        <v>0.62</v>
      </c>
      <c r="Y11" s="7">
        <v>0.6</v>
      </c>
      <c r="Z11" s="7">
        <v>0.61</v>
      </c>
      <c r="AA11" s="7">
        <f>ROUND(90.48/E11,3)</f>
        <v>1.3919999999999999</v>
      </c>
      <c r="AB11" s="7">
        <f>ROUND(20/E11,3)</f>
        <v>0.308</v>
      </c>
      <c r="AC11" s="7">
        <v>8477934</v>
      </c>
    </row>
    <row r="12" spans="1:29" ht="15" customHeight="1" x14ac:dyDescent="0.2">
      <c r="A12" s="7" t="s">
        <v>91</v>
      </c>
      <c r="B12" s="7" t="s">
        <v>92</v>
      </c>
      <c r="C12" s="7" t="s">
        <v>93</v>
      </c>
      <c r="D12" s="7">
        <v>26</v>
      </c>
      <c r="E12" s="7">
        <v>82</v>
      </c>
      <c r="F12" s="7">
        <f>ROUND(45/E12,3)</f>
        <v>0.54900000000000004</v>
      </c>
      <c r="G12" s="7">
        <f>ROUND(51/E12,3)</f>
        <v>0.622</v>
      </c>
      <c r="H12" s="7">
        <f>ROUND(295/E12,3)</f>
        <v>3.5979999999999999</v>
      </c>
      <c r="I12" s="7">
        <f>ROUND(48/E12,3)</f>
        <v>0.58499999999999996</v>
      </c>
      <c r="J12" s="7">
        <f>ROUND(34/E12,3)</f>
        <v>0.41499999999999998</v>
      </c>
      <c r="K12" s="7">
        <f t="shared" si="0"/>
        <v>12.429500000000001</v>
      </c>
      <c r="L12" s="7">
        <f>ROUND(1660.75/E12,3)</f>
        <v>20.253</v>
      </c>
      <c r="M12" s="7">
        <f>ROUND(32/E12,3)</f>
        <v>0.39</v>
      </c>
      <c r="N12" s="7" t="s">
        <v>1278</v>
      </c>
      <c r="O12" s="7" t="s">
        <v>1279</v>
      </c>
      <c r="P12" s="7">
        <f>ROUND(553/E12,3)</f>
        <v>6.7439999999999998</v>
      </c>
      <c r="Q12" s="7">
        <f>ROUND(423/E12,3)</f>
        <v>5.1589999999999998</v>
      </c>
      <c r="R12" s="7">
        <f>ROUND(341/E12,3)</f>
        <v>4.1589999999999998</v>
      </c>
      <c r="S12" s="7">
        <f>ROUND(134/E12,3)</f>
        <v>1.6339999999999999</v>
      </c>
      <c r="T12" s="7">
        <f>ROUND(38.99/E12,3)</f>
        <v>0.47499999999999998</v>
      </c>
      <c r="U12" s="7">
        <f>ROUND(107/E12,3)</f>
        <v>1.3049999999999999</v>
      </c>
      <c r="V12" s="7">
        <f>ROUND(24/E12,3)</f>
        <v>0.29299999999999998</v>
      </c>
      <c r="W12" s="7">
        <f>ROUND(37.75/E12,3)</f>
        <v>0.46</v>
      </c>
      <c r="X12" s="7">
        <v>0.65</v>
      </c>
      <c r="Y12" s="7">
        <v>0.59</v>
      </c>
      <c r="Z12" s="7">
        <v>0.59</v>
      </c>
      <c r="AA12" s="7">
        <f>ROUND(96.81/E12,3)</f>
        <v>1.181</v>
      </c>
      <c r="AB12" s="7">
        <f>ROUND(40/E12,3)</f>
        <v>0.48799999999999999</v>
      </c>
      <c r="AC12" s="7">
        <v>8480027</v>
      </c>
    </row>
    <row r="13" spans="1:29" ht="15" customHeight="1" x14ac:dyDescent="0.2">
      <c r="A13" s="7" t="s">
        <v>97</v>
      </c>
      <c r="B13" s="7" t="s">
        <v>92</v>
      </c>
      <c r="C13" s="7" t="s">
        <v>72</v>
      </c>
      <c r="D13" s="7">
        <v>28</v>
      </c>
      <c r="E13" s="7">
        <v>82</v>
      </c>
      <c r="F13" s="7">
        <f>ROUND(39/E13,3)</f>
        <v>0.47599999999999998</v>
      </c>
      <c r="G13" s="7">
        <f>ROUND(53/E13,3)</f>
        <v>0.64600000000000002</v>
      </c>
      <c r="H13" s="7">
        <f>ROUND(274/E13,3)</f>
        <v>3.3410000000000002</v>
      </c>
      <c r="I13" s="7">
        <f>ROUND(36/E13,3)</f>
        <v>0.439</v>
      </c>
      <c r="J13" s="7">
        <f>ROUND(19/E13,3)</f>
        <v>0.23200000000000001</v>
      </c>
      <c r="K13" s="7">
        <f t="shared" si="0"/>
        <v>11.4765</v>
      </c>
      <c r="L13" s="7">
        <f>ROUND(1763.5166666667/E13,3)</f>
        <v>21.506</v>
      </c>
      <c r="M13" s="7">
        <f>ROUND(16/E13,3)</f>
        <v>0.19500000000000001</v>
      </c>
      <c r="N13" s="7" t="s">
        <v>1280</v>
      </c>
      <c r="O13" s="7" t="s">
        <v>1281</v>
      </c>
      <c r="P13" s="7">
        <f>ROUND(498/E13,3)</f>
        <v>6.0730000000000004</v>
      </c>
      <c r="Q13" s="7">
        <f>ROUND(393/E13,3)</f>
        <v>4.7930000000000001</v>
      </c>
      <c r="R13" s="7">
        <f>ROUND(290/E13,3)</f>
        <v>3.5369999999999999</v>
      </c>
      <c r="S13" s="7">
        <f>ROUND(97/E13,3)</f>
        <v>1.1830000000000001</v>
      </c>
      <c r="T13" s="7">
        <f>ROUND(30.76/E13,3)</f>
        <v>0.375</v>
      </c>
      <c r="U13" s="7">
        <f>ROUND(69/E13,3)</f>
        <v>0.84099999999999997</v>
      </c>
      <c r="V13" s="7">
        <f>ROUND(21/E13,3)</f>
        <v>0.25600000000000001</v>
      </c>
      <c r="W13" s="7">
        <f>ROUND(32.81/E13,3)</f>
        <v>0.4</v>
      </c>
      <c r="X13" s="7">
        <v>0.54</v>
      </c>
      <c r="Y13" s="7">
        <v>0.53</v>
      </c>
      <c r="Z13" s="7">
        <v>0.53</v>
      </c>
      <c r="AA13" s="7">
        <f>ROUND(84.84/E13,3)</f>
        <v>1.0349999999999999</v>
      </c>
      <c r="AB13" s="7">
        <f>ROUND(29/E13,3)</f>
        <v>0.35399999999999998</v>
      </c>
      <c r="AC13" s="7">
        <v>8478398</v>
      </c>
    </row>
    <row r="14" spans="1:29" ht="15" customHeight="1" x14ac:dyDescent="0.2">
      <c r="A14" s="7" t="s">
        <v>101</v>
      </c>
      <c r="B14" s="7" t="s">
        <v>55</v>
      </c>
      <c r="C14" s="7" t="s">
        <v>102</v>
      </c>
      <c r="D14" s="7">
        <v>28</v>
      </c>
      <c r="E14" s="7">
        <v>74</v>
      </c>
      <c r="F14" s="7">
        <f>ROUND(27/E14,3)</f>
        <v>0.36499999999999999</v>
      </c>
      <c r="G14" s="7">
        <f>ROUND(63/E14,3)</f>
        <v>0.85099999999999998</v>
      </c>
      <c r="H14" s="7">
        <f>ROUND(260/E14,3)</f>
        <v>3.5139999999999998</v>
      </c>
      <c r="I14" s="7">
        <f>ROUND(35/E14,3)</f>
        <v>0.47299999999999998</v>
      </c>
      <c r="J14" s="7">
        <f>ROUND(40/E14,3)</f>
        <v>0.54100000000000004</v>
      </c>
      <c r="K14" s="7">
        <f t="shared" si="0"/>
        <v>12.317499999999999</v>
      </c>
      <c r="L14" s="7">
        <f>ROUND(1568.8666666667/E14,3)</f>
        <v>21.201000000000001</v>
      </c>
      <c r="M14" s="7">
        <f>ROUND(18/E14,3)</f>
        <v>0.24299999999999999</v>
      </c>
      <c r="N14" s="7" t="s">
        <v>1282</v>
      </c>
      <c r="O14" s="7" t="s">
        <v>1283</v>
      </c>
      <c r="P14" s="7">
        <f>ROUND(471/E14,3)</f>
        <v>6.3650000000000002</v>
      </c>
      <c r="Q14" s="7">
        <f>ROUND(363/E14,3)</f>
        <v>4.9050000000000002</v>
      </c>
      <c r="R14" s="7">
        <f>ROUND(205/E14,3)</f>
        <v>2.77</v>
      </c>
      <c r="S14" s="7">
        <f>ROUND(69/E14,3)</f>
        <v>0.93200000000000005</v>
      </c>
      <c r="T14" s="7">
        <f>ROUND(26.31/E14,3)</f>
        <v>0.35599999999999998</v>
      </c>
      <c r="U14" s="7">
        <f>ROUND(120/E14,3)</f>
        <v>1.6220000000000001</v>
      </c>
      <c r="V14" s="7">
        <f>ROUND(28/E14,3)</f>
        <v>0.378</v>
      </c>
      <c r="W14" s="7">
        <f>ROUND(25.28/E14,3)</f>
        <v>0.34200000000000003</v>
      </c>
      <c r="X14" s="7">
        <v>0.6</v>
      </c>
      <c r="Y14" s="7">
        <v>0.57999999999999996</v>
      </c>
      <c r="Z14" s="7">
        <v>0.59</v>
      </c>
      <c r="AA14" s="7">
        <f>ROUND(93.35/E14,3)</f>
        <v>1.2609999999999999</v>
      </c>
      <c r="AB14" s="7">
        <f>ROUND(28/E14,3)</f>
        <v>0.378</v>
      </c>
      <c r="AC14" s="7">
        <v>8478403</v>
      </c>
    </row>
    <row r="15" spans="1:29" ht="15" customHeight="1" x14ac:dyDescent="0.2">
      <c r="A15" s="7" t="s">
        <v>105</v>
      </c>
      <c r="B15" s="7" t="s">
        <v>92</v>
      </c>
      <c r="C15" s="7" t="s">
        <v>106</v>
      </c>
      <c r="D15" s="7">
        <v>28</v>
      </c>
      <c r="E15" s="7">
        <v>78</v>
      </c>
      <c r="F15" s="7">
        <f>ROUND(45/E15,3)</f>
        <v>0.57699999999999996</v>
      </c>
      <c r="G15" s="7">
        <f>ROUND(44/E15,3)</f>
        <v>0.56399999999999995</v>
      </c>
      <c r="H15" s="7">
        <f>ROUND(267/E15,3)</f>
        <v>3.423</v>
      </c>
      <c r="I15" s="7">
        <f>ROUND(52/E15,3)</f>
        <v>0.66700000000000004</v>
      </c>
      <c r="J15" s="7">
        <f>ROUND(27/E15,3)</f>
        <v>0.34599999999999997</v>
      </c>
      <c r="K15" s="7">
        <f t="shared" si="0"/>
        <v>12.102499999999999</v>
      </c>
      <c r="L15" s="7">
        <f>ROUND(1727.45/E15,3)</f>
        <v>22.146999999999998</v>
      </c>
      <c r="M15" s="7">
        <f>ROUND(28/E15,3)</f>
        <v>0.35899999999999999</v>
      </c>
      <c r="N15" s="7" t="s">
        <v>1079</v>
      </c>
      <c r="O15" s="7" t="s">
        <v>579</v>
      </c>
      <c r="P15" s="7">
        <f>ROUND(534/E15,3)</f>
        <v>6.8460000000000001</v>
      </c>
      <c r="Q15" s="7">
        <f>ROUND(422/E15,3)</f>
        <v>5.41</v>
      </c>
      <c r="R15" s="7">
        <f>ROUND(289/E15,3)</f>
        <v>3.7050000000000001</v>
      </c>
      <c r="S15" s="7">
        <f>ROUND(123/E15,3)</f>
        <v>1.577</v>
      </c>
      <c r="T15" s="7">
        <f>ROUND(40.83/E15,3)</f>
        <v>0.52300000000000002</v>
      </c>
      <c r="U15" s="7">
        <f>ROUND(112/E15,3)</f>
        <v>1.4359999999999999</v>
      </c>
      <c r="V15" s="7">
        <f>ROUND(22/E15,3)</f>
        <v>0.28199999999999997</v>
      </c>
      <c r="W15" s="7">
        <f>ROUND(38.4/E15,3)</f>
        <v>0.49199999999999999</v>
      </c>
      <c r="X15" s="7">
        <v>0.63</v>
      </c>
      <c r="Y15" s="7">
        <v>0.59</v>
      </c>
      <c r="Z15" s="7">
        <v>0.6</v>
      </c>
      <c r="AA15" s="7">
        <f>ROUND(88.76/E15,3)</f>
        <v>1.1379999999999999</v>
      </c>
      <c r="AB15" s="7">
        <f>ROUND(42/E15,3)</f>
        <v>0.53800000000000003</v>
      </c>
      <c r="AC15" s="7">
        <v>8478864</v>
      </c>
    </row>
    <row r="16" spans="1:29" ht="15" customHeight="1" x14ac:dyDescent="0.2">
      <c r="A16" s="7" t="s">
        <v>109</v>
      </c>
      <c r="B16" s="7" t="s">
        <v>60</v>
      </c>
      <c r="C16" s="7" t="s">
        <v>76</v>
      </c>
      <c r="D16" s="7">
        <v>24</v>
      </c>
      <c r="E16" s="7">
        <v>81</v>
      </c>
      <c r="F16" s="7">
        <f>ROUND(51/E16,3)</f>
        <v>0.63</v>
      </c>
      <c r="G16" s="7">
        <f>ROUND(37/E16,3)</f>
        <v>0.45700000000000002</v>
      </c>
      <c r="H16" s="7">
        <f>ROUND(258/E16,3)</f>
        <v>3.1850000000000001</v>
      </c>
      <c r="I16" s="7">
        <f>ROUND(50/E16,3)</f>
        <v>0.61699999999999999</v>
      </c>
      <c r="J16" s="7">
        <f>ROUND(21/E16,3)</f>
        <v>0.25900000000000001</v>
      </c>
      <c r="K16" s="7">
        <f t="shared" si="0"/>
        <v>11.534500000000001</v>
      </c>
      <c r="L16" s="7">
        <f>ROUND(1472.8666666667/E16,3)</f>
        <v>18.184000000000001</v>
      </c>
      <c r="M16" s="7">
        <f>ROUND(14/E16,3)</f>
        <v>0.17299999999999999</v>
      </c>
      <c r="N16" s="7" t="s">
        <v>196</v>
      </c>
      <c r="O16" s="7" t="s">
        <v>1284</v>
      </c>
      <c r="P16" s="7">
        <f>ROUND(462/E16,3)</f>
        <v>5.7039999999999997</v>
      </c>
      <c r="Q16" s="7">
        <f>ROUND(386/E16,3)</f>
        <v>4.7649999999999997</v>
      </c>
      <c r="R16" s="7">
        <f>ROUND(275/E16,3)</f>
        <v>3.395</v>
      </c>
      <c r="S16" s="7">
        <f>ROUND(108/E16,3)</f>
        <v>1.333</v>
      </c>
      <c r="T16" s="7">
        <f>ROUND(36.94/E16,3)</f>
        <v>0.45600000000000002</v>
      </c>
      <c r="U16" s="7">
        <f>ROUND(56/E16,3)</f>
        <v>0.69099999999999995</v>
      </c>
      <c r="V16" s="7">
        <f>ROUND(22/E16,3)</f>
        <v>0.27200000000000002</v>
      </c>
      <c r="W16" s="7">
        <f>ROUND(33.68/E16,3)</f>
        <v>0.41599999999999998</v>
      </c>
      <c r="X16" s="7">
        <v>0.63</v>
      </c>
      <c r="Y16" s="7">
        <v>0.6</v>
      </c>
      <c r="Z16" s="7">
        <v>0.62</v>
      </c>
      <c r="AA16" s="7">
        <f>ROUND(94.29/E16,3)</f>
        <v>1.1639999999999999</v>
      </c>
      <c r="AB16" s="7">
        <f>ROUND(28/E16,3)</f>
        <v>0.34599999999999997</v>
      </c>
      <c r="AC16" s="7">
        <v>8481540</v>
      </c>
    </row>
    <row r="17" spans="1:29" ht="15" customHeight="1" x14ac:dyDescent="0.2">
      <c r="A17" s="7" t="s">
        <v>113</v>
      </c>
      <c r="B17" s="7" t="s">
        <v>55</v>
      </c>
      <c r="C17" s="7" t="s">
        <v>61</v>
      </c>
      <c r="D17" s="7">
        <v>30</v>
      </c>
      <c r="E17" s="7">
        <v>81</v>
      </c>
      <c r="F17" s="7">
        <f>ROUND(38/E17,3)</f>
        <v>0.46899999999999997</v>
      </c>
      <c r="G17" s="7">
        <f>ROUND(50/E17,3)</f>
        <v>0.61699999999999999</v>
      </c>
      <c r="H17" s="7">
        <f>ROUND(219/E17,3)</f>
        <v>2.7040000000000002</v>
      </c>
      <c r="I17" s="7">
        <f>ROUND(39/E17,3)</f>
        <v>0.48099999999999998</v>
      </c>
      <c r="J17" s="7">
        <f>ROUND(41/E17,3)</f>
        <v>0.50600000000000001</v>
      </c>
      <c r="K17" s="7">
        <f t="shared" si="0"/>
        <v>10.904500000000001</v>
      </c>
      <c r="L17" s="7">
        <f>ROUND(1639.9166666667/E17,3)</f>
        <v>20.245999999999999</v>
      </c>
      <c r="M17" s="7">
        <f>ROUND(61/E17,3)</f>
        <v>0.753</v>
      </c>
      <c r="N17" s="7" t="s">
        <v>115</v>
      </c>
      <c r="O17" s="7" t="s">
        <v>1285</v>
      </c>
      <c r="P17" s="7">
        <f>ROUND(385/E17,3)</f>
        <v>4.7530000000000001</v>
      </c>
      <c r="Q17" s="7">
        <f>ROUND(315/E17,3)</f>
        <v>3.8889999999999998</v>
      </c>
      <c r="R17" s="7">
        <f>ROUND(287/E17,3)</f>
        <v>3.5430000000000001</v>
      </c>
      <c r="S17" s="7">
        <f>ROUND(164/E17,3)</f>
        <v>2.0249999999999999</v>
      </c>
      <c r="T17" s="7">
        <f>ROUND(38.21/E17,3)</f>
        <v>0.47199999999999998</v>
      </c>
      <c r="U17" s="7">
        <f>ROUND(73/E17,3)</f>
        <v>0.90100000000000002</v>
      </c>
      <c r="V17" s="7">
        <f>ROUND(23/E17,3)</f>
        <v>0.28399999999999997</v>
      </c>
      <c r="W17" s="7">
        <f>ROUND(35.64/E17,3)</f>
        <v>0.44</v>
      </c>
      <c r="X17" s="7">
        <v>0.6</v>
      </c>
      <c r="Y17" s="7">
        <v>0.57999999999999996</v>
      </c>
      <c r="Z17" s="7">
        <v>0.56999999999999995</v>
      </c>
      <c r="AA17" s="7">
        <f>ROUND(88.66/E17,3)</f>
        <v>1.095</v>
      </c>
      <c r="AB17" s="7">
        <f>ROUND(36/E17,3)</f>
        <v>0.44400000000000001</v>
      </c>
      <c r="AC17" s="7">
        <v>8477404</v>
      </c>
    </row>
    <row r="18" spans="1:29" ht="15" customHeight="1" x14ac:dyDescent="0.2">
      <c r="A18" s="7" t="s">
        <v>117</v>
      </c>
      <c r="B18" s="7" t="s">
        <v>60</v>
      </c>
      <c r="C18" s="7" t="s">
        <v>1049</v>
      </c>
      <c r="D18" s="7">
        <v>27</v>
      </c>
      <c r="E18" s="7">
        <v>82</v>
      </c>
      <c r="F18" s="7">
        <f>ROUND(26/E18,3)</f>
        <v>0.317</v>
      </c>
      <c r="G18" s="7">
        <f>ROUND(62/E18,3)</f>
        <v>0.75600000000000001</v>
      </c>
      <c r="H18" s="7">
        <f>ROUND(225/E18,3)</f>
        <v>2.7440000000000002</v>
      </c>
      <c r="I18" s="7">
        <f>ROUND(8/E18,3)</f>
        <v>9.8000000000000004E-2</v>
      </c>
      <c r="J18" s="7">
        <f>ROUND(32/E18,3)</f>
        <v>0.39</v>
      </c>
      <c r="K18" s="7">
        <f t="shared" si="0"/>
        <v>10.254999999999999</v>
      </c>
      <c r="L18" s="7">
        <f>ROUND(1565.0333333333/E18,3)</f>
        <v>19.085999999999999</v>
      </c>
      <c r="M18" s="7">
        <f>ROUND(38/E18,3)</f>
        <v>0.46300000000000002</v>
      </c>
      <c r="N18" s="7" t="s">
        <v>1286</v>
      </c>
      <c r="O18" s="7" t="s">
        <v>1287</v>
      </c>
      <c r="P18" s="7">
        <f>ROUND(425/E18,3)</f>
        <v>5.1829999999999998</v>
      </c>
      <c r="Q18" s="7">
        <f>ROUND(338/E18,3)</f>
        <v>4.1219999999999999</v>
      </c>
      <c r="R18" s="7">
        <f>ROUND(199/E18,3)</f>
        <v>2.427</v>
      </c>
      <c r="S18" s="7">
        <f>ROUND(76/E18,3)</f>
        <v>0.92700000000000005</v>
      </c>
      <c r="T18" s="7">
        <f>ROUND(26.29/E18,3)</f>
        <v>0.32100000000000001</v>
      </c>
      <c r="U18" s="7">
        <f>ROUND(105/E18,3)</f>
        <v>1.28</v>
      </c>
      <c r="V18" s="7">
        <f>ROUND(26/E18,3)</f>
        <v>0.317</v>
      </c>
      <c r="W18" s="7">
        <f>ROUND(25.58/E18,3)</f>
        <v>0.312</v>
      </c>
      <c r="X18" s="7">
        <v>0.6</v>
      </c>
      <c r="Y18" s="7">
        <v>0.63</v>
      </c>
      <c r="Z18" s="7">
        <v>0.63</v>
      </c>
      <c r="AA18" s="7">
        <f>ROUND(96.84/E18,3)</f>
        <v>1.181</v>
      </c>
      <c r="AB18" s="7">
        <f>ROUND(24/E18,3)</f>
        <v>0.29299999999999998</v>
      </c>
      <c r="AC18" s="7">
        <v>8479343</v>
      </c>
    </row>
    <row r="19" spans="1:29" ht="15" customHeight="1" x14ac:dyDescent="0.2">
      <c r="A19" s="7" t="s">
        <v>121</v>
      </c>
      <c r="B19" s="7" t="s">
        <v>55</v>
      </c>
      <c r="C19" s="7" t="s">
        <v>93</v>
      </c>
      <c r="D19" s="7">
        <v>22</v>
      </c>
      <c r="E19" s="7">
        <v>82</v>
      </c>
      <c r="F19" s="7">
        <f>ROUND(45/E19,3)</f>
        <v>0.54900000000000004</v>
      </c>
      <c r="G19" s="7">
        <f>ROUND(41/E19,3)</f>
        <v>0.5</v>
      </c>
      <c r="H19" s="7">
        <f>ROUND(206/E19,3)</f>
        <v>2.512</v>
      </c>
      <c r="I19" s="7">
        <f>ROUND(56/E19,3)</f>
        <v>0.68300000000000005</v>
      </c>
      <c r="J19" s="7">
        <f>ROUND(55/E19,3)</f>
        <v>0.67100000000000004</v>
      </c>
      <c r="K19" s="7">
        <f t="shared" si="0"/>
        <v>10.916499999999999</v>
      </c>
      <c r="L19" s="7">
        <f>ROUND(1650.1166666667/E19,3)</f>
        <v>20.123000000000001</v>
      </c>
      <c r="M19" s="7">
        <f>ROUND(32/E19,3)</f>
        <v>0.39</v>
      </c>
      <c r="N19" s="7" t="s">
        <v>1288</v>
      </c>
      <c r="O19" s="7" t="s">
        <v>1289</v>
      </c>
      <c r="P19" s="7">
        <f>ROUND(402/E19,3)</f>
        <v>4.9020000000000001</v>
      </c>
      <c r="Q19" s="7">
        <f>ROUND(302/E19,3)</f>
        <v>3.6829999999999998</v>
      </c>
      <c r="R19" s="7">
        <f>ROUND(311/E19,3)</f>
        <v>3.7930000000000001</v>
      </c>
      <c r="S19" s="7">
        <f>ROUND(160/E19,3)</f>
        <v>1.9510000000000001</v>
      </c>
      <c r="T19" s="7">
        <f>ROUND(38.48/E19,3)</f>
        <v>0.46899999999999997</v>
      </c>
      <c r="U19" s="7">
        <f>ROUND(62/E19,3)</f>
        <v>0.75600000000000001</v>
      </c>
      <c r="V19" s="7">
        <f>ROUND(23/E19,3)</f>
        <v>0.28000000000000003</v>
      </c>
      <c r="W19" s="7">
        <f>ROUND(35.88/E19,3)</f>
        <v>0.438</v>
      </c>
      <c r="X19" s="7">
        <v>0.59</v>
      </c>
      <c r="Y19" s="7">
        <v>0.53</v>
      </c>
      <c r="Z19" s="7">
        <v>0.53</v>
      </c>
      <c r="AA19" s="7">
        <f>ROUND(68.4/E19,3)</f>
        <v>0.83399999999999996</v>
      </c>
      <c r="AB19" s="7">
        <f>ROUND(51/E19,3)</f>
        <v>0.622</v>
      </c>
      <c r="AC19" s="7">
        <v>8482740</v>
      </c>
    </row>
    <row r="20" spans="1:29" ht="15" customHeight="1" x14ac:dyDescent="0.2">
      <c r="A20" s="7" t="s">
        <v>122</v>
      </c>
      <c r="B20" s="7" t="s">
        <v>92</v>
      </c>
      <c r="C20" s="7" t="s">
        <v>106</v>
      </c>
      <c r="D20" s="7">
        <v>24</v>
      </c>
      <c r="E20" s="7">
        <v>76</v>
      </c>
      <c r="F20" s="7">
        <f>ROUND(42/E20,3)</f>
        <v>0.55300000000000005</v>
      </c>
      <c r="G20" s="7">
        <f>ROUND(43/E20,3)</f>
        <v>0.56599999999999995</v>
      </c>
      <c r="H20" s="7">
        <f>ROUND(253/E20,3)</f>
        <v>3.3290000000000002</v>
      </c>
      <c r="I20" s="7">
        <f>ROUND(60/E20,3)</f>
        <v>0.78900000000000003</v>
      </c>
      <c r="J20" s="7">
        <f>ROUND(58/E20,3)</f>
        <v>0.76300000000000001</v>
      </c>
      <c r="K20" s="7">
        <f t="shared" si="0"/>
        <v>12.306500000000002</v>
      </c>
      <c r="L20" s="7">
        <f>ROUND(1563.25/E20,3)</f>
        <v>20.568999999999999</v>
      </c>
      <c r="M20" s="7">
        <f>ROUND(30/E20,3)</f>
        <v>0.39500000000000002</v>
      </c>
      <c r="N20" s="7" t="s">
        <v>329</v>
      </c>
      <c r="O20" s="7" t="s">
        <v>1290</v>
      </c>
      <c r="P20" s="7">
        <f>ROUND(501/E20,3)</f>
        <v>6.5919999999999996</v>
      </c>
      <c r="Q20" s="7">
        <f>ROUND(396/E20,3)</f>
        <v>5.2110000000000003</v>
      </c>
      <c r="R20" s="7">
        <f>ROUND(252/E20,3)</f>
        <v>3.3159999999999998</v>
      </c>
      <c r="S20" s="7">
        <f>ROUND(109/E20,3)</f>
        <v>1.4339999999999999</v>
      </c>
      <c r="T20" s="7">
        <f>ROUND(32.65/E20,3)</f>
        <v>0.43</v>
      </c>
      <c r="U20" s="7">
        <f>ROUND(86/E20,3)</f>
        <v>1.1319999999999999</v>
      </c>
      <c r="V20" s="7">
        <f>ROUND(34/E20,3)</f>
        <v>0.44700000000000001</v>
      </c>
      <c r="W20" s="7">
        <f>ROUND(30.45/E20,3)</f>
        <v>0.40100000000000002</v>
      </c>
      <c r="X20" s="7">
        <v>0.57999999999999996</v>
      </c>
      <c r="Y20" s="7">
        <v>0.56000000000000005</v>
      </c>
      <c r="Z20" s="7">
        <v>0.56999999999999995</v>
      </c>
      <c r="AA20" s="7">
        <f>ROUND(87.86/E20,3)</f>
        <v>1.1559999999999999</v>
      </c>
      <c r="AB20" s="7">
        <f>ROUND(32/E20,3)</f>
        <v>0.42099999999999999</v>
      </c>
      <c r="AC20" s="7">
        <v>8481557</v>
      </c>
    </row>
    <row r="21" spans="1:29" ht="15" customHeight="1" x14ac:dyDescent="0.2">
      <c r="A21" s="7" t="s">
        <v>126</v>
      </c>
      <c r="B21" s="7" t="s">
        <v>60</v>
      </c>
      <c r="C21" s="7" t="s">
        <v>160</v>
      </c>
      <c r="D21" s="7">
        <v>27</v>
      </c>
      <c r="E21" s="7">
        <v>82</v>
      </c>
      <c r="F21" s="7">
        <f>ROUND(41/E21,3)</f>
        <v>0.5</v>
      </c>
      <c r="G21" s="7">
        <f>ROUND(44/E21,3)</f>
        <v>0.53700000000000003</v>
      </c>
      <c r="H21" s="7">
        <f>ROUND(287/E21,3)</f>
        <v>3.5</v>
      </c>
      <c r="I21" s="7">
        <f>ROUND(38/E21,3)</f>
        <v>0.46300000000000002</v>
      </c>
      <c r="J21" s="7">
        <f>ROUND(39/E21,3)</f>
        <v>0.47599999999999998</v>
      </c>
      <c r="K21" s="7">
        <f t="shared" si="0"/>
        <v>11.429500000000001</v>
      </c>
      <c r="L21" s="7">
        <f>ROUND(1517.0166666667/E21,3)</f>
        <v>18.5</v>
      </c>
      <c r="M21" s="7">
        <f>ROUND(19/E21,3)</f>
        <v>0.23200000000000001</v>
      </c>
      <c r="N21" s="7" t="s">
        <v>1292</v>
      </c>
      <c r="O21" s="7" t="s">
        <v>100</v>
      </c>
      <c r="P21" s="7">
        <f>ROUND(579/E21,3)</f>
        <v>7.0609999999999999</v>
      </c>
      <c r="Q21" s="7">
        <f>ROUND(443/E21,3)</f>
        <v>5.4020000000000001</v>
      </c>
      <c r="R21" s="7">
        <f>ROUND(315/E21,3)</f>
        <v>3.8410000000000002</v>
      </c>
      <c r="S21" s="7">
        <f>ROUND(109/E21,3)</f>
        <v>1.329</v>
      </c>
      <c r="T21" s="7">
        <f>ROUND(39.08/E21,3)</f>
        <v>0.47699999999999998</v>
      </c>
      <c r="U21" s="7">
        <f>ROUND(87/E21,3)</f>
        <v>1.0609999999999999</v>
      </c>
      <c r="V21" s="7">
        <f>ROUND(43/E21,3)</f>
        <v>0.52400000000000002</v>
      </c>
      <c r="W21" s="7">
        <f>ROUND(36.87/E21,3)</f>
        <v>0.45</v>
      </c>
      <c r="X21" s="7">
        <v>0.63</v>
      </c>
      <c r="Y21" s="7">
        <v>0.59</v>
      </c>
      <c r="Z21" s="7">
        <v>0.62</v>
      </c>
      <c r="AA21" s="7">
        <f>ROUND(87.36/E21,3)</f>
        <v>1.0649999999999999</v>
      </c>
      <c r="AB21" s="7">
        <f>ROUND(37/E21,3)</f>
        <v>0.45100000000000001</v>
      </c>
      <c r="AC21" s="7">
        <v>8479337</v>
      </c>
    </row>
    <row r="22" spans="1:29" ht="15" customHeight="1" x14ac:dyDescent="0.2">
      <c r="A22" s="7" t="s">
        <v>130</v>
      </c>
      <c r="B22" s="7" t="s">
        <v>92</v>
      </c>
      <c r="C22" s="7" t="s">
        <v>1293</v>
      </c>
      <c r="D22" s="7">
        <v>33</v>
      </c>
      <c r="E22" s="7">
        <v>78</v>
      </c>
      <c r="F22" s="7">
        <f>ROUND(28/E22,3)</f>
        <v>0.35899999999999999</v>
      </c>
      <c r="G22" s="7">
        <f>ROUND(56/E22,3)</f>
        <v>0.71799999999999997</v>
      </c>
      <c r="H22" s="7">
        <f>ROUND(224/E22,3)</f>
        <v>2.8719999999999999</v>
      </c>
      <c r="I22" s="7">
        <f>ROUND(11/E22,3)</f>
        <v>0.14099999999999999</v>
      </c>
      <c r="J22" s="7">
        <f>ROUND(16/E22,3)</f>
        <v>0.20499999999999999</v>
      </c>
      <c r="K22" s="7">
        <f t="shared" si="0"/>
        <v>10.327499999999999</v>
      </c>
      <c r="L22" s="7">
        <f>ROUND(1625.7/E22,3)</f>
        <v>20.841999999999999</v>
      </c>
      <c r="M22" s="7">
        <f>ROUND(20/E22,3)</f>
        <v>0.25600000000000001</v>
      </c>
      <c r="N22" s="7" t="s">
        <v>1294</v>
      </c>
      <c r="O22" s="7" t="s">
        <v>162</v>
      </c>
      <c r="P22" s="7">
        <f>ROUND(513/E22,3)</f>
        <v>6.577</v>
      </c>
      <c r="Q22" s="7">
        <f>ROUND(365/E22,3)</f>
        <v>4.6790000000000003</v>
      </c>
      <c r="R22" s="7">
        <f>ROUND(235/E22,3)</f>
        <v>3.0129999999999999</v>
      </c>
      <c r="S22" s="7">
        <f>ROUND(46/E22,3)</f>
        <v>0.59</v>
      </c>
      <c r="T22" s="7">
        <f>ROUND(23.82/E22,3)</f>
        <v>0.30499999999999999</v>
      </c>
      <c r="U22" s="7">
        <f>ROUND(105/E22,3)</f>
        <v>1.3460000000000001</v>
      </c>
      <c r="V22" s="7">
        <f>ROUND(25/E22,3)</f>
        <v>0.32100000000000001</v>
      </c>
      <c r="W22" s="7">
        <f>ROUND(23.84/E22,3)</f>
        <v>0.30599999999999999</v>
      </c>
      <c r="X22" s="7">
        <v>0.56000000000000005</v>
      </c>
      <c r="Y22" s="7">
        <v>0.61</v>
      </c>
      <c r="Z22" s="7">
        <v>0.61</v>
      </c>
      <c r="AA22" s="7">
        <f>ROUND(88.71/E22,3)</f>
        <v>1.137</v>
      </c>
      <c r="AB22" s="7">
        <f>ROUND(17/E22,3)</f>
        <v>0.218</v>
      </c>
      <c r="AC22" s="7">
        <v>8478550</v>
      </c>
    </row>
    <row r="23" spans="1:29" ht="15" customHeight="1" x14ac:dyDescent="0.2">
      <c r="A23" s="7" t="s">
        <v>134</v>
      </c>
      <c r="B23" s="7" t="s">
        <v>55</v>
      </c>
      <c r="C23" s="7" t="s">
        <v>135</v>
      </c>
      <c r="D23" s="7">
        <v>23</v>
      </c>
      <c r="E23" s="7">
        <v>80</v>
      </c>
      <c r="F23" s="7">
        <f>ROUND(34/E23,3)</f>
        <v>0.42499999999999999</v>
      </c>
      <c r="G23" s="7">
        <f>ROUND(49/E23,3)</f>
        <v>0.61299999999999999</v>
      </c>
      <c r="H23" s="7">
        <f>ROUND(194/E23,3)</f>
        <v>2.4249999999999998</v>
      </c>
      <c r="I23" s="7">
        <f>ROUND(126/E23,3)</f>
        <v>1.575</v>
      </c>
      <c r="J23" s="7">
        <f>ROUND(44/E23,3)</f>
        <v>0.55000000000000004</v>
      </c>
      <c r="K23" s="7">
        <f t="shared" si="0"/>
        <v>10.8405</v>
      </c>
      <c r="L23" s="7">
        <f>ROUND(1621.4/E23,3)</f>
        <v>20.268000000000001</v>
      </c>
      <c r="M23" s="7">
        <f>ROUND(39/E23,3)</f>
        <v>0.48799999999999999</v>
      </c>
      <c r="N23" s="7" t="s">
        <v>1295</v>
      </c>
      <c r="O23" s="7" t="s">
        <v>1296</v>
      </c>
      <c r="P23" s="7">
        <f>ROUND(364/E23,3)</f>
        <v>4.55</v>
      </c>
      <c r="Q23" s="7">
        <f>ROUND(277/E23,3)</f>
        <v>3.4630000000000001</v>
      </c>
      <c r="R23" s="7">
        <f>ROUND(248/E23,3)</f>
        <v>3.1</v>
      </c>
      <c r="S23" s="7">
        <f>ROUND(100/E23,3)</f>
        <v>1.25</v>
      </c>
      <c r="T23" s="7">
        <f>ROUND(26.46/E23,3)</f>
        <v>0.33100000000000002</v>
      </c>
      <c r="U23" s="7">
        <f>ROUND(92/E23,3)</f>
        <v>1.1499999999999999</v>
      </c>
      <c r="V23" s="7">
        <f>ROUND(34/E23,3)</f>
        <v>0.42499999999999999</v>
      </c>
      <c r="W23" s="7">
        <f>ROUND(29.09/E23,3)</f>
        <v>0.36399999999999999</v>
      </c>
      <c r="X23" s="7">
        <v>0.56000000000000005</v>
      </c>
      <c r="Y23" s="7">
        <v>0.57999999999999996</v>
      </c>
      <c r="Z23" s="7">
        <v>0.57999999999999996</v>
      </c>
      <c r="AA23" s="7">
        <f>ROUND(85.13/E23,3)</f>
        <v>1.0640000000000001</v>
      </c>
      <c r="AB23" s="7">
        <f>ROUND(34/E23,3)</f>
        <v>0.42499999999999999</v>
      </c>
      <c r="AC23" s="7">
        <v>8482116</v>
      </c>
    </row>
    <row r="24" spans="1:29" ht="15" customHeight="1" x14ac:dyDescent="0.2">
      <c r="A24" s="7" t="s">
        <v>137</v>
      </c>
      <c r="B24" s="7" t="s">
        <v>55</v>
      </c>
      <c r="C24" s="7" t="s">
        <v>138</v>
      </c>
      <c r="D24" s="7">
        <v>27</v>
      </c>
      <c r="E24" s="7">
        <v>81</v>
      </c>
      <c r="F24" s="7">
        <f>ROUND(40/E24,3)</f>
        <v>0.49399999999999999</v>
      </c>
      <c r="G24" s="7">
        <f>ROUND(41/E24,3)</f>
        <v>0.50600000000000001</v>
      </c>
      <c r="H24" s="7">
        <f>ROUND(270/E24,3)</f>
        <v>3.3330000000000002</v>
      </c>
      <c r="I24" s="7">
        <f>ROUND(85/E24,3)</f>
        <v>1.0489999999999999</v>
      </c>
      <c r="J24" s="7">
        <f>ROUND(48/E24,3)</f>
        <v>0.59299999999999997</v>
      </c>
      <c r="K24" s="7">
        <f t="shared" si="0"/>
        <v>11.438499999999999</v>
      </c>
      <c r="L24" s="7">
        <f>ROUND(1558.7333333333/E24,3)</f>
        <v>19.244</v>
      </c>
      <c r="M24" s="7">
        <f>ROUND(35/E24,3)</f>
        <v>0.432</v>
      </c>
      <c r="N24" s="7" t="s">
        <v>1297</v>
      </c>
      <c r="O24" s="7" t="s">
        <v>805</v>
      </c>
      <c r="P24" s="7">
        <f>ROUND(556/E24,3)</f>
        <v>6.8639999999999999</v>
      </c>
      <c r="Q24" s="7">
        <f>ROUND(415/E24,3)</f>
        <v>5.1230000000000002</v>
      </c>
      <c r="R24" s="7">
        <f>ROUND(257/E24,3)</f>
        <v>3.173</v>
      </c>
      <c r="S24" s="7">
        <f>ROUND(96/E24,3)</f>
        <v>1.1850000000000001</v>
      </c>
      <c r="T24" s="7">
        <f>ROUND(34.02/E24,3)</f>
        <v>0.42</v>
      </c>
      <c r="U24" s="7">
        <f>ROUND(69/E24,3)</f>
        <v>0.85199999999999998</v>
      </c>
      <c r="V24" s="7">
        <f>ROUND(28/E24,3)</f>
        <v>0.34599999999999997</v>
      </c>
      <c r="W24" s="7">
        <f>ROUND(33.86/E24,3)</f>
        <v>0.41799999999999998</v>
      </c>
      <c r="X24" s="7">
        <v>0.56999999999999995</v>
      </c>
      <c r="Y24" s="7">
        <v>0.56999999999999995</v>
      </c>
      <c r="Z24" s="7">
        <v>0.56999999999999995</v>
      </c>
      <c r="AA24" s="7">
        <f>ROUND(81.82/E24,3)</f>
        <v>1.01</v>
      </c>
      <c r="AB24" s="7">
        <f>ROUND(34/E24,3)</f>
        <v>0.42</v>
      </c>
      <c r="AC24" s="7">
        <v>8479420</v>
      </c>
    </row>
    <row r="25" spans="1:29" ht="15" customHeight="1" x14ac:dyDescent="0.2">
      <c r="A25" s="7" t="s">
        <v>141</v>
      </c>
      <c r="B25" s="7" t="s">
        <v>55</v>
      </c>
      <c r="C25" s="7" t="s">
        <v>80</v>
      </c>
      <c r="D25" s="7">
        <v>28</v>
      </c>
      <c r="E25" s="7">
        <v>79</v>
      </c>
      <c r="F25" s="7">
        <f>ROUND(27/E25,3)</f>
        <v>0.34200000000000003</v>
      </c>
      <c r="G25" s="7">
        <f>ROUND(53/E25,3)</f>
        <v>0.67100000000000004</v>
      </c>
      <c r="H25" s="7">
        <f>ROUND(195/E25,3)</f>
        <v>2.468</v>
      </c>
      <c r="I25" s="7">
        <f>ROUND(63/E25,3)</f>
        <v>0.79700000000000004</v>
      </c>
      <c r="J25" s="7">
        <f>ROUND(23/E25,3)</f>
        <v>0.29099999999999998</v>
      </c>
      <c r="K25" s="7">
        <f t="shared" si="0"/>
        <v>9.9195000000000011</v>
      </c>
      <c r="L25" s="7">
        <f>ROUND(1549.3833333333/E25,3)</f>
        <v>19.611999999999998</v>
      </c>
      <c r="M25" s="7">
        <f>ROUND(46/E25,3)</f>
        <v>0.58199999999999996</v>
      </c>
      <c r="N25" s="7" t="s">
        <v>620</v>
      </c>
      <c r="O25" s="7" t="s">
        <v>1298</v>
      </c>
      <c r="P25" s="7">
        <f>ROUND(406/E25,3)</f>
        <v>5.1390000000000002</v>
      </c>
      <c r="Q25" s="7">
        <f>ROUND(313/E25,3)</f>
        <v>3.9620000000000002</v>
      </c>
      <c r="R25" s="7">
        <f>ROUND(246/E25,3)</f>
        <v>3.1139999999999999</v>
      </c>
      <c r="S25" s="7">
        <f>ROUND(102/E25,3)</f>
        <v>1.2909999999999999</v>
      </c>
      <c r="T25" s="7">
        <f>ROUND(27.74/E25,3)</f>
        <v>0.35099999999999998</v>
      </c>
      <c r="U25" s="7">
        <f>ROUND(109/E25,3)</f>
        <v>1.38</v>
      </c>
      <c r="V25" s="7">
        <f>ROUND(31/E25,3)</f>
        <v>0.39200000000000002</v>
      </c>
      <c r="W25" s="7">
        <f>ROUND(27.03/E25,3)</f>
        <v>0.34200000000000003</v>
      </c>
      <c r="X25" s="7">
        <v>0.59</v>
      </c>
      <c r="Y25" s="7">
        <v>0.64</v>
      </c>
      <c r="Z25" s="7">
        <v>0.63</v>
      </c>
      <c r="AA25" s="7">
        <f>ROUND(95.63/E25,3)</f>
        <v>1.2110000000000001</v>
      </c>
      <c r="AB25" s="7">
        <f>ROUND(33/E25,3)</f>
        <v>0.41799999999999998</v>
      </c>
      <c r="AC25" s="7">
        <v>8478427</v>
      </c>
    </row>
    <row r="26" spans="1:29" ht="15" customHeight="1" x14ac:dyDescent="0.2">
      <c r="A26" s="7" t="s">
        <v>144</v>
      </c>
      <c r="B26" s="7" t="s">
        <v>60</v>
      </c>
      <c r="C26" s="7" t="s">
        <v>102</v>
      </c>
      <c r="D26" s="7">
        <v>28</v>
      </c>
      <c r="E26" s="7">
        <v>81</v>
      </c>
      <c r="F26" s="7">
        <f>ROUND(24/E26,3)</f>
        <v>0.29599999999999999</v>
      </c>
      <c r="G26" s="7">
        <f>ROUND(56/E26,3)</f>
        <v>0.69099999999999995</v>
      </c>
      <c r="H26" s="7">
        <f>ROUND(165/E26,3)</f>
        <v>2.0369999999999999</v>
      </c>
      <c r="I26" s="7">
        <f>ROUND(24/E26,3)</f>
        <v>0.29599999999999999</v>
      </c>
      <c r="J26" s="7">
        <f>ROUND(46/E26,3)</f>
        <v>0.56799999999999995</v>
      </c>
      <c r="K26" s="7">
        <f t="shared" si="0"/>
        <v>9.2669999999999977</v>
      </c>
      <c r="L26" s="7">
        <f>ROUND(1616.5666666667/E26,3)</f>
        <v>19.957999999999998</v>
      </c>
      <c r="M26" s="7">
        <f>ROUND(24/E26,3)</f>
        <v>0.29599999999999999</v>
      </c>
      <c r="N26" s="7" t="s">
        <v>1299</v>
      </c>
      <c r="O26" s="7" t="s">
        <v>1300</v>
      </c>
      <c r="P26" s="7">
        <f>ROUND(371/E26,3)</f>
        <v>4.58</v>
      </c>
      <c r="Q26" s="7">
        <f>ROUND(251/E26,3)</f>
        <v>3.0990000000000002</v>
      </c>
      <c r="R26" s="7">
        <f>ROUND(202/E26,3)</f>
        <v>2.4940000000000002</v>
      </c>
      <c r="S26" s="7">
        <f>ROUND(67/E26,3)</f>
        <v>0.82699999999999996</v>
      </c>
      <c r="T26" s="7">
        <f>ROUND(17.16/E26,3)</f>
        <v>0.21199999999999999</v>
      </c>
      <c r="U26" s="7">
        <f>ROUND(104/E26,3)</f>
        <v>1.284</v>
      </c>
      <c r="V26" s="7">
        <f>ROUND(40/E26,3)</f>
        <v>0.49399999999999999</v>
      </c>
      <c r="W26" s="7">
        <f>ROUND(16.88/E26,3)</f>
        <v>0.20799999999999999</v>
      </c>
      <c r="X26" s="7">
        <v>0.6</v>
      </c>
      <c r="Y26" s="7">
        <v>0.6</v>
      </c>
      <c r="Z26" s="7">
        <v>0.61</v>
      </c>
      <c r="AA26" s="7">
        <f>ROUND(82.46/E26,3)</f>
        <v>1.018</v>
      </c>
      <c r="AB26" s="7">
        <f>ROUND(13/E26,3)</f>
        <v>0.16</v>
      </c>
      <c r="AC26" s="7">
        <v>8478483</v>
      </c>
    </row>
    <row r="27" spans="1:29" ht="15" customHeight="1" x14ac:dyDescent="0.2">
      <c r="A27" s="7" t="s">
        <v>145</v>
      </c>
      <c r="B27" s="7" t="s">
        <v>60</v>
      </c>
      <c r="C27" s="7" t="s">
        <v>146</v>
      </c>
      <c r="D27" s="7">
        <v>29</v>
      </c>
      <c r="E27" s="7">
        <v>65</v>
      </c>
      <c r="F27" s="7">
        <f>ROUND(30/E27,3)</f>
        <v>0.46200000000000002</v>
      </c>
      <c r="G27" s="7">
        <f>ROUND(49/E27,3)</f>
        <v>0.754</v>
      </c>
      <c r="H27" s="7">
        <f>ROUND(156/E27,3)</f>
        <v>2.4</v>
      </c>
      <c r="I27" s="7">
        <f>ROUND(13/E27,3)</f>
        <v>0.2</v>
      </c>
      <c r="J27" s="7">
        <f>ROUND(26/E27,3)</f>
        <v>0.4</v>
      </c>
      <c r="K27" s="7">
        <f t="shared" si="0"/>
        <v>11.120000000000001</v>
      </c>
      <c r="L27" s="7">
        <f>ROUND(1262.0166666667/E27,3)</f>
        <v>19.416</v>
      </c>
      <c r="M27" s="7">
        <f>ROUND(16/E27,3)</f>
        <v>0.246</v>
      </c>
      <c r="N27" s="7" t="s">
        <v>1301</v>
      </c>
      <c r="O27" s="7" t="s">
        <v>1302</v>
      </c>
      <c r="P27" s="7">
        <f>ROUND(308/E27,3)</f>
        <v>4.7380000000000004</v>
      </c>
      <c r="Q27" s="7">
        <f>ROUND(238/E27,3)</f>
        <v>3.6619999999999999</v>
      </c>
      <c r="R27" s="7">
        <f>ROUND(146/E27,3)</f>
        <v>2.246</v>
      </c>
      <c r="S27" s="7">
        <f>ROUND(71/E27,3)</f>
        <v>1.0920000000000001</v>
      </c>
      <c r="T27" s="7">
        <f>ROUND(20.17/E27,3)</f>
        <v>0.31</v>
      </c>
      <c r="U27" s="7">
        <f>ROUND(68/E27,3)</f>
        <v>1.046</v>
      </c>
      <c r="V27" s="7">
        <f>ROUND(31/E27,3)</f>
        <v>0.47699999999999998</v>
      </c>
      <c r="W27" s="7">
        <f>ROUND(20.5/E27,3)</f>
        <v>0.315</v>
      </c>
      <c r="X27" s="7">
        <v>0.55000000000000004</v>
      </c>
      <c r="Y27" s="7">
        <v>0.54</v>
      </c>
      <c r="Z27" s="7">
        <v>0.54</v>
      </c>
      <c r="AA27" s="7">
        <f>ROUND(63.91/E27,3)</f>
        <v>0.98299999999999998</v>
      </c>
      <c r="AB27" s="7">
        <f>ROUND(20/E27,3)</f>
        <v>0.308</v>
      </c>
      <c r="AC27" s="7">
        <v>8477939</v>
      </c>
    </row>
    <row r="28" spans="1:29" ht="15" customHeight="1" x14ac:dyDescent="0.2">
      <c r="A28" s="7" t="s">
        <v>149</v>
      </c>
      <c r="B28" s="7" t="s">
        <v>55</v>
      </c>
      <c r="C28" s="7" t="s">
        <v>131</v>
      </c>
      <c r="D28" s="7">
        <v>32</v>
      </c>
      <c r="E28" s="7">
        <v>81</v>
      </c>
      <c r="F28" s="7">
        <f>ROUND(34/E28,3)</f>
        <v>0.42</v>
      </c>
      <c r="G28" s="7">
        <f>ROUND(44/E28,3)</f>
        <v>0.54300000000000004</v>
      </c>
      <c r="H28" s="7">
        <f>ROUND(215/E28,3)</f>
        <v>2.6539999999999999</v>
      </c>
      <c r="I28" s="7">
        <f>ROUND(105/E28,3)</f>
        <v>1.296</v>
      </c>
      <c r="J28" s="7">
        <f>ROUND(50/E28,3)</f>
        <v>0.61699999999999999</v>
      </c>
      <c r="K28" s="7">
        <f t="shared" si="0"/>
        <v>10.536999999999999</v>
      </c>
      <c r="L28" s="7">
        <f>ROUND(1692.7/E28,3)</f>
        <v>20.898</v>
      </c>
      <c r="M28" s="7">
        <f>ROUND(14/E28,3)</f>
        <v>0.17299999999999999</v>
      </c>
      <c r="N28" s="7" t="s">
        <v>1303</v>
      </c>
      <c r="O28" s="7" t="s">
        <v>1304</v>
      </c>
      <c r="P28" s="7">
        <f>ROUND(416/E28,3)</f>
        <v>5.1360000000000001</v>
      </c>
      <c r="Q28" s="7">
        <f>ROUND(338/E28,3)</f>
        <v>4.173</v>
      </c>
      <c r="R28" s="7">
        <f>ROUND(211/E28,3)</f>
        <v>2.605</v>
      </c>
      <c r="S28" s="7">
        <f>ROUND(95/E28,3)</f>
        <v>1.173</v>
      </c>
      <c r="T28" s="7">
        <f>ROUND(27.48/E28,3)</f>
        <v>0.33900000000000002</v>
      </c>
      <c r="U28" s="7">
        <f>ROUND(112/E28,3)</f>
        <v>1.383</v>
      </c>
      <c r="V28" s="7">
        <f>ROUND(34/E28,3)</f>
        <v>0.42</v>
      </c>
      <c r="W28" s="7">
        <f>ROUND(29.02/E28,3)</f>
        <v>0.35799999999999998</v>
      </c>
      <c r="X28" s="7">
        <v>0.51</v>
      </c>
      <c r="Y28" s="7">
        <v>0.53</v>
      </c>
      <c r="Z28" s="7">
        <v>0.52</v>
      </c>
      <c r="AA28" s="7">
        <f>ROUND(71.21/E28,3)</f>
        <v>0.879</v>
      </c>
      <c r="AB28" s="7">
        <f>ROUND(26/E28,3)</f>
        <v>0.32100000000000001</v>
      </c>
      <c r="AC28" s="7">
        <v>8476459</v>
      </c>
    </row>
    <row r="29" spans="1:29" ht="15" customHeight="1" x14ac:dyDescent="0.2">
      <c r="A29" s="7" t="s">
        <v>152</v>
      </c>
      <c r="B29" s="7" t="s">
        <v>55</v>
      </c>
      <c r="C29" s="7" t="s">
        <v>153</v>
      </c>
      <c r="D29" s="7">
        <v>24</v>
      </c>
      <c r="E29" s="7">
        <v>61</v>
      </c>
      <c r="F29" s="7">
        <f>ROUND(27/E29,3)</f>
        <v>0.443</v>
      </c>
      <c r="G29" s="7">
        <f>ROUND(50/E29,3)</f>
        <v>0.82</v>
      </c>
      <c r="H29" s="7">
        <f>ROUND(228/E29,3)</f>
        <v>3.738</v>
      </c>
      <c r="I29" s="7">
        <f>ROUND(4/E29,3)</f>
        <v>6.6000000000000003E-2</v>
      </c>
      <c r="J29" s="7">
        <f>ROUND(32/E29,3)</f>
        <v>0.52500000000000002</v>
      </c>
      <c r="K29" s="7">
        <f t="shared" si="0"/>
        <v>12.76</v>
      </c>
      <c r="L29" s="7">
        <f>ROUND(1300.25/E29,3)</f>
        <v>21.315999999999999</v>
      </c>
      <c r="M29" s="7">
        <f>ROUND(10/E29,3)</f>
        <v>0.16400000000000001</v>
      </c>
      <c r="N29" s="7" t="s">
        <v>1305</v>
      </c>
      <c r="O29" s="7" t="s">
        <v>1306</v>
      </c>
      <c r="P29" s="7">
        <f>ROUND(430/E29,3)</f>
        <v>7.0490000000000004</v>
      </c>
      <c r="Q29" s="7">
        <f>ROUND(310/E29,3)</f>
        <v>5.0819999999999999</v>
      </c>
      <c r="R29" s="7">
        <f>ROUND(257/E29,3)</f>
        <v>4.2130000000000001</v>
      </c>
      <c r="S29" s="7">
        <f>ROUND(89/E29,3)</f>
        <v>1.4590000000000001</v>
      </c>
      <c r="T29" s="7">
        <f>ROUND(25.64/E29,3)</f>
        <v>0.42</v>
      </c>
      <c r="U29" s="7">
        <f>ROUND(126/E29,3)</f>
        <v>2.0659999999999998</v>
      </c>
      <c r="V29" s="7">
        <f>ROUND(37/E29,3)</f>
        <v>0.60699999999999998</v>
      </c>
      <c r="W29" s="7">
        <f>ROUND(24.02/E29,3)</f>
        <v>0.39400000000000002</v>
      </c>
      <c r="X29" s="7">
        <v>0.6</v>
      </c>
      <c r="Y29" s="7">
        <v>0.62</v>
      </c>
      <c r="Z29" s="7">
        <v>0.61</v>
      </c>
      <c r="AA29" s="7">
        <f>ROUND(82.35/E29,3)</f>
        <v>1.35</v>
      </c>
      <c r="AB29" s="7">
        <f>ROUND(17/E29,3)</f>
        <v>0.27900000000000003</v>
      </c>
      <c r="AC29" s="7">
        <v>8481559</v>
      </c>
    </row>
    <row r="30" spans="1:29" ht="15" customHeight="1" x14ac:dyDescent="0.2">
      <c r="A30" s="7" t="s">
        <v>156</v>
      </c>
      <c r="B30" s="7" t="s">
        <v>60</v>
      </c>
      <c r="C30" s="7" t="s">
        <v>93</v>
      </c>
      <c r="D30" s="7">
        <v>28</v>
      </c>
      <c r="E30" s="7">
        <v>64</v>
      </c>
      <c r="F30" s="7">
        <f>ROUND(22/E30,3)</f>
        <v>0.34399999999999997</v>
      </c>
      <c r="G30" s="7">
        <f>ROUND(55/E30,3)</f>
        <v>0.85899999999999999</v>
      </c>
      <c r="H30" s="7">
        <f>ROUND(139/E30,3)</f>
        <v>2.1720000000000002</v>
      </c>
      <c r="I30" s="7">
        <f>ROUND(48/E30,3)</f>
        <v>0.75</v>
      </c>
      <c r="J30" s="7">
        <f>ROUND(30/E30,3)</f>
        <v>0.46899999999999997</v>
      </c>
      <c r="K30" s="7">
        <f t="shared" si="0"/>
        <v>10.921999999999999</v>
      </c>
      <c r="L30" s="7">
        <f>ROUND(1291.25/E30,3)</f>
        <v>20.175999999999998</v>
      </c>
      <c r="M30" s="7">
        <f>ROUND(93/E30,3)</f>
        <v>1.4530000000000001</v>
      </c>
      <c r="N30" s="7" t="s">
        <v>1307</v>
      </c>
      <c r="O30" s="7" t="s">
        <v>1308</v>
      </c>
      <c r="P30" s="7">
        <f>ROUND(288/E30,3)</f>
        <v>4.5</v>
      </c>
      <c r="Q30" s="7">
        <f>ROUND(219/E30,3)</f>
        <v>3.4220000000000002</v>
      </c>
      <c r="R30" s="7">
        <f>ROUND(195/E30,3)</f>
        <v>3.0470000000000002</v>
      </c>
      <c r="S30" s="7">
        <f>ROUND(77/E30,3)</f>
        <v>1.2030000000000001</v>
      </c>
      <c r="T30" s="7">
        <f>ROUND(20.61/E30,3)</f>
        <v>0.32200000000000001</v>
      </c>
      <c r="U30" s="7">
        <f>ROUND(75/E30,3)</f>
        <v>1.1719999999999999</v>
      </c>
      <c r="V30" s="7">
        <f>ROUND(24/E30,3)</f>
        <v>0.375</v>
      </c>
      <c r="W30" s="7">
        <f>ROUND(22.08/E30,3)</f>
        <v>0.34499999999999997</v>
      </c>
      <c r="X30" s="7">
        <v>0.62</v>
      </c>
      <c r="Y30" s="7">
        <v>0.54</v>
      </c>
      <c r="Z30" s="7">
        <v>0.56000000000000005</v>
      </c>
      <c r="AA30" s="7">
        <f>ROUND(58.02/E30,3)</f>
        <v>0.90700000000000003</v>
      </c>
      <c r="AB30" s="7">
        <f>ROUND(22/E30,3)</f>
        <v>0.34399999999999997</v>
      </c>
      <c r="AC30" s="7">
        <v>8478420</v>
      </c>
    </row>
    <row r="31" spans="1:29" ht="15" customHeight="1" x14ac:dyDescent="0.2">
      <c r="A31" s="7" t="s">
        <v>159</v>
      </c>
      <c r="B31" s="7" t="s">
        <v>92</v>
      </c>
      <c r="C31" s="7" t="s">
        <v>160</v>
      </c>
      <c r="D31" s="7">
        <v>23</v>
      </c>
      <c r="E31" s="7">
        <v>80</v>
      </c>
      <c r="F31" s="7">
        <f>ROUND(25/E31,3)</f>
        <v>0.313</v>
      </c>
      <c r="G31" s="7">
        <f>ROUND(51/E31,3)</f>
        <v>0.63800000000000001</v>
      </c>
      <c r="H31" s="7">
        <f>ROUND(173/E31,3)</f>
        <v>2.1629999999999998</v>
      </c>
      <c r="I31" s="7">
        <f>ROUND(43/E31,3)</f>
        <v>0.53800000000000003</v>
      </c>
      <c r="J31" s="7">
        <f>ROUND(29/E31,3)</f>
        <v>0.36299999999999999</v>
      </c>
      <c r="K31" s="7">
        <f t="shared" si="0"/>
        <v>9.1270000000000007</v>
      </c>
      <c r="L31" s="7">
        <f>ROUND(1503.9166666667/E31,3)</f>
        <v>18.798999999999999</v>
      </c>
      <c r="M31" s="7">
        <f>ROUND(22/E31,3)</f>
        <v>0.27500000000000002</v>
      </c>
      <c r="N31" s="7" t="s">
        <v>1309</v>
      </c>
      <c r="O31" s="7" t="s">
        <v>1310</v>
      </c>
      <c r="P31" s="7">
        <f>ROUND(367/E31,3)</f>
        <v>4.5880000000000001</v>
      </c>
      <c r="Q31" s="7">
        <f>ROUND(269/E31,3)</f>
        <v>3.363</v>
      </c>
      <c r="R31" s="7">
        <f>ROUND(171/E31,3)</f>
        <v>2.1379999999999999</v>
      </c>
      <c r="S31" s="7">
        <f>ROUND(59/E31,3)</f>
        <v>0.73799999999999999</v>
      </c>
      <c r="T31" s="7">
        <f>ROUND(19.63/E31,3)</f>
        <v>0.245</v>
      </c>
      <c r="U31" s="7">
        <f>ROUND(76/E31,3)</f>
        <v>0.95</v>
      </c>
      <c r="V31" s="7">
        <f>ROUND(31/E31,3)</f>
        <v>0.38800000000000001</v>
      </c>
      <c r="W31" s="7">
        <f>ROUND(19.49/E31,3)</f>
        <v>0.24399999999999999</v>
      </c>
      <c r="X31" s="7">
        <v>0.61</v>
      </c>
      <c r="Y31" s="7">
        <v>0.59</v>
      </c>
      <c r="Z31" s="7">
        <v>0.59</v>
      </c>
      <c r="AA31" s="7">
        <f>ROUND(69.48/E31,3)</f>
        <v>0.86899999999999999</v>
      </c>
      <c r="AB31" s="7">
        <f>ROUND(18/E31,3)</f>
        <v>0.22500000000000001</v>
      </c>
      <c r="AC31" s="7">
        <v>8482078</v>
      </c>
    </row>
    <row r="32" spans="1:29" ht="15" customHeight="1" x14ac:dyDescent="0.2">
      <c r="A32" s="7" t="s">
        <v>163</v>
      </c>
      <c r="B32" s="7" t="s">
        <v>92</v>
      </c>
      <c r="C32" s="7" t="s">
        <v>164</v>
      </c>
      <c r="D32" s="7">
        <v>31</v>
      </c>
      <c r="E32" s="7">
        <v>82</v>
      </c>
      <c r="F32" s="7">
        <f>ROUND(40/E32,3)</f>
        <v>0.48799999999999999</v>
      </c>
      <c r="G32" s="7">
        <f>ROUND(35/E32,3)</f>
        <v>0.42699999999999999</v>
      </c>
      <c r="H32" s="7">
        <f>ROUND(246/E32,3)</f>
        <v>3</v>
      </c>
      <c r="I32" s="7">
        <f>ROUND(124/E32,3)</f>
        <v>1.512</v>
      </c>
      <c r="J32" s="7">
        <f>ROUND(33/E32,3)</f>
        <v>0.40200000000000002</v>
      </c>
      <c r="K32" s="7">
        <f t="shared" si="0"/>
        <v>10.623999999999999</v>
      </c>
      <c r="L32" s="7">
        <f>ROUND(1548.7166666667/E32,3)</f>
        <v>18.887</v>
      </c>
      <c r="M32" s="7">
        <f>ROUND(34/E32,3)</f>
        <v>0.41499999999999998</v>
      </c>
      <c r="N32" s="7" t="s">
        <v>1311</v>
      </c>
      <c r="O32" s="7" t="s">
        <v>108</v>
      </c>
      <c r="P32" s="7">
        <f>ROUND(551/E32,3)</f>
        <v>6.72</v>
      </c>
      <c r="Q32" s="7">
        <f>ROUND(390/E32,3)</f>
        <v>4.7560000000000002</v>
      </c>
      <c r="R32" s="7">
        <f>ROUND(232/E32,3)</f>
        <v>2.8290000000000002</v>
      </c>
      <c r="S32" s="7">
        <f>ROUND(84/E32,3)</f>
        <v>1.024</v>
      </c>
      <c r="T32" s="7">
        <f>ROUND(28.58/E32,3)</f>
        <v>0.34899999999999998</v>
      </c>
      <c r="U32" s="7">
        <f>ROUND(105/E32,3)</f>
        <v>1.28</v>
      </c>
      <c r="V32" s="7">
        <f>ROUND(48/E32,3)</f>
        <v>0.58499999999999996</v>
      </c>
      <c r="W32" s="7">
        <f>ROUND(28.61/E32,3)</f>
        <v>0.34899999999999998</v>
      </c>
      <c r="X32" s="7">
        <v>0.56000000000000005</v>
      </c>
      <c r="Y32" s="7">
        <v>0.59</v>
      </c>
      <c r="Z32" s="7">
        <v>0.56999999999999995</v>
      </c>
      <c r="AA32" s="7">
        <f>ROUND(79.33/E32,3)</f>
        <v>0.96699999999999997</v>
      </c>
      <c r="AB32" s="7">
        <f>ROUND(34/E32,3)</f>
        <v>0.41499999999999998</v>
      </c>
      <c r="AC32" s="7">
        <v>8476887</v>
      </c>
    </row>
    <row r="33" spans="1:29" ht="15" customHeight="1" x14ac:dyDescent="0.2">
      <c r="A33" s="7" t="s">
        <v>167</v>
      </c>
      <c r="B33" s="7" t="s">
        <v>55</v>
      </c>
      <c r="C33" s="7" t="s">
        <v>127</v>
      </c>
      <c r="D33" s="7">
        <v>20</v>
      </c>
      <c r="E33" s="7">
        <v>69</v>
      </c>
      <c r="F33" s="7">
        <f>ROUND(30/E33,3)</f>
        <v>0.435</v>
      </c>
      <c r="G33" s="7">
        <f>ROUND(45/E33,3)</f>
        <v>0.65200000000000002</v>
      </c>
      <c r="H33" s="7">
        <f>ROUND(226/E33,3)</f>
        <v>3.2749999999999999</v>
      </c>
      <c r="I33" s="7">
        <f>ROUND(31/E33,3)</f>
        <v>0.44900000000000001</v>
      </c>
      <c r="J33" s="7">
        <f>ROUND(27/E33,3)</f>
        <v>0.39100000000000001</v>
      </c>
      <c r="K33" s="7">
        <f t="shared" si="0"/>
        <v>11.282500000000001</v>
      </c>
      <c r="L33" s="7">
        <f>ROUND(1440.7333333333/E33,3)</f>
        <v>20.88</v>
      </c>
      <c r="M33" s="7">
        <f>ROUND(50/E33,3)</f>
        <v>0.72499999999999998</v>
      </c>
      <c r="N33" s="7" t="s">
        <v>1312</v>
      </c>
      <c r="O33" s="7" t="s">
        <v>124</v>
      </c>
      <c r="P33" s="7">
        <f>ROUND(420/E33,3)</f>
        <v>6.0869999999999997</v>
      </c>
      <c r="Q33" s="7">
        <f>ROUND(338/E33,3)</f>
        <v>4.899</v>
      </c>
      <c r="R33" s="7">
        <f>ROUND(220/E33,3)</f>
        <v>3.1880000000000002</v>
      </c>
      <c r="S33" s="7">
        <f>ROUND(62/E33,3)</f>
        <v>0.89900000000000002</v>
      </c>
      <c r="T33" s="7">
        <f>ROUND(25.5/E33,3)</f>
        <v>0.37</v>
      </c>
      <c r="U33" s="7">
        <f>ROUND(86/E33,3)</f>
        <v>1.246</v>
      </c>
      <c r="V33" s="7">
        <f>ROUND(27/E33,3)</f>
        <v>0.39100000000000001</v>
      </c>
      <c r="W33" s="7">
        <f>ROUND(25.91/E33,3)</f>
        <v>0.376</v>
      </c>
      <c r="X33" s="7">
        <v>0.52</v>
      </c>
      <c r="Y33" s="7">
        <v>0.51</v>
      </c>
      <c r="Z33" s="7">
        <v>0.51</v>
      </c>
      <c r="AA33" s="7">
        <f>ROUND(54.22/E33,3)</f>
        <v>0.78600000000000003</v>
      </c>
      <c r="AB33" s="7">
        <f>ROUND(26/E33,3)</f>
        <v>0.377</v>
      </c>
      <c r="AC33" s="7">
        <v>8484144</v>
      </c>
    </row>
    <row r="34" spans="1:29" ht="15" customHeight="1" x14ac:dyDescent="0.2">
      <c r="A34" s="7" t="s">
        <v>168</v>
      </c>
      <c r="B34" s="7" t="s">
        <v>92</v>
      </c>
      <c r="C34" s="7" t="s">
        <v>61</v>
      </c>
      <c r="D34" s="7">
        <v>27</v>
      </c>
      <c r="E34" s="7">
        <v>71</v>
      </c>
      <c r="F34" s="7">
        <f>ROUND(36/E34,3)</f>
        <v>0.50700000000000001</v>
      </c>
      <c r="G34" s="7">
        <f>ROUND(38/E34,3)</f>
        <v>0.53500000000000003</v>
      </c>
      <c r="H34" s="7">
        <f>ROUND(214/E34,3)</f>
        <v>3.0139999999999998</v>
      </c>
      <c r="I34" s="7">
        <f>ROUND(42/E34,3)</f>
        <v>0.59199999999999997</v>
      </c>
      <c r="J34" s="7">
        <f>ROUND(38/E34,3)</f>
        <v>0.53500000000000003</v>
      </c>
      <c r="K34" s="7">
        <f t="shared" si="0"/>
        <v>11.110999999999999</v>
      </c>
      <c r="L34" s="7">
        <f>ROUND(1402.9666666667/E34,3)</f>
        <v>19.760000000000002</v>
      </c>
      <c r="M34" s="7">
        <f>ROUND(58/E34,3)</f>
        <v>0.81699999999999995</v>
      </c>
      <c r="N34" s="7" t="s">
        <v>1313</v>
      </c>
      <c r="O34" s="7" t="s">
        <v>1314</v>
      </c>
      <c r="P34" s="7">
        <f>ROUND(459/E34,3)</f>
        <v>6.4649999999999999</v>
      </c>
      <c r="Q34" s="7">
        <f>ROUND(328/E34,3)</f>
        <v>4.62</v>
      </c>
      <c r="R34" s="7">
        <f>ROUND(269/E34,3)</f>
        <v>3.7890000000000001</v>
      </c>
      <c r="S34" s="7">
        <f>ROUND(106/E34,3)</f>
        <v>1.4930000000000001</v>
      </c>
      <c r="T34" s="7">
        <f>ROUND(34.71/E34,3)</f>
        <v>0.48899999999999999</v>
      </c>
      <c r="U34" s="7">
        <f>ROUND(75/E34,3)</f>
        <v>1.056</v>
      </c>
      <c r="V34" s="7">
        <f>ROUND(35/E34,3)</f>
        <v>0.49299999999999999</v>
      </c>
      <c r="W34" s="7">
        <f>ROUND(33.95/E34,3)</f>
        <v>0.47799999999999998</v>
      </c>
      <c r="X34" s="7">
        <v>0.59</v>
      </c>
      <c r="Y34" s="7">
        <v>0.56999999999999995</v>
      </c>
      <c r="Z34" s="7">
        <v>0.56000000000000005</v>
      </c>
      <c r="AA34" s="7">
        <f>ROUND(92.49/E34,3)</f>
        <v>1.3029999999999999</v>
      </c>
      <c r="AB34" s="7">
        <f>ROUND(29/E34,3)</f>
        <v>0.40799999999999997</v>
      </c>
      <c r="AC34" s="7">
        <v>8479542</v>
      </c>
    </row>
    <row r="35" spans="1:29" ht="15" customHeight="1" x14ac:dyDescent="0.2">
      <c r="A35" s="7" t="s">
        <v>173</v>
      </c>
      <c r="B35" s="7" t="s">
        <v>55</v>
      </c>
      <c r="C35" s="7" t="s">
        <v>1049</v>
      </c>
      <c r="D35" s="7">
        <v>29</v>
      </c>
      <c r="E35" s="7">
        <v>82</v>
      </c>
      <c r="F35" s="7">
        <f>ROUND(33/E35,3)</f>
        <v>0.40200000000000002</v>
      </c>
      <c r="G35" s="7">
        <f>ROUND(41/E35,3)</f>
        <v>0.5</v>
      </c>
      <c r="H35" s="7">
        <f>ROUND(204/E35,3)</f>
        <v>2.488</v>
      </c>
      <c r="I35" s="7">
        <f>ROUND(23/E35,3)</f>
        <v>0.28000000000000003</v>
      </c>
      <c r="J35" s="7">
        <f>ROUND(52/E35,3)</f>
        <v>0.63400000000000001</v>
      </c>
      <c r="K35" s="7">
        <f t="shared" ref="K35:K66" si="1">8*F35+6*G35+1*H35+1*J35+0.5*I35</f>
        <v>9.4780000000000015</v>
      </c>
      <c r="L35" s="7">
        <f>ROUND(1617.3166666667/E35,3)</f>
        <v>19.722999999999999</v>
      </c>
      <c r="M35" s="7">
        <f>ROUND(26/E35,3)</f>
        <v>0.317</v>
      </c>
      <c r="N35" s="7" t="s">
        <v>1315</v>
      </c>
      <c r="O35" s="7" t="s">
        <v>1316</v>
      </c>
      <c r="P35" s="7">
        <f>ROUND(396/E35,3)</f>
        <v>4.8289999999999997</v>
      </c>
      <c r="Q35" s="7">
        <f>ROUND(292/E35,3)</f>
        <v>3.5609999999999999</v>
      </c>
      <c r="R35" s="7">
        <f>ROUND(248/E35,3)</f>
        <v>3.024</v>
      </c>
      <c r="S35" s="7">
        <f>ROUND(120/E35,3)</f>
        <v>1.4630000000000001</v>
      </c>
      <c r="T35" s="7">
        <f>ROUND(27.56/E35,3)</f>
        <v>0.33600000000000002</v>
      </c>
      <c r="U35" s="7">
        <f>ROUND(94/E35,3)</f>
        <v>1.1459999999999999</v>
      </c>
      <c r="V35" s="7">
        <f>ROUND(45/E35,3)</f>
        <v>0.54900000000000004</v>
      </c>
      <c r="W35" s="7">
        <f>ROUND(28.01/E35,3)</f>
        <v>0.34200000000000003</v>
      </c>
      <c r="X35" s="7">
        <v>0.55000000000000004</v>
      </c>
      <c r="Y35" s="7">
        <v>0.57999999999999996</v>
      </c>
      <c r="Z35" s="7">
        <v>0.57999999999999996</v>
      </c>
      <c r="AA35" s="7">
        <f>ROUND(84.67/E35,3)</f>
        <v>1.0329999999999999</v>
      </c>
      <c r="AB35" s="7">
        <f>ROUND(28/E35,3)</f>
        <v>0.34100000000000003</v>
      </c>
      <c r="AC35" s="7">
        <v>8477951</v>
      </c>
    </row>
    <row r="36" spans="1:29" ht="15" customHeight="1" x14ac:dyDescent="0.2">
      <c r="A36" s="7" t="s">
        <v>176</v>
      </c>
      <c r="B36" s="7" t="s">
        <v>55</v>
      </c>
      <c r="C36" s="7" t="s">
        <v>114</v>
      </c>
      <c r="D36" s="7">
        <v>38</v>
      </c>
      <c r="E36" s="7">
        <v>68</v>
      </c>
      <c r="F36" s="7">
        <f>ROUND(29/E36,3)</f>
        <v>0.42599999999999999</v>
      </c>
      <c r="G36" s="7">
        <f>ROUND(45/E36,3)</f>
        <v>0.66200000000000003</v>
      </c>
      <c r="H36" s="7">
        <f>ROUND(160/E36,3)</f>
        <v>2.3530000000000002</v>
      </c>
      <c r="I36" s="7">
        <f>ROUND(60/E36,3)</f>
        <v>0.88200000000000001</v>
      </c>
      <c r="J36" s="7">
        <f>ROUND(30/E36,3)</f>
        <v>0.441</v>
      </c>
      <c r="K36" s="7">
        <f t="shared" si="1"/>
        <v>10.615000000000002</v>
      </c>
      <c r="L36" s="7">
        <f>ROUND(1307.7/E36,3)</f>
        <v>19.231000000000002</v>
      </c>
      <c r="M36" s="7">
        <f>ROUND(44/E36,3)</f>
        <v>0.64700000000000002</v>
      </c>
      <c r="N36" s="7" t="s">
        <v>1317</v>
      </c>
      <c r="O36" s="7" t="s">
        <v>1318</v>
      </c>
      <c r="P36" s="7">
        <f>ROUND(289/E36,3)</f>
        <v>4.25</v>
      </c>
      <c r="Q36" s="7">
        <f>ROUND(236/E36,3)</f>
        <v>3.4710000000000001</v>
      </c>
      <c r="R36" s="7">
        <f>ROUND(173/E36,3)</f>
        <v>2.544</v>
      </c>
      <c r="S36" s="7">
        <f>ROUND(93/E36,3)</f>
        <v>1.3680000000000001</v>
      </c>
      <c r="T36" s="7">
        <f>ROUND(23.81/E36,3)</f>
        <v>0.35</v>
      </c>
      <c r="U36" s="7">
        <f>ROUND(73/E36,3)</f>
        <v>1.0740000000000001</v>
      </c>
      <c r="V36" s="7">
        <f>ROUND(24/E36,3)</f>
        <v>0.35299999999999998</v>
      </c>
      <c r="W36" s="7">
        <f>ROUND(21.43/E36,3)</f>
        <v>0.315</v>
      </c>
      <c r="X36" s="7">
        <v>0.56999999999999995</v>
      </c>
      <c r="Y36" s="7">
        <v>0.56999999999999995</v>
      </c>
      <c r="Z36" s="7">
        <v>0.56999999999999995</v>
      </c>
      <c r="AA36" s="7">
        <f>ROUND(67.35/E36,3)</f>
        <v>0.99</v>
      </c>
      <c r="AB36" s="7">
        <f>ROUND(30/E36,3)</f>
        <v>0.441</v>
      </c>
      <c r="AC36" s="7">
        <v>8471675</v>
      </c>
    </row>
    <row r="37" spans="1:29" ht="15" customHeight="1" x14ac:dyDescent="0.2">
      <c r="A37" s="7" t="s">
        <v>179</v>
      </c>
      <c r="B37" s="7" t="s">
        <v>55</v>
      </c>
      <c r="C37" s="7" t="s">
        <v>164</v>
      </c>
      <c r="D37" s="7">
        <v>34</v>
      </c>
      <c r="E37" s="7">
        <v>81</v>
      </c>
      <c r="F37" s="7">
        <f>ROUND(25/E37,3)</f>
        <v>0.309</v>
      </c>
      <c r="G37" s="7">
        <f>ROUND(49/E37,3)</f>
        <v>0.60499999999999998</v>
      </c>
      <c r="H37" s="7">
        <f>ROUND(154/E37,3)</f>
        <v>1.901</v>
      </c>
      <c r="I37" s="7">
        <f>ROUND(17/E37,3)</f>
        <v>0.21</v>
      </c>
      <c r="J37" s="7">
        <f>ROUND(66/E37,3)</f>
        <v>0.81499999999999995</v>
      </c>
      <c r="K37" s="7">
        <f t="shared" si="1"/>
        <v>8.923</v>
      </c>
      <c r="L37" s="7">
        <f>ROUND(1651.9833333333/E37,3)</f>
        <v>20.395</v>
      </c>
      <c r="M37" s="7">
        <f>ROUND(22/E37,3)</f>
        <v>0.27200000000000002</v>
      </c>
      <c r="N37" s="7" t="s">
        <v>1320</v>
      </c>
      <c r="O37" s="7" t="s">
        <v>609</v>
      </c>
      <c r="P37" s="7">
        <f>ROUND(257/E37,3)</f>
        <v>3.173</v>
      </c>
      <c r="Q37" s="7">
        <f>ROUND(231/E37,3)</f>
        <v>2.8519999999999999</v>
      </c>
      <c r="R37" s="7">
        <f>ROUND(200/E37,3)</f>
        <v>2.4689999999999999</v>
      </c>
      <c r="S37" s="7">
        <f>ROUND(135/E37,3)</f>
        <v>1.667</v>
      </c>
      <c r="T37" s="7">
        <f>ROUND(26.53/E37,3)</f>
        <v>0.32800000000000001</v>
      </c>
      <c r="U37" s="7">
        <f>ROUND(49/E37,3)</f>
        <v>0.60499999999999998</v>
      </c>
      <c r="V37" s="7">
        <f>ROUND(50/E37,3)</f>
        <v>0.61699999999999999</v>
      </c>
      <c r="W37" s="7">
        <f>ROUND(23.92/E37,3)</f>
        <v>0.29499999999999998</v>
      </c>
      <c r="X37" s="7">
        <v>0.52</v>
      </c>
      <c r="Y37" s="7">
        <v>0.55000000000000004</v>
      </c>
      <c r="Z37" s="7">
        <v>0.54</v>
      </c>
      <c r="AA37" s="7">
        <f>ROUND(73.61/E37,3)</f>
        <v>0.90900000000000003</v>
      </c>
      <c r="AB37" s="7">
        <f>ROUND(28/E37,3)</f>
        <v>0.34599999999999997</v>
      </c>
      <c r="AC37" s="7">
        <v>8475158</v>
      </c>
    </row>
    <row r="38" spans="1:29" ht="15" customHeight="1" x14ac:dyDescent="0.2">
      <c r="A38" s="7" t="s">
        <v>182</v>
      </c>
      <c r="B38" s="7" t="s">
        <v>60</v>
      </c>
      <c r="C38" s="7" t="s">
        <v>1049</v>
      </c>
      <c r="D38" s="7">
        <v>22</v>
      </c>
      <c r="E38" s="7">
        <v>79</v>
      </c>
      <c r="F38" s="7">
        <f>ROUND(40/E38,3)</f>
        <v>0.50600000000000001</v>
      </c>
      <c r="G38" s="7">
        <f>ROUND(33/E38,3)</f>
        <v>0.41799999999999998</v>
      </c>
      <c r="H38" s="7">
        <f>ROUND(242/E38,3)</f>
        <v>3.0630000000000002</v>
      </c>
      <c r="I38" s="7">
        <f>ROUND(66/E38,3)</f>
        <v>0.83499999999999996</v>
      </c>
      <c r="J38" s="7">
        <f>ROUND(28/E38,3)</f>
        <v>0.35399999999999998</v>
      </c>
      <c r="K38" s="7">
        <f t="shared" si="1"/>
        <v>10.390499999999999</v>
      </c>
      <c r="L38" s="7">
        <f>ROUND(1374.3166666667/E38,3)</f>
        <v>17.396000000000001</v>
      </c>
      <c r="M38" s="7">
        <f>ROUND(28/E38,3)</f>
        <v>0.35399999999999998</v>
      </c>
      <c r="N38" s="7" t="s">
        <v>1321</v>
      </c>
      <c r="O38" s="7" t="s">
        <v>1322</v>
      </c>
      <c r="P38" s="7">
        <f>ROUND(530/E38,3)</f>
        <v>6.7089999999999996</v>
      </c>
      <c r="Q38" s="7">
        <f>ROUND(407/E38,3)</f>
        <v>5.1520000000000001</v>
      </c>
      <c r="R38" s="7">
        <f>ROUND(236/E38,3)</f>
        <v>2.9870000000000001</v>
      </c>
      <c r="S38" s="7">
        <f>ROUND(83/E38,3)</f>
        <v>1.0509999999999999</v>
      </c>
      <c r="T38" s="7">
        <f>ROUND(26.92/E38,3)</f>
        <v>0.34100000000000003</v>
      </c>
      <c r="U38" s="7">
        <f>ROUND(68/E38,3)</f>
        <v>0.86099999999999999</v>
      </c>
      <c r="V38" s="7">
        <f>ROUND(16/E38,3)</f>
        <v>0.20300000000000001</v>
      </c>
      <c r="W38" s="7">
        <f>ROUND(27.63/E38,3)</f>
        <v>0.35</v>
      </c>
      <c r="X38" s="7">
        <v>0.56999999999999995</v>
      </c>
      <c r="Y38" s="7">
        <v>0.59</v>
      </c>
      <c r="Z38" s="7">
        <v>0.59</v>
      </c>
      <c r="AA38" s="7">
        <f>ROUND(78.49/E38,3)</f>
        <v>0.99399999999999999</v>
      </c>
      <c r="AB38" s="7">
        <f>ROUND(18/E38,3)</f>
        <v>0.22800000000000001</v>
      </c>
      <c r="AC38" s="7">
        <v>8482699</v>
      </c>
    </row>
    <row r="39" spans="1:29" ht="15" customHeight="1" x14ac:dyDescent="0.2">
      <c r="A39" s="7" t="s">
        <v>183</v>
      </c>
      <c r="B39" s="7" t="s">
        <v>60</v>
      </c>
      <c r="C39" s="7" t="s">
        <v>184</v>
      </c>
      <c r="D39" s="7">
        <v>29</v>
      </c>
      <c r="E39" s="7">
        <v>81</v>
      </c>
      <c r="F39" s="7">
        <f>ROUND(36/E39,3)</f>
        <v>0.44400000000000001</v>
      </c>
      <c r="G39" s="7">
        <f>ROUND(37/E39,3)</f>
        <v>0.45700000000000002</v>
      </c>
      <c r="H39" s="7">
        <f>ROUND(226/E39,3)</f>
        <v>2.79</v>
      </c>
      <c r="I39" s="7">
        <f>ROUND(127/E39,3)</f>
        <v>1.5680000000000001</v>
      </c>
      <c r="J39" s="7">
        <f>ROUND(39/E39,3)</f>
        <v>0.48099999999999998</v>
      </c>
      <c r="K39" s="7">
        <f t="shared" si="1"/>
        <v>10.349</v>
      </c>
      <c r="L39" s="7">
        <f>ROUND(1563.7666666667/E39,3)</f>
        <v>19.306000000000001</v>
      </c>
      <c r="M39" s="7">
        <f>ROUND(58/E39,3)</f>
        <v>0.71599999999999997</v>
      </c>
      <c r="N39" s="7" t="s">
        <v>1323</v>
      </c>
      <c r="O39" s="7" t="s">
        <v>565</v>
      </c>
      <c r="P39" s="7">
        <f>ROUND(508/E39,3)</f>
        <v>6.2720000000000002</v>
      </c>
      <c r="Q39" s="7">
        <f>ROUND(344/E39,3)</f>
        <v>4.2469999999999999</v>
      </c>
      <c r="R39" s="7">
        <f>ROUND(232/E39,3)</f>
        <v>2.8639999999999999</v>
      </c>
      <c r="S39" s="7">
        <f>ROUND(75/E39,3)</f>
        <v>0.92600000000000005</v>
      </c>
      <c r="T39" s="7">
        <f>ROUND(26.25/E39,3)</f>
        <v>0.32400000000000001</v>
      </c>
      <c r="U39" s="7">
        <f>ROUND(67/E39,3)</f>
        <v>0.82699999999999996</v>
      </c>
      <c r="V39" s="7">
        <f>ROUND(24/E39,3)</f>
        <v>0.29599999999999999</v>
      </c>
      <c r="W39" s="7">
        <f>ROUND(27.7/E39,3)</f>
        <v>0.34200000000000003</v>
      </c>
      <c r="X39" s="7">
        <v>0.55000000000000004</v>
      </c>
      <c r="Y39" s="7">
        <v>0.56999999999999995</v>
      </c>
      <c r="Z39" s="7">
        <v>0.56999999999999995</v>
      </c>
      <c r="AA39" s="7">
        <f>ROUND(74.74/E39,3)</f>
        <v>0.92300000000000004</v>
      </c>
      <c r="AB39" s="7">
        <f>ROUND(33/E39,3)</f>
        <v>0.40699999999999997</v>
      </c>
      <c r="AC39" s="7">
        <v>8477960</v>
      </c>
    </row>
    <row r="40" spans="1:29" ht="15" customHeight="1" x14ac:dyDescent="0.2">
      <c r="A40" s="7" t="s">
        <v>186</v>
      </c>
      <c r="B40" s="7" t="s">
        <v>92</v>
      </c>
      <c r="C40" s="7" t="s">
        <v>76</v>
      </c>
      <c r="D40" s="7">
        <v>21</v>
      </c>
      <c r="E40" s="7">
        <v>82</v>
      </c>
      <c r="F40" s="7">
        <f>ROUND(30/E40,3)</f>
        <v>0.36599999999999999</v>
      </c>
      <c r="G40" s="7">
        <f>ROUND(43/E40,3)</f>
        <v>0.52400000000000002</v>
      </c>
      <c r="H40" s="7">
        <f>ROUND(181/E40,3)</f>
        <v>2.2069999999999999</v>
      </c>
      <c r="I40" s="7">
        <f>ROUND(105/E40,3)</f>
        <v>1.28</v>
      </c>
      <c r="J40" s="7">
        <f>ROUND(78/E40,3)</f>
        <v>0.95099999999999996</v>
      </c>
      <c r="K40" s="7">
        <f t="shared" si="1"/>
        <v>9.870000000000001</v>
      </c>
      <c r="L40" s="7">
        <f>ROUND(1520.0666666667/E40,3)</f>
        <v>18.536999999999999</v>
      </c>
      <c r="M40" s="7">
        <f>ROUND(52/E40,3)</f>
        <v>0.63400000000000001</v>
      </c>
      <c r="N40" s="7" t="s">
        <v>1324</v>
      </c>
      <c r="O40" s="7" t="s">
        <v>1325</v>
      </c>
      <c r="P40" s="7">
        <f>ROUND(396/E40,3)</f>
        <v>4.8289999999999997</v>
      </c>
      <c r="Q40" s="7">
        <f>ROUND(308/E40,3)</f>
        <v>3.7559999999999998</v>
      </c>
      <c r="R40" s="7">
        <f>ROUND(241/E40,3)</f>
        <v>2.9390000000000001</v>
      </c>
      <c r="S40" s="7">
        <f>ROUND(114/E40,3)</f>
        <v>1.39</v>
      </c>
      <c r="T40" s="7">
        <f>ROUND(34/E40,3)</f>
        <v>0.41499999999999998</v>
      </c>
      <c r="U40" s="7">
        <f>ROUND(82/E40,3)</f>
        <v>1</v>
      </c>
      <c r="V40" s="7">
        <f>ROUND(16/E40,3)</f>
        <v>0.19500000000000001</v>
      </c>
      <c r="W40" s="7">
        <f>ROUND(34.87/E40,3)</f>
        <v>0.42499999999999999</v>
      </c>
      <c r="X40" s="7">
        <v>0.6</v>
      </c>
      <c r="Y40" s="7">
        <v>0.56000000000000005</v>
      </c>
      <c r="Z40" s="7">
        <v>0.57999999999999996</v>
      </c>
      <c r="AA40" s="7">
        <f>ROUND(67.57/E40,3)</f>
        <v>0.82399999999999995</v>
      </c>
      <c r="AB40" s="7">
        <f>ROUND(41/E40,3)</f>
        <v>0.5</v>
      </c>
      <c r="AC40" s="7">
        <v>8483515</v>
      </c>
    </row>
    <row r="41" spans="1:29" ht="15" customHeight="1" x14ac:dyDescent="0.2">
      <c r="A41" s="7" t="s">
        <v>187</v>
      </c>
      <c r="B41" s="7" t="s">
        <v>60</v>
      </c>
      <c r="C41" s="7" t="s">
        <v>102</v>
      </c>
      <c r="D41" s="7">
        <v>33</v>
      </c>
      <c r="E41" s="7">
        <v>60</v>
      </c>
      <c r="F41" s="7">
        <f>ROUND(28/E41,3)</f>
        <v>0.46700000000000003</v>
      </c>
      <c r="G41" s="7">
        <f>ROUND(45/E41,3)</f>
        <v>0.75</v>
      </c>
      <c r="H41" s="7">
        <f>ROUND(129/E41,3)</f>
        <v>2.15</v>
      </c>
      <c r="I41" s="7">
        <f>ROUND(31/E41,3)</f>
        <v>0.51700000000000002</v>
      </c>
      <c r="J41" s="7">
        <f>ROUND(47/E41,3)</f>
        <v>0.78300000000000003</v>
      </c>
      <c r="K41" s="7">
        <f t="shared" si="1"/>
        <v>11.4275</v>
      </c>
      <c r="L41" s="7">
        <f>ROUND(1152.9/E41,3)</f>
        <v>19.215</v>
      </c>
      <c r="M41" s="7">
        <f>ROUND(9/E41,3)</f>
        <v>0.15</v>
      </c>
      <c r="N41" s="7" t="s">
        <v>1326</v>
      </c>
      <c r="O41" s="7" t="s">
        <v>1327</v>
      </c>
      <c r="P41" s="7">
        <f>ROUND(241/E41,3)</f>
        <v>4.0170000000000003</v>
      </c>
      <c r="Q41" s="7">
        <f>ROUND(205/E41,3)</f>
        <v>3.4169999999999998</v>
      </c>
      <c r="R41" s="7">
        <f>ROUND(175/E41,3)</f>
        <v>2.9169999999999998</v>
      </c>
      <c r="S41" s="7">
        <f>ROUND(118/E41,3)</f>
        <v>1.9670000000000001</v>
      </c>
      <c r="T41" s="7">
        <f>ROUND(25.18/E41,3)</f>
        <v>0.42</v>
      </c>
      <c r="U41" s="7">
        <f>ROUND(70/E41,3)</f>
        <v>1.167</v>
      </c>
      <c r="V41" s="7">
        <f>ROUND(28/E41,3)</f>
        <v>0.46700000000000003</v>
      </c>
      <c r="W41" s="7">
        <f>ROUND(23.1/E41,3)</f>
        <v>0.38500000000000001</v>
      </c>
      <c r="X41" s="7">
        <v>0.66</v>
      </c>
      <c r="Y41" s="7">
        <v>0.61</v>
      </c>
      <c r="Z41" s="7">
        <v>0.63</v>
      </c>
      <c r="AA41" s="7">
        <f>ROUND(75.89/E41,3)</f>
        <v>1.2649999999999999</v>
      </c>
      <c r="AB41" s="7">
        <f>ROUND(32/E41,3)</f>
        <v>0.53300000000000003</v>
      </c>
      <c r="AC41" s="7">
        <v>8475913</v>
      </c>
    </row>
    <row r="42" spans="1:29" ht="15" customHeight="1" x14ac:dyDescent="0.2">
      <c r="A42" s="7" t="s">
        <v>190</v>
      </c>
      <c r="B42" s="7" t="s">
        <v>55</v>
      </c>
      <c r="C42" s="7" t="s">
        <v>191</v>
      </c>
      <c r="D42" s="7">
        <v>28</v>
      </c>
      <c r="E42" s="7">
        <v>81</v>
      </c>
      <c r="F42" s="7">
        <f>ROUND(19/E42,3)</f>
        <v>0.23499999999999999</v>
      </c>
      <c r="G42" s="7">
        <f>ROUND(53/E42,3)</f>
        <v>0.65400000000000003</v>
      </c>
      <c r="H42" s="7">
        <f>ROUND(184/E42,3)</f>
        <v>2.2719999999999998</v>
      </c>
      <c r="I42" s="7">
        <f>ROUND(29/E42,3)</f>
        <v>0.35799999999999998</v>
      </c>
      <c r="J42" s="7">
        <f>ROUND(50/E42,3)</f>
        <v>0.61699999999999999</v>
      </c>
      <c r="K42" s="7">
        <f t="shared" si="1"/>
        <v>8.8720000000000017</v>
      </c>
      <c r="L42" s="7">
        <f>ROUND(1672.7166666667/E42,3)</f>
        <v>20.651</v>
      </c>
      <c r="M42" s="7">
        <f>ROUND(61/E42,3)</f>
        <v>0.753</v>
      </c>
      <c r="N42" s="7" t="s">
        <v>547</v>
      </c>
      <c r="O42" s="7" t="s">
        <v>1328</v>
      </c>
      <c r="P42" s="7">
        <f>ROUND(380/E42,3)</f>
        <v>4.6909999999999998</v>
      </c>
      <c r="Q42" s="7">
        <f>ROUND(283/E42,3)</f>
        <v>3.4940000000000002</v>
      </c>
      <c r="R42" s="7">
        <f>ROUND(176/E42,3)</f>
        <v>2.173</v>
      </c>
      <c r="S42" s="7">
        <f>ROUND(78/E42,3)</f>
        <v>0.96299999999999997</v>
      </c>
      <c r="T42" s="7">
        <f>ROUND(23.69/E42,3)</f>
        <v>0.29199999999999998</v>
      </c>
      <c r="U42" s="7">
        <f>ROUND(93/E42,3)</f>
        <v>1.1479999999999999</v>
      </c>
      <c r="V42" s="7">
        <f>ROUND(42/E42,3)</f>
        <v>0.51900000000000002</v>
      </c>
      <c r="W42" s="7">
        <f>ROUND(24.24/E42,3)</f>
        <v>0.29899999999999999</v>
      </c>
      <c r="X42" s="7">
        <v>0.57999999999999996</v>
      </c>
      <c r="Y42" s="7">
        <v>0.59</v>
      </c>
      <c r="Z42" s="7">
        <v>0.59</v>
      </c>
      <c r="AA42" s="7">
        <f>ROUND(70.27/E42,3)</f>
        <v>0.86799999999999999</v>
      </c>
      <c r="AB42" s="7">
        <f>ROUND(28/E42,3)</f>
        <v>0.34599999999999997</v>
      </c>
      <c r="AC42" s="7">
        <v>8478445</v>
      </c>
    </row>
    <row r="43" spans="1:29" ht="15" customHeight="1" x14ac:dyDescent="0.2">
      <c r="A43" s="7" t="s">
        <v>195</v>
      </c>
      <c r="B43" s="7" t="s">
        <v>60</v>
      </c>
      <c r="C43" s="7" t="s">
        <v>135</v>
      </c>
      <c r="D43" s="7">
        <v>27</v>
      </c>
      <c r="E43" s="7">
        <v>79</v>
      </c>
      <c r="F43" s="7">
        <f>ROUND(33/E43,3)</f>
        <v>0.41799999999999998</v>
      </c>
      <c r="G43" s="7">
        <f>ROUND(38/E43,3)</f>
        <v>0.48099999999999998</v>
      </c>
      <c r="H43" s="7">
        <f>ROUND(167/E43,3)</f>
        <v>2.1139999999999999</v>
      </c>
      <c r="I43" s="7">
        <f>ROUND(122/E43,3)</f>
        <v>1.544</v>
      </c>
      <c r="J43" s="7">
        <f>ROUND(22/E43,3)</f>
        <v>0.27800000000000002</v>
      </c>
      <c r="K43" s="7">
        <f t="shared" si="1"/>
        <v>9.3940000000000019</v>
      </c>
      <c r="L43" s="7">
        <f>ROUND(1370.8/E43,3)</f>
        <v>17.352</v>
      </c>
      <c r="M43" s="7">
        <f>ROUND(33/E43,3)</f>
        <v>0.41799999999999998</v>
      </c>
      <c r="N43" s="7" t="s">
        <v>1329</v>
      </c>
      <c r="O43" s="7" t="s">
        <v>1330</v>
      </c>
      <c r="P43" s="7">
        <f>ROUND(338/E43,3)</f>
        <v>4.2779999999999996</v>
      </c>
      <c r="Q43" s="7">
        <f>ROUND(280/E43,3)</f>
        <v>3.544</v>
      </c>
      <c r="R43" s="7">
        <f>ROUND(211/E43,3)</f>
        <v>2.6709999999999998</v>
      </c>
      <c r="S43" s="7">
        <f>ROUND(111/E43,3)</f>
        <v>1.405</v>
      </c>
      <c r="T43" s="7">
        <f>ROUND(26.73/E43,3)</f>
        <v>0.33800000000000002</v>
      </c>
      <c r="U43" s="7">
        <f>ROUND(63/E43,3)</f>
        <v>0.79700000000000004</v>
      </c>
      <c r="V43" s="7">
        <f>ROUND(22/E43,3)</f>
        <v>0.27800000000000002</v>
      </c>
      <c r="W43" s="7">
        <f>ROUND(23.9/E43,3)</f>
        <v>0.30299999999999999</v>
      </c>
      <c r="X43" s="7">
        <v>0.62</v>
      </c>
      <c r="Y43" s="7">
        <v>0.62</v>
      </c>
      <c r="Z43" s="7">
        <v>0.63</v>
      </c>
      <c r="AA43" s="7">
        <f>ROUND(72.64/E43,3)</f>
        <v>0.91900000000000004</v>
      </c>
      <c r="AB43" s="7">
        <f>ROUND(20/E43,3)</f>
        <v>0.253</v>
      </c>
      <c r="AC43" s="7">
        <v>8480208</v>
      </c>
    </row>
    <row r="44" spans="1:29" ht="15" customHeight="1" x14ac:dyDescent="0.2">
      <c r="A44" s="7" t="s">
        <v>198</v>
      </c>
      <c r="B44" s="7" t="s">
        <v>55</v>
      </c>
      <c r="C44" s="7" t="s">
        <v>146</v>
      </c>
      <c r="D44" s="7">
        <v>35</v>
      </c>
      <c r="E44" s="7">
        <v>82</v>
      </c>
      <c r="F44" s="7">
        <f>ROUND(31/E44,3)</f>
        <v>0.378</v>
      </c>
      <c r="G44" s="7">
        <f>ROUND(40/E44,3)</f>
        <v>0.48799999999999999</v>
      </c>
      <c r="H44" s="7">
        <f>ROUND(192/E44,3)</f>
        <v>2.3410000000000002</v>
      </c>
      <c r="I44" s="7">
        <f>ROUND(74/E44,3)</f>
        <v>0.90200000000000002</v>
      </c>
      <c r="J44" s="7">
        <f>ROUND(24/E44,3)</f>
        <v>0.29299999999999998</v>
      </c>
      <c r="K44" s="7">
        <f t="shared" si="1"/>
        <v>9.036999999999999</v>
      </c>
      <c r="L44" s="7">
        <f>ROUND(1490.55/E44,3)</f>
        <v>18.177</v>
      </c>
      <c r="M44" s="7">
        <f>ROUND(28/E44,3)</f>
        <v>0.34100000000000003</v>
      </c>
      <c r="N44" s="7" t="s">
        <v>1331</v>
      </c>
      <c r="O44" s="7" t="s">
        <v>1332</v>
      </c>
      <c r="P44" s="7">
        <f>ROUND(383/E44,3)</f>
        <v>4.6710000000000003</v>
      </c>
      <c r="Q44" s="7">
        <f>ROUND(303/E44,3)</f>
        <v>3.6949999999999998</v>
      </c>
      <c r="R44" s="7">
        <f>ROUND(293/E44,3)</f>
        <v>3.573</v>
      </c>
      <c r="S44" s="7">
        <f>ROUND(156/E44,3)</f>
        <v>1.9019999999999999</v>
      </c>
      <c r="T44" s="7">
        <f>ROUND(34.15/E44,3)</f>
        <v>0.41599999999999998</v>
      </c>
      <c r="U44" s="7">
        <f>ROUND(75/E44,3)</f>
        <v>0.91500000000000004</v>
      </c>
      <c r="V44" s="7">
        <f>ROUND(26/E44,3)</f>
        <v>0.317</v>
      </c>
      <c r="W44" s="7">
        <f>ROUND(34.12/E44,3)</f>
        <v>0.41599999999999998</v>
      </c>
      <c r="X44" s="7">
        <v>0.56000000000000005</v>
      </c>
      <c r="Y44" s="7">
        <v>0.54</v>
      </c>
      <c r="Z44" s="7">
        <v>0.54</v>
      </c>
      <c r="AA44" s="7">
        <f>ROUND(60.8/E44,3)</f>
        <v>0.74099999999999999</v>
      </c>
      <c r="AB44" s="7">
        <f>ROUND(46/E44,3)</f>
        <v>0.56100000000000005</v>
      </c>
      <c r="AC44" s="7">
        <v>8475166</v>
      </c>
    </row>
    <row r="45" spans="1:29" ht="15" customHeight="1" x14ac:dyDescent="0.2">
      <c r="A45" s="7" t="s">
        <v>201</v>
      </c>
      <c r="B45" s="7" t="s">
        <v>92</v>
      </c>
      <c r="C45" s="7" t="s">
        <v>80</v>
      </c>
      <c r="D45" s="7">
        <v>29</v>
      </c>
      <c r="E45" s="7">
        <v>82</v>
      </c>
      <c r="F45" s="7">
        <f>ROUND(26/E45,3)</f>
        <v>0.317</v>
      </c>
      <c r="G45" s="7">
        <f>ROUND(45/E45,3)</f>
        <v>0.54900000000000004</v>
      </c>
      <c r="H45" s="7">
        <f>ROUND(208/E45,3)</f>
        <v>2.5369999999999999</v>
      </c>
      <c r="I45" s="7">
        <f>ROUND(21/E45,3)</f>
        <v>0.25600000000000001</v>
      </c>
      <c r="J45" s="7">
        <f>ROUND(24/E45,3)</f>
        <v>0.29299999999999998</v>
      </c>
      <c r="K45" s="7">
        <f t="shared" si="1"/>
        <v>8.7880000000000003</v>
      </c>
      <c r="L45" s="7">
        <f>ROUND(1360.85/E45,3)</f>
        <v>16.596</v>
      </c>
      <c r="M45" s="7">
        <f>ROUND(14/E45,3)</f>
        <v>0.17100000000000001</v>
      </c>
      <c r="N45" s="7" t="s">
        <v>1052</v>
      </c>
      <c r="O45" s="7" t="s">
        <v>162</v>
      </c>
      <c r="P45" s="7">
        <f>ROUND(431/E45,3)</f>
        <v>5.2560000000000002</v>
      </c>
      <c r="Q45" s="7">
        <f>ROUND(313/E45,3)</f>
        <v>3.8170000000000002</v>
      </c>
      <c r="R45" s="7">
        <f>ROUND(170/E45,3)</f>
        <v>2.073</v>
      </c>
      <c r="S45" s="7">
        <f>ROUND(55/E45,3)</f>
        <v>0.67100000000000004</v>
      </c>
      <c r="T45" s="7">
        <f>ROUND(20.07/E45,3)</f>
        <v>0.245</v>
      </c>
      <c r="U45" s="7">
        <f>ROUND(87/E45,3)</f>
        <v>1.0609999999999999</v>
      </c>
      <c r="V45" s="7">
        <f>ROUND(24/E45,3)</f>
        <v>0.29299999999999998</v>
      </c>
      <c r="W45" s="7">
        <f>ROUND(19.06/E45,3)</f>
        <v>0.23200000000000001</v>
      </c>
      <c r="X45" s="7">
        <v>0.64</v>
      </c>
      <c r="Y45" s="7">
        <v>0.66</v>
      </c>
      <c r="Z45" s="7">
        <v>0.66</v>
      </c>
      <c r="AA45" s="7">
        <f>ROUND(89.31/E45,3)</f>
        <v>1.089</v>
      </c>
      <c r="AB45" s="7">
        <f>ROUND(19/E45,3)</f>
        <v>0.23200000000000001</v>
      </c>
      <c r="AC45" s="7">
        <v>8477940</v>
      </c>
    </row>
    <row r="46" spans="1:29" ht="15" customHeight="1" x14ac:dyDescent="0.2">
      <c r="A46" s="7" t="s">
        <v>204</v>
      </c>
      <c r="B46" s="7" t="s">
        <v>92</v>
      </c>
      <c r="C46" s="7" t="s">
        <v>153</v>
      </c>
      <c r="D46" s="7">
        <v>27</v>
      </c>
      <c r="E46" s="7">
        <v>82</v>
      </c>
      <c r="F46" s="7">
        <f>ROUND(22/E46,3)</f>
        <v>0.26800000000000002</v>
      </c>
      <c r="G46" s="7">
        <f>ROUND(49/E46,3)</f>
        <v>0.59799999999999998</v>
      </c>
      <c r="H46" s="7">
        <f>ROUND(178/E46,3)</f>
        <v>2.1709999999999998</v>
      </c>
      <c r="I46" s="7">
        <f>ROUND(74/E46,3)</f>
        <v>0.90200000000000002</v>
      </c>
      <c r="J46" s="7">
        <f>ROUND(24/E46,3)</f>
        <v>0.29299999999999998</v>
      </c>
      <c r="K46" s="7">
        <f t="shared" si="1"/>
        <v>8.6470000000000002</v>
      </c>
      <c r="L46" s="7">
        <f>ROUND(1538.6/E46,3)</f>
        <v>18.763000000000002</v>
      </c>
      <c r="M46" s="7">
        <f>ROUND(12/E46,3)</f>
        <v>0.14599999999999999</v>
      </c>
      <c r="N46" s="7" t="s">
        <v>1333</v>
      </c>
      <c r="O46" s="7" t="s">
        <v>1334</v>
      </c>
      <c r="P46" s="7">
        <f>ROUND(354/E46,3)</f>
        <v>4.3170000000000002</v>
      </c>
      <c r="Q46" s="7">
        <f>ROUND(267/E46,3)</f>
        <v>3.2559999999999998</v>
      </c>
      <c r="R46" s="7">
        <f>ROUND(203/E46,3)</f>
        <v>2.476</v>
      </c>
      <c r="S46" s="7">
        <f>ROUND(85/E46,3)</f>
        <v>1.0369999999999999</v>
      </c>
      <c r="T46" s="7">
        <f>ROUND(21.17/E46,3)</f>
        <v>0.25800000000000001</v>
      </c>
      <c r="U46" s="7">
        <f>ROUND(92/E46,3)</f>
        <v>1.1220000000000001</v>
      </c>
      <c r="V46" s="7">
        <f>ROUND(24/E46,3)</f>
        <v>0.29299999999999998</v>
      </c>
      <c r="W46" s="7">
        <f>ROUND(21.46/E46,3)</f>
        <v>0.26200000000000001</v>
      </c>
      <c r="X46" s="7">
        <v>0.61</v>
      </c>
      <c r="Y46" s="7">
        <v>0.61</v>
      </c>
      <c r="Z46" s="7">
        <v>0.61</v>
      </c>
      <c r="AA46" s="7">
        <f>ROUND(75.3/E46,3)</f>
        <v>0.91800000000000004</v>
      </c>
      <c r="AB46" s="7">
        <f>ROUND(27/E46,3)</f>
        <v>0.32900000000000001</v>
      </c>
      <c r="AC46" s="7">
        <v>8479407</v>
      </c>
    </row>
    <row r="47" spans="1:29" ht="15" customHeight="1" x14ac:dyDescent="0.2">
      <c r="A47" s="7" t="s">
        <v>208</v>
      </c>
      <c r="B47" s="7" t="s">
        <v>60</v>
      </c>
      <c r="C47" s="7" t="s">
        <v>80</v>
      </c>
      <c r="D47" s="7">
        <v>25</v>
      </c>
      <c r="E47" s="7">
        <v>79</v>
      </c>
      <c r="F47" s="7">
        <f>ROUND(31/E47,3)</f>
        <v>0.39200000000000002</v>
      </c>
      <c r="G47" s="7">
        <f>ROUND(39/E47,3)</f>
        <v>0.49399999999999999</v>
      </c>
      <c r="H47" s="7">
        <f>ROUND(204/E47,3)</f>
        <v>2.5819999999999999</v>
      </c>
      <c r="I47" s="7">
        <f>ROUND(148/E47,3)</f>
        <v>1.873</v>
      </c>
      <c r="J47" s="7">
        <f>ROUND(16/E47,3)</f>
        <v>0.20300000000000001</v>
      </c>
      <c r="K47" s="7">
        <f t="shared" si="1"/>
        <v>9.8214999999999986</v>
      </c>
      <c r="L47" s="7">
        <f>ROUND(1341.8166666667/E47,3)</f>
        <v>16.984999999999999</v>
      </c>
      <c r="M47" s="7">
        <f>ROUND(66/E47,3)</f>
        <v>0.83499999999999996</v>
      </c>
      <c r="N47" s="7" t="s">
        <v>839</v>
      </c>
      <c r="O47" s="7" t="s">
        <v>1335</v>
      </c>
      <c r="P47" s="7">
        <f>ROUND(426/E47,3)</f>
        <v>5.3920000000000003</v>
      </c>
      <c r="Q47" s="7">
        <f>ROUND(319/E47,3)</f>
        <v>4.0380000000000003</v>
      </c>
      <c r="R47" s="7">
        <f>ROUND(238/E47,3)</f>
        <v>3.0129999999999999</v>
      </c>
      <c r="S47" s="7">
        <f>ROUND(89/E47,3)</f>
        <v>1.127</v>
      </c>
      <c r="T47" s="7">
        <f>ROUND(28.05/E47,3)</f>
        <v>0.35499999999999998</v>
      </c>
      <c r="U47" s="7">
        <f>ROUND(92/E47,3)</f>
        <v>1.165</v>
      </c>
      <c r="V47" s="7">
        <f>ROUND(23/E47,3)</f>
        <v>0.29099999999999998</v>
      </c>
      <c r="W47" s="7">
        <f>ROUND(28.69/E47,3)</f>
        <v>0.36299999999999999</v>
      </c>
      <c r="X47" s="7">
        <v>0.63</v>
      </c>
      <c r="Y47" s="7">
        <v>0.66</v>
      </c>
      <c r="Z47" s="7">
        <v>0.65</v>
      </c>
      <c r="AA47" s="7">
        <f>ROUND(85.66/E47,3)</f>
        <v>1.0840000000000001</v>
      </c>
      <c r="AB47" s="7">
        <f>ROUND(27/E47,3)</f>
        <v>0.34200000000000003</v>
      </c>
      <c r="AC47" s="7">
        <v>8480830</v>
      </c>
    </row>
    <row r="48" spans="1:29" ht="15" customHeight="1" x14ac:dyDescent="0.2">
      <c r="A48" s="7" t="s">
        <v>211</v>
      </c>
      <c r="B48" s="7" t="s">
        <v>92</v>
      </c>
      <c r="C48" s="7" t="s">
        <v>230</v>
      </c>
      <c r="D48" s="7">
        <v>21</v>
      </c>
      <c r="E48" s="7">
        <v>76</v>
      </c>
      <c r="F48" s="7">
        <f>ROUND(41/E48,3)</f>
        <v>0.53900000000000003</v>
      </c>
      <c r="G48" s="7">
        <f>ROUND(28/E48,3)</f>
        <v>0.36799999999999999</v>
      </c>
      <c r="H48" s="7">
        <f>ROUND(283/E48,3)</f>
        <v>3.7240000000000002</v>
      </c>
      <c r="I48" s="7">
        <f>ROUND(64/E48,3)</f>
        <v>0.84199999999999997</v>
      </c>
      <c r="J48" s="7">
        <f>ROUND(20/E48,3)</f>
        <v>0.26300000000000001</v>
      </c>
      <c r="K48" s="7">
        <f t="shared" si="1"/>
        <v>10.927999999999999</v>
      </c>
      <c r="L48" s="7">
        <f>ROUND(1311.2166666667/E48,3)</f>
        <v>17.253</v>
      </c>
      <c r="M48" s="7">
        <f>ROUND(28/E48,3)</f>
        <v>0.36799999999999999</v>
      </c>
      <c r="N48" s="7" t="s">
        <v>225</v>
      </c>
      <c r="O48" s="7" t="s">
        <v>1336</v>
      </c>
      <c r="P48" s="7">
        <f>ROUND(559/E48,3)</f>
        <v>7.3550000000000004</v>
      </c>
      <c r="Q48" s="7">
        <f>ROUND(425/E48,3)</f>
        <v>5.5919999999999996</v>
      </c>
      <c r="R48" s="7">
        <f>ROUND(256/E48,3)</f>
        <v>3.3679999999999999</v>
      </c>
      <c r="S48" s="7">
        <f>ROUND(73/E48,3)</f>
        <v>0.96099999999999997</v>
      </c>
      <c r="T48" s="7">
        <f>ROUND(30.74/E48,3)</f>
        <v>0.40400000000000003</v>
      </c>
      <c r="U48" s="7">
        <f>ROUND(74/E48,3)</f>
        <v>0.97399999999999998</v>
      </c>
      <c r="V48" s="7">
        <f>ROUND(19/E48,3)</f>
        <v>0.25</v>
      </c>
      <c r="W48" s="7">
        <f>ROUND(29.81/E48,3)</f>
        <v>0.39200000000000002</v>
      </c>
      <c r="X48" s="7">
        <v>0.57999999999999996</v>
      </c>
      <c r="Y48" s="7">
        <v>0.6</v>
      </c>
      <c r="Z48" s="7">
        <v>0.6</v>
      </c>
      <c r="AA48" s="7">
        <f>ROUND(81.29/E48,3)</f>
        <v>1.07</v>
      </c>
      <c r="AB48" s="7">
        <f>ROUND(28/E48,3)</f>
        <v>0.36799999999999999</v>
      </c>
      <c r="AC48" s="7">
        <v>8483445</v>
      </c>
    </row>
    <row r="49" spans="1:29" ht="15" customHeight="1" x14ac:dyDescent="0.2">
      <c r="A49" s="7" t="s">
        <v>212</v>
      </c>
      <c r="B49" s="7" t="s">
        <v>55</v>
      </c>
      <c r="C49" s="7" t="s">
        <v>84</v>
      </c>
      <c r="D49" s="7">
        <v>27</v>
      </c>
      <c r="E49" s="7">
        <v>81</v>
      </c>
      <c r="F49" s="7">
        <f>ROUND(39/E49,3)</f>
        <v>0.48099999999999998</v>
      </c>
      <c r="G49" s="7">
        <f>ROUND(29/E49,3)</f>
        <v>0.35799999999999998</v>
      </c>
      <c r="H49" s="7">
        <f>ROUND(181/E49,3)</f>
        <v>2.2349999999999999</v>
      </c>
      <c r="I49" s="7">
        <f>ROUND(110/E49,3)</f>
        <v>1.3580000000000001</v>
      </c>
      <c r="J49" s="7">
        <f>ROUND(34/E49,3)</f>
        <v>0.42</v>
      </c>
      <c r="K49" s="7">
        <f t="shared" si="1"/>
        <v>9.33</v>
      </c>
      <c r="L49" s="7">
        <f>ROUND(1409.8666666667/E49,3)</f>
        <v>17.405999999999999</v>
      </c>
      <c r="M49" s="7">
        <f>ROUND(22/E49,3)</f>
        <v>0.27200000000000002</v>
      </c>
      <c r="N49" s="7" t="s">
        <v>115</v>
      </c>
      <c r="O49" s="7" t="s">
        <v>1031</v>
      </c>
      <c r="P49" s="7">
        <f>ROUND(355/E49,3)</f>
        <v>4.383</v>
      </c>
      <c r="Q49" s="7">
        <f>ROUND(274/E49,3)</f>
        <v>3.383</v>
      </c>
      <c r="R49" s="7">
        <f>ROUND(173/E49,3)</f>
        <v>2.1360000000000001</v>
      </c>
      <c r="S49" s="7">
        <f>ROUND(82/E49,3)</f>
        <v>1.012</v>
      </c>
      <c r="T49" s="7">
        <f>ROUND(23.77/E49,3)</f>
        <v>0.29299999999999998</v>
      </c>
      <c r="U49" s="7">
        <f>ROUND(78/E49,3)</f>
        <v>0.96299999999999997</v>
      </c>
      <c r="V49" s="7">
        <f>ROUND(20/E49,3)</f>
        <v>0.247</v>
      </c>
      <c r="W49" s="7">
        <f>ROUND(22.48/E49,3)</f>
        <v>0.27800000000000002</v>
      </c>
      <c r="X49" s="7">
        <v>0.55000000000000004</v>
      </c>
      <c r="Y49" s="7">
        <v>0.55000000000000004</v>
      </c>
      <c r="Z49" s="7">
        <v>0.55000000000000004</v>
      </c>
      <c r="AA49" s="7">
        <f>ROUND(61.18/E49,3)</f>
        <v>0.755</v>
      </c>
      <c r="AB49" s="7">
        <f>ROUND(27/E49,3)</f>
        <v>0.33300000000000002</v>
      </c>
      <c r="AC49" s="7">
        <v>8479987</v>
      </c>
    </row>
    <row r="50" spans="1:29" ht="15" customHeight="1" x14ac:dyDescent="0.2">
      <c r="A50" s="7" t="s">
        <v>216</v>
      </c>
      <c r="B50" s="7" t="s">
        <v>55</v>
      </c>
      <c r="C50" s="7" t="s">
        <v>72</v>
      </c>
      <c r="D50" s="7">
        <v>26</v>
      </c>
      <c r="E50" s="7">
        <v>82</v>
      </c>
      <c r="F50" s="7">
        <f>ROUND(30/E50,3)</f>
        <v>0.36599999999999999</v>
      </c>
      <c r="G50" s="7">
        <f>ROUND(38/E50,3)</f>
        <v>0.46300000000000002</v>
      </c>
      <c r="H50" s="7">
        <f>ROUND(149/E50,3)</f>
        <v>1.8169999999999999</v>
      </c>
      <c r="I50" s="7">
        <f>ROUND(20/E50,3)</f>
        <v>0.24399999999999999</v>
      </c>
      <c r="J50" s="7">
        <f>ROUND(35/E50,3)</f>
        <v>0.42699999999999999</v>
      </c>
      <c r="K50" s="7">
        <f t="shared" si="1"/>
        <v>8.0719999999999992</v>
      </c>
      <c r="L50" s="7">
        <f>ROUND(1536.65/E50,3)</f>
        <v>18.739999999999998</v>
      </c>
      <c r="M50" s="7">
        <f>ROUND(24/E50,3)</f>
        <v>0.29299999999999998</v>
      </c>
      <c r="N50" s="7" t="s">
        <v>1337</v>
      </c>
      <c r="O50" s="7" t="s">
        <v>1338</v>
      </c>
      <c r="P50" s="7">
        <f>ROUND(299/E50,3)</f>
        <v>3.6459999999999999</v>
      </c>
      <c r="Q50" s="7">
        <f>ROUND(239/E50,3)</f>
        <v>2.915</v>
      </c>
      <c r="R50" s="7">
        <f>ROUND(233/E50,3)</f>
        <v>2.8410000000000002</v>
      </c>
      <c r="S50" s="7">
        <f>ROUND(134/E50,3)</f>
        <v>1.6339999999999999</v>
      </c>
      <c r="T50" s="7">
        <f>ROUND(29.01/E50,3)</f>
        <v>0.35399999999999998</v>
      </c>
      <c r="U50" s="7">
        <f>ROUND(63/E50,3)</f>
        <v>0.76800000000000002</v>
      </c>
      <c r="V50" s="7">
        <f>ROUND(14/E50,3)</f>
        <v>0.17100000000000001</v>
      </c>
      <c r="W50" s="7">
        <f>ROUND(27.86/E50,3)</f>
        <v>0.34</v>
      </c>
      <c r="X50" s="7">
        <v>0.56000000000000005</v>
      </c>
      <c r="Y50" s="7">
        <v>0.55000000000000004</v>
      </c>
      <c r="Z50" s="7">
        <v>0.55000000000000004</v>
      </c>
      <c r="AA50" s="7">
        <f>ROUND(60.14/E50,3)</f>
        <v>0.73299999999999998</v>
      </c>
      <c r="AB50" s="7">
        <f>ROUND(37/E50,3)</f>
        <v>0.45100000000000001</v>
      </c>
      <c r="AC50" s="7">
        <v>8480014</v>
      </c>
    </row>
    <row r="51" spans="1:29" ht="15" customHeight="1" x14ac:dyDescent="0.2">
      <c r="A51" s="7" t="s">
        <v>219</v>
      </c>
      <c r="B51" s="7" t="s">
        <v>60</v>
      </c>
      <c r="C51" s="7" t="s">
        <v>220</v>
      </c>
      <c r="D51" s="7">
        <v>28</v>
      </c>
      <c r="E51" s="7">
        <v>77</v>
      </c>
      <c r="F51" s="7">
        <f>ROUND(27/E51,3)</f>
        <v>0.35099999999999998</v>
      </c>
      <c r="G51" s="7">
        <f>ROUND(41/E51,3)</f>
        <v>0.53200000000000003</v>
      </c>
      <c r="H51" s="7">
        <f>ROUND(169/E51,3)</f>
        <v>2.1949999999999998</v>
      </c>
      <c r="I51" s="7">
        <f>ROUND(108/E51,3)</f>
        <v>1.403</v>
      </c>
      <c r="J51" s="7">
        <f>ROUND(38/E51,3)</f>
        <v>0.49399999999999999</v>
      </c>
      <c r="K51" s="7">
        <f t="shared" si="1"/>
        <v>9.3904999999999994</v>
      </c>
      <c r="L51" s="7">
        <f>ROUND(1469.9333333333/E51,3)</f>
        <v>19.09</v>
      </c>
      <c r="M51" s="7">
        <f>ROUND(59/E51,3)</f>
        <v>0.76600000000000001</v>
      </c>
      <c r="N51" s="7" t="s">
        <v>1339</v>
      </c>
      <c r="O51" s="7" t="s">
        <v>909</v>
      </c>
      <c r="P51" s="7">
        <f>ROUND(327/E51,3)</f>
        <v>4.2469999999999999</v>
      </c>
      <c r="Q51" s="7">
        <f>ROUND(257/E51,3)</f>
        <v>3.3380000000000001</v>
      </c>
      <c r="R51" s="7">
        <f>ROUND(188/E51,3)</f>
        <v>2.4420000000000002</v>
      </c>
      <c r="S51" s="7">
        <f>ROUND(80/E51,3)</f>
        <v>1.0389999999999999</v>
      </c>
      <c r="T51" s="7">
        <f>ROUND(23.37/E51,3)</f>
        <v>0.30399999999999999</v>
      </c>
      <c r="U51" s="7">
        <f>ROUND(101/E51,3)</f>
        <v>1.3120000000000001</v>
      </c>
      <c r="V51" s="7">
        <f>ROUND(17/E51,3)</f>
        <v>0.221</v>
      </c>
      <c r="W51" s="7">
        <f>ROUND(21.91/E51,3)</f>
        <v>0.28499999999999998</v>
      </c>
      <c r="X51" s="7">
        <v>0.54</v>
      </c>
      <c r="Y51" s="7">
        <v>0.51</v>
      </c>
      <c r="Z51" s="7">
        <v>0.52</v>
      </c>
      <c r="AA51" s="7">
        <f>ROUND(55.09/E51,3)</f>
        <v>0.71499999999999997</v>
      </c>
      <c r="AB51" s="7">
        <f>ROUND(25/E51,3)</f>
        <v>0.32500000000000001</v>
      </c>
      <c r="AC51" s="7">
        <v>8478439</v>
      </c>
    </row>
    <row r="52" spans="1:29" ht="15" customHeight="1" x14ac:dyDescent="0.2">
      <c r="A52" s="7" t="s">
        <v>224</v>
      </c>
      <c r="B52" s="7" t="s">
        <v>55</v>
      </c>
      <c r="C52" s="7" t="s">
        <v>160</v>
      </c>
      <c r="D52" s="7">
        <v>29</v>
      </c>
      <c r="E52" s="7">
        <v>74</v>
      </c>
      <c r="F52" s="7">
        <f>ROUND(34/E52,3)</f>
        <v>0.45900000000000002</v>
      </c>
      <c r="G52" s="7">
        <f>ROUND(33/E52,3)</f>
        <v>0.44600000000000001</v>
      </c>
      <c r="H52" s="7">
        <f>ROUND(227/E52,3)</f>
        <v>3.0680000000000001</v>
      </c>
      <c r="I52" s="7">
        <f>ROUND(46/E52,3)</f>
        <v>0.622</v>
      </c>
      <c r="J52" s="7">
        <f>ROUND(33/E52,3)</f>
        <v>0.44600000000000001</v>
      </c>
      <c r="K52" s="7">
        <f t="shared" si="1"/>
        <v>10.173</v>
      </c>
      <c r="L52" s="7">
        <f>ROUND(1493.85/E52,3)</f>
        <v>20.187000000000001</v>
      </c>
      <c r="M52" s="7">
        <f>ROUND(48/E52,3)</f>
        <v>0.64900000000000002</v>
      </c>
      <c r="N52" s="7" t="s">
        <v>1104</v>
      </c>
      <c r="O52" s="7" t="s">
        <v>1100</v>
      </c>
      <c r="P52" s="7">
        <f>ROUND(450/E52,3)</f>
        <v>6.0810000000000004</v>
      </c>
      <c r="Q52" s="7">
        <f>ROUND(348/E52,3)</f>
        <v>4.7030000000000003</v>
      </c>
      <c r="R52" s="7">
        <f>ROUND(265/E52,3)</f>
        <v>3.581</v>
      </c>
      <c r="S52" s="7">
        <f>ROUND(126/E52,3)</f>
        <v>1.7030000000000001</v>
      </c>
      <c r="T52" s="7">
        <f>ROUND(34.22/E52,3)</f>
        <v>0.46200000000000002</v>
      </c>
      <c r="U52" s="7">
        <f>ROUND(67/E52,3)</f>
        <v>0.90500000000000003</v>
      </c>
      <c r="V52" s="7">
        <f>ROUND(18/E52,3)</f>
        <v>0.24299999999999999</v>
      </c>
      <c r="W52" s="7">
        <f>ROUND(33.76/E52,3)</f>
        <v>0.45600000000000002</v>
      </c>
      <c r="X52" s="7">
        <v>0.56000000000000005</v>
      </c>
      <c r="Y52" s="7">
        <v>0.55000000000000004</v>
      </c>
      <c r="Z52" s="7">
        <v>0.55000000000000004</v>
      </c>
      <c r="AA52" s="7">
        <f>ROUND(66.28/E52,3)</f>
        <v>0.89600000000000002</v>
      </c>
      <c r="AB52" s="7">
        <f>ROUND(40/E52,3)</f>
        <v>0.54100000000000004</v>
      </c>
      <c r="AC52" s="7">
        <v>8477946</v>
      </c>
    </row>
    <row r="53" spans="1:29" ht="15" customHeight="1" x14ac:dyDescent="0.2">
      <c r="A53" s="7" t="s">
        <v>227</v>
      </c>
      <c r="B53" s="7" t="s">
        <v>55</v>
      </c>
      <c r="C53" s="7" t="s">
        <v>230</v>
      </c>
      <c r="D53" s="7">
        <v>20</v>
      </c>
      <c r="E53" s="7">
        <v>70</v>
      </c>
      <c r="F53" s="7">
        <f>ROUND(29/E53,3)</f>
        <v>0.41399999999999998</v>
      </c>
      <c r="G53" s="7">
        <f>ROUND(38/E53,3)</f>
        <v>0.54300000000000004</v>
      </c>
      <c r="H53" s="7">
        <f>ROUND(193/E53,3)</f>
        <v>2.7570000000000001</v>
      </c>
      <c r="I53" s="7">
        <f>ROUND(14/E53,3)</f>
        <v>0.2</v>
      </c>
      <c r="J53" s="7">
        <f>ROUND(29/E53,3)</f>
        <v>0.41399999999999998</v>
      </c>
      <c r="K53" s="7">
        <f t="shared" si="1"/>
        <v>9.8409999999999993</v>
      </c>
      <c r="L53" s="7">
        <f>ROUND(1340.5166666667/E53,3)</f>
        <v>19.149999999999999</v>
      </c>
      <c r="M53" s="7">
        <f>ROUND(33/E53,3)</f>
        <v>0.47099999999999997</v>
      </c>
      <c r="N53" s="7" t="s">
        <v>1340</v>
      </c>
      <c r="O53" s="7" t="s">
        <v>1341</v>
      </c>
      <c r="P53" s="7">
        <f>ROUND(365/E53,3)</f>
        <v>5.2140000000000004</v>
      </c>
      <c r="Q53" s="7">
        <f>ROUND(277/E53,3)</f>
        <v>3.9569999999999999</v>
      </c>
      <c r="R53" s="7">
        <f>ROUND(229/E53,3)</f>
        <v>3.2709999999999999</v>
      </c>
      <c r="S53" s="7">
        <f>ROUND(101/E53,3)</f>
        <v>1.4430000000000001</v>
      </c>
      <c r="T53" s="7">
        <f>ROUND(23.42/E53,3)</f>
        <v>0.33500000000000002</v>
      </c>
      <c r="U53" s="7">
        <f>ROUND(78/E53,3)</f>
        <v>1.1140000000000001</v>
      </c>
      <c r="V53" s="7">
        <f>ROUND(34/E53,3)</f>
        <v>0.48599999999999999</v>
      </c>
      <c r="W53" s="7">
        <f>ROUND(22.42/E53,3)</f>
        <v>0.32</v>
      </c>
      <c r="X53" s="7">
        <v>0.56999999999999995</v>
      </c>
      <c r="Y53" s="7">
        <v>0.61</v>
      </c>
      <c r="Z53" s="7">
        <v>0.6</v>
      </c>
      <c r="AA53" s="7">
        <f>ROUND(75.32/E53,3)</f>
        <v>1.0760000000000001</v>
      </c>
      <c r="AB53" s="7">
        <f>ROUND(24/E53,3)</f>
        <v>0.34300000000000003</v>
      </c>
      <c r="AC53" s="7">
        <v>8484153</v>
      </c>
    </row>
    <row r="54" spans="1:29" ht="15" customHeight="1" x14ac:dyDescent="0.2">
      <c r="A54" s="7" t="s">
        <v>228</v>
      </c>
      <c r="B54" s="7" t="s">
        <v>60</v>
      </c>
      <c r="C54" s="7" t="s">
        <v>380</v>
      </c>
      <c r="D54" s="7">
        <v>25</v>
      </c>
      <c r="E54" s="7">
        <v>76</v>
      </c>
      <c r="F54" s="7">
        <f>ROUND(27/E54,3)</f>
        <v>0.35499999999999998</v>
      </c>
      <c r="G54" s="7">
        <f>ROUND(40/E54,3)</f>
        <v>0.52600000000000002</v>
      </c>
      <c r="H54" s="7">
        <f>ROUND(218/E54,3)</f>
        <v>2.8679999999999999</v>
      </c>
      <c r="I54" s="7">
        <f>ROUND(61/E54,3)</f>
        <v>0.80300000000000005</v>
      </c>
      <c r="J54" s="7">
        <f>ROUND(40/E54,3)</f>
        <v>0.52600000000000002</v>
      </c>
      <c r="K54" s="7">
        <f t="shared" si="1"/>
        <v>9.791500000000001</v>
      </c>
      <c r="L54" s="7">
        <f>ROUND(1439.6166666667/E54,3)</f>
        <v>18.942</v>
      </c>
      <c r="M54" s="7">
        <f>ROUND(32/E54,3)</f>
        <v>0.42099999999999999</v>
      </c>
      <c r="N54" s="7" t="s">
        <v>1342</v>
      </c>
      <c r="O54" s="7" t="s">
        <v>1343</v>
      </c>
      <c r="P54" s="7">
        <f>ROUND(446/E54,3)</f>
        <v>5.8680000000000003</v>
      </c>
      <c r="Q54" s="7">
        <f>ROUND(334/E54,3)</f>
        <v>4.3949999999999996</v>
      </c>
      <c r="R54" s="7">
        <f>ROUND(229/E54,3)</f>
        <v>3.0129999999999999</v>
      </c>
      <c r="S54" s="7">
        <f>ROUND(65/E54,3)</f>
        <v>0.85499999999999998</v>
      </c>
      <c r="T54" s="7">
        <f>ROUND(25.03/E54,3)</f>
        <v>0.32900000000000001</v>
      </c>
      <c r="U54" s="7">
        <f>ROUND(95/E54,3)</f>
        <v>1.25</v>
      </c>
      <c r="V54" s="7">
        <f>ROUND(45/E54,3)</f>
        <v>0.59199999999999997</v>
      </c>
      <c r="W54" s="7">
        <f>ROUND(25.31/E54,3)</f>
        <v>0.33300000000000002</v>
      </c>
      <c r="X54" s="7">
        <v>0.57999999999999996</v>
      </c>
      <c r="Y54" s="7">
        <v>0.59</v>
      </c>
      <c r="Z54" s="7">
        <v>0.59</v>
      </c>
      <c r="AA54" s="7">
        <f>ROUND(71.25/E54,3)</f>
        <v>0.93799999999999994</v>
      </c>
      <c r="AB54" s="7">
        <f>ROUND(18/E54,3)</f>
        <v>0.23699999999999999</v>
      </c>
      <c r="AC54" s="7">
        <v>8480893</v>
      </c>
    </row>
    <row r="55" spans="1:29" ht="15" customHeight="1" x14ac:dyDescent="0.2">
      <c r="A55" s="7" t="s">
        <v>229</v>
      </c>
      <c r="B55" s="7" t="s">
        <v>55</v>
      </c>
      <c r="C55" s="7" t="s">
        <v>220</v>
      </c>
      <c r="D55" s="7">
        <v>24</v>
      </c>
      <c r="E55" s="7">
        <v>81</v>
      </c>
      <c r="F55" s="7">
        <f>ROUND(26/E55,3)</f>
        <v>0.32100000000000001</v>
      </c>
      <c r="G55" s="7">
        <f>ROUND(41/E55,3)</f>
        <v>0.50600000000000001</v>
      </c>
      <c r="H55" s="7">
        <f>ROUND(167/E55,3)</f>
        <v>2.0619999999999998</v>
      </c>
      <c r="I55" s="7">
        <f>ROUND(46/E55,3)</f>
        <v>0.56799999999999995</v>
      </c>
      <c r="J55" s="7">
        <f>ROUND(28/E55,3)</f>
        <v>0.34599999999999997</v>
      </c>
      <c r="K55" s="7">
        <f t="shared" si="1"/>
        <v>8.2960000000000012</v>
      </c>
      <c r="L55" s="7">
        <f>ROUND(1516.2333333333/E55,3)</f>
        <v>18.719000000000001</v>
      </c>
      <c r="M55" s="7">
        <f>ROUND(62/E55,3)</f>
        <v>0.76500000000000001</v>
      </c>
      <c r="N55" s="7" t="s">
        <v>1340</v>
      </c>
      <c r="O55" s="7" t="s">
        <v>891</v>
      </c>
      <c r="P55" s="7">
        <f>ROUND(350/E55,3)</f>
        <v>4.3209999999999997</v>
      </c>
      <c r="Q55" s="7">
        <f>ROUND(266/E55,3)</f>
        <v>3.2839999999999998</v>
      </c>
      <c r="R55" s="7">
        <f>ROUND(201/E55,3)</f>
        <v>2.4809999999999999</v>
      </c>
      <c r="S55" s="7">
        <f>ROUND(80/E55,3)</f>
        <v>0.98799999999999999</v>
      </c>
      <c r="T55" s="7">
        <f>ROUND(21.65/E55,3)</f>
        <v>0.26700000000000002</v>
      </c>
      <c r="U55" s="7">
        <f>ROUND(80/E55,3)</f>
        <v>0.98799999999999999</v>
      </c>
      <c r="V55" s="7">
        <f>ROUND(25/E55,3)</f>
        <v>0.309</v>
      </c>
      <c r="W55" s="7">
        <f>ROUND(20.96/E55,3)</f>
        <v>0.25900000000000001</v>
      </c>
      <c r="X55" s="7">
        <v>0.61</v>
      </c>
      <c r="Y55" s="7">
        <v>0.56999999999999995</v>
      </c>
      <c r="Z55" s="7">
        <v>0.56999999999999995</v>
      </c>
      <c r="AA55" s="7">
        <f>ROUND(58.9/E55,3)</f>
        <v>0.72699999999999998</v>
      </c>
      <c r="AB55" s="7">
        <f>ROUND(19/E55,3)</f>
        <v>0.23499999999999999</v>
      </c>
      <c r="AC55" s="7">
        <v>8481533</v>
      </c>
    </row>
    <row r="56" spans="1:29" ht="15" customHeight="1" x14ac:dyDescent="0.2">
      <c r="A56" s="7" t="s">
        <v>233</v>
      </c>
      <c r="B56" s="7" t="s">
        <v>55</v>
      </c>
      <c r="C56" s="7" t="s">
        <v>164</v>
      </c>
      <c r="D56" s="7">
        <v>35</v>
      </c>
      <c r="E56" s="7">
        <v>82</v>
      </c>
      <c r="F56" s="7">
        <f>ROUND(42/E56,3)</f>
        <v>0.51200000000000001</v>
      </c>
      <c r="G56" s="7">
        <f>ROUND(24/E56,3)</f>
        <v>0.29299999999999998</v>
      </c>
      <c r="H56" s="7">
        <f>ROUND(206/E56,3)</f>
        <v>2.512</v>
      </c>
      <c r="I56" s="7">
        <f>ROUND(89/E56,3)</f>
        <v>1.085</v>
      </c>
      <c r="J56" s="7">
        <f>ROUND(36/E56,3)</f>
        <v>0.439</v>
      </c>
      <c r="K56" s="7">
        <f t="shared" si="1"/>
        <v>9.3475000000000001</v>
      </c>
      <c r="L56" s="7">
        <f>ROUND(1461.85/E56,3)</f>
        <v>17.827000000000002</v>
      </c>
      <c r="M56" s="7">
        <f>ROUND(58/E56,3)</f>
        <v>0.70699999999999996</v>
      </c>
      <c r="N56" s="7" t="s">
        <v>214</v>
      </c>
      <c r="O56" s="7" t="s">
        <v>530</v>
      </c>
      <c r="P56" s="7">
        <f>ROUND(408/E56,3)</f>
        <v>4.976</v>
      </c>
      <c r="Q56" s="7">
        <f>ROUND(306/E56,3)</f>
        <v>3.7320000000000002</v>
      </c>
      <c r="R56" s="7">
        <f>ROUND(219/E56,3)</f>
        <v>2.6709999999999998</v>
      </c>
      <c r="S56" s="7">
        <f>ROUND(97/E56,3)</f>
        <v>1.1830000000000001</v>
      </c>
      <c r="T56" s="7">
        <f>ROUND(30.19/E56,3)</f>
        <v>0.36799999999999999</v>
      </c>
      <c r="U56" s="7">
        <f>ROUND(65/E56,3)</f>
        <v>0.79300000000000004</v>
      </c>
      <c r="V56" s="7">
        <f>ROUND(24/E56,3)</f>
        <v>0.29299999999999998</v>
      </c>
      <c r="W56" s="7">
        <f>ROUND(28.9/E56,3)</f>
        <v>0.35199999999999998</v>
      </c>
      <c r="X56" s="7">
        <v>0.56999999999999995</v>
      </c>
      <c r="Y56" s="7">
        <v>0.57999999999999996</v>
      </c>
      <c r="Z56" s="7">
        <v>0.56000000000000005</v>
      </c>
      <c r="AA56" s="7">
        <f>ROUND(63.81/E56,3)</f>
        <v>0.77800000000000002</v>
      </c>
      <c r="AB56" s="7">
        <f>ROUND(31/E56,3)</f>
        <v>0.378</v>
      </c>
      <c r="AC56" s="7">
        <v>8474564</v>
      </c>
    </row>
    <row r="57" spans="1:29" ht="15" customHeight="1" x14ac:dyDescent="0.2">
      <c r="A57" s="7" t="s">
        <v>236</v>
      </c>
      <c r="B57" s="7" t="s">
        <v>60</v>
      </c>
      <c r="C57" s="7" t="s">
        <v>138</v>
      </c>
      <c r="D57" s="7">
        <v>29</v>
      </c>
      <c r="E57" s="7">
        <v>79</v>
      </c>
      <c r="F57" s="7">
        <f>ROUND(33/E57,3)</f>
        <v>0.41799999999999998</v>
      </c>
      <c r="G57" s="7">
        <f>ROUND(33/E57,3)</f>
        <v>0.41799999999999998</v>
      </c>
      <c r="H57" s="7">
        <f>ROUND(195/E57,3)</f>
        <v>2.468</v>
      </c>
      <c r="I57" s="7">
        <f>ROUND(82/E57,3)</f>
        <v>1.038</v>
      </c>
      <c r="J57" s="7">
        <f>ROUND(90/E57,3)</f>
        <v>1.139</v>
      </c>
      <c r="K57" s="7">
        <f t="shared" si="1"/>
        <v>9.9779999999999998</v>
      </c>
      <c r="L57" s="7">
        <f>ROUND(1500.4833333333/E57,3)</f>
        <v>18.992999999999999</v>
      </c>
      <c r="M57" s="7">
        <f>ROUND(57/E57,3)</f>
        <v>0.72199999999999998</v>
      </c>
      <c r="N57" s="7" t="s">
        <v>115</v>
      </c>
      <c r="O57" s="7" t="s">
        <v>1344</v>
      </c>
      <c r="P57" s="7">
        <f>ROUND(376/E57,3)</f>
        <v>4.7590000000000003</v>
      </c>
      <c r="Q57" s="7">
        <f>ROUND(319/E57,3)</f>
        <v>4.0380000000000003</v>
      </c>
      <c r="R57" s="7">
        <f>ROUND(198/E57,3)</f>
        <v>2.5059999999999998</v>
      </c>
      <c r="S57" s="7">
        <f>ROUND(98/E57,3)</f>
        <v>1.2410000000000001</v>
      </c>
      <c r="T57" s="7">
        <f>ROUND(24.26/E57,3)</f>
        <v>0.307</v>
      </c>
      <c r="U57" s="7">
        <f>ROUND(60/E57,3)</f>
        <v>0.75900000000000001</v>
      </c>
      <c r="V57" s="7">
        <f>ROUND(39/E57,3)</f>
        <v>0.49399999999999999</v>
      </c>
      <c r="W57" s="7">
        <f>ROUND(23.34/E57,3)</f>
        <v>0.29499999999999998</v>
      </c>
      <c r="X57" s="7">
        <v>0.46</v>
      </c>
      <c r="Y57" s="7">
        <v>0.48</v>
      </c>
      <c r="Z57" s="7">
        <v>0.49</v>
      </c>
      <c r="AA57" s="7">
        <f>ROUND(69.72/E57,3)</f>
        <v>0.88300000000000001</v>
      </c>
      <c r="AB57" s="7">
        <f>ROUND(25/E57,3)</f>
        <v>0.316</v>
      </c>
      <c r="AC57" s="7">
        <v>8477949</v>
      </c>
    </row>
    <row r="58" spans="1:29" ht="15" customHeight="1" x14ac:dyDescent="0.2">
      <c r="A58" s="7" t="s">
        <v>239</v>
      </c>
      <c r="B58" s="7" t="s">
        <v>55</v>
      </c>
      <c r="C58" s="7" t="s">
        <v>80</v>
      </c>
      <c r="D58" s="7">
        <v>23</v>
      </c>
      <c r="E58" s="7">
        <v>71</v>
      </c>
      <c r="F58" s="7">
        <f>ROUND(32/E58,3)</f>
        <v>0.45100000000000001</v>
      </c>
      <c r="G58" s="7">
        <f>ROUND(34/E58,3)</f>
        <v>0.47899999999999998</v>
      </c>
      <c r="H58" s="7">
        <f>ROUND(224/E58,3)</f>
        <v>3.1549999999999998</v>
      </c>
      <c r="I58" s="7">
        <f>ROUND(81/E58,3)</f>
        <v>1.141</v>
      </c>
      <c r="J58" s="7">
        <f>ROUND(27/E58,3)</f>
        <v>0.38</v>
      </c>
      <c r="K58" s="7">
        <f t="shared" si="1"/>
        <v>10.587499999999999</v>
      </c>
      <c r="L58" s="7">
        <f>ROUND(1340.45/E58,3)</f>
        <v>18.88</v>
      </c>
      <c r="M58" s="7">
        <f>ROUND(23/E58,3)</f>
        <v>0.32400000000000001</v>
      </c>
      <c r="N58" s="7" t="s">
        <v>531</v>
      </c>
      <c r="O58" s="7" t="s">
        <v>100</v>
      </c>
      <c r="P58" s="7">
        <f>ROUND(371/E58,3)</f>
        <v>5.2249999999999996</v>
      </c>
      <c r="Q58" s="7">
        <f>ROUND(326/E58,3)</f>
        <v>4.5919999999999996</v>
      </c>
      <c r="R58" s="7">
        <f>ROUND(253/E58,3)</f>
        <v>3.5630000000000002</v>
      </c>
      <c r="S58" s="7">
        <f>ROUND(122/E58,3)</f>
        <v>1.718</v>
      </c>
      <c r="T58" s="7">
        <f>ROUND(33.6/E58,3)</f>
        <v>0.47299999999999998</v>
      </c>
      <c r="U58" s="7">
        <f>ROUND(57/E58,3)</f>
        <v>0.80300000000000005</v>
      </c>
      <c r="V58" s="7">
        <f>ROUND(41/E58,3)</f>
        <v>0.57699999999999996</v>
      </c>
      <c r="W58" s="7">
        <f>ROUND(31.21/E58,3)</f>
        <v>0.44</v>
      </c>
      <c r="X58" s="7">
        <v>0.61</v>
      </c>
      <c r="Y58" s="7">
        <v>0.64</v>
      </c>
      <c r="Z58" s="7">
        <v>0.63</v>
      </c>
      <c r="AA58" s="7">
        <f>ROUND(83.75/E58,3)</f>
        <v>1.18</v>
      </c>
      <c r="AB58" s="7">
        <f>ROUND(33/E58,3)</f>
        <v>0.46500000000000002</v>
      </c>
      <c r="AC58" s="7">
        <v>8482093</v>
      </c>
    </row>
    <row r="59" spans="1:29" ht="15" customHeight="1" x14ac:dyDescent="0.2">
      <c r="A59" s="7" t="s">
        <v>243</v>
      </c>
      <c r="B59" s="7" t="s">
        <v>55</v>
      </c>
      <c r="C59" s="7" t="s">
        <v>153</v>
      </c>
      <c r="D59" s="7">
        <v>26</v>
      </c>
      <c r="E59" s="7">
        <v>82</v>
      </c>
      <c r="F59" s="7">
        <f>ROUND(28/E59,3)</f>
        <v>0.34100000000000003</v>
      </c>
      <c r="G59" s="7">
        <f>ROUND(38/E59,3)</f>
        <v>0.46300000000000002</v>
      </c>
      <c r="H59" s="7">
        <f>ROUND(211/E59,3)</f>
        <v>2.573</v>
      </c>
      <c r="I59" s="7">
        <f>ROUND(58/E59,3)</f>
        <v>0.70699999999999996</v>
      </c>
      <c r="J59" s="7">
        <f>ROUND(62/E59,3)</f>
        <v>0.75600000000000001</v>
      </c>
      <c r="K59" s="7">
        <f t="shared" si="1"/>
        <v>9.1885000000000012</v>
      </c>
      <c r="L59" s="7">
        <f>ROUND(1698.7666666667/E59,3)</f>
        <v>20.716999999999999</v>
      </c>
      <c r="M59" s="7">
        <f>ROUND(29/E59,3)</f>
        <v>0.35399999999999998</v>
      </c>
      <c r="N59" s="7" t="s">
        <v>1345</v>
      </c>
      <c r="O59" s="7" t="s">
        <v>124</v>
      </c>
      <c r="P59" s="7">
        <f>ROUND(394/E59,3)</f>
        <v>4.8049999999999997</v>
      </c>
      <c r="Q59" s="7">
        <f>ROUND(299/E59,3)</f>
        <v>3.6459999999999999</v>
      </c>
      <c r="R59" s="7">
        <f>ROUND(277/E59,3)</f>
        <v>3.3780000000000001</v>
      </c>
      <c r="S59" s="7">
        <f>ROUND(136/E59,3)</f>
        <v>1.659</v>
      </c>
      <c r="T59" s="7">
        <f>ROUND(32.16/E59,3)</f>
        <v>0.39200000000000002</v>
      </c>
      <c r="U59" s="7">
        <f>ROUND(72/E59,3)</f>
        <v>0.878</v>
      </c>
      <c r="V59" s="7">
        <f>ROUND(27/E59,3)</f>
        <v>0.32900000000000001</v>
      </c>
      <c r="W59" s="7">
        <f>ROUND(30.79/E59,3)</f>
        <v>0.375</v>
      </c>
      <c r="X59" s="7">
        <v>0.56999999999999995</v>
      </c>
      <c r="Y59" s="7">
        <v>0.56999999999999995</v>
      </c>
      <c r="Z59" s="7">
        <v>0.56000000000000005</v>
      </c>
      <c r="AA59" s="7">
        <f>ROUND(75.11/E59,3)</f>
        <v>0.91600000000000004</v>
      </c>
      <c r="AB59" s="7">
        <f>ROUND(40/E59,3)</f>
        <v>0.48799999999999999</v>
      </c>
      <c r="AC59" s="7">
        <v>8480002</v>
      </c>
    </row>
    <row r="60" spans="1:29" ht="15" customHeight="1" x14ac:dyDescent="0.2">
      <c r="A60" s="7" t="s">
        <v>246</v>
      </c>
      <c r="B60" s="7" t="s">
        <v>92</v>
      </c>
      <c r="C60" s="7" t="s">
        <v>146</v>
      </c>
      <c r="D60" s="7">
        <v>22</v>
      </c>
      <c r="E60" s="7">
        <v>79</v>
      </c>
      <c r="F60" s="7">
        <f>ROUND(23/E60,3)</f>
        <v>0.29099999999999998</v>
      </c>
      <c r="G60" s="7">
        <f>ROUND(43/E60,3)</f>
        <v>0.54400000000000004</v>
      </c>
      <c r="H60" s="7">
        <f>ROUND(140/E60,3)</f>
        <v>1.772</v>
      </c>
      <c r="I60" s="7">
        <f>ROUND(152/E60,3)</f>
        <v>1.9239999999999999</v>
      </c>
      <c r="J60" s="7">
        <f>ROUND(32/E60,3)</f>
        <v>0.40500000000000003</v>
      </c>
      <c r="K60" s="7">
        <f t="shared" si="1"/>
        <v>8.7310000000000016</v>
      </c>
      <c r="L60" s="7">
        <f>ROUND(1484.5833333333/E60,3)</f>
        <v>18.792000000000002</v>
      </c>
      <c r="M60" s="7">
        <f>ROUND(29/E60,3)</f>
        <v>0.36699999999999999</v>
      </c>
      <c r="N60" s="7" t="s">
        <v>1346</v>
      </c>
      <c r="O60" s="7" t="s">
        <v>1347</v>
      </c>
      <c r="P60" s="7">
        <f>ROUND(241/E60,3)</f>
        <v>3.0510000000000002</v>
      </c>
      <c r="Q60" s="7">
        <f>ROUND(194/E60,3)</f>
        <v>2.456</v>
      </c>
      <c r="R60" s="7">
        <f>ROUND(189/E60,3)</f>
        <v>2.3919999999999999</v>
      </c>
      <c r="S60" s="7">
        <f>ROUND(115/E60,3)</f>
        <v>1.456</v>
      </c>
      <c r="T60" s="7">
        <f>ROUND(24.04/E60,3)</f>
        <v>0.30399999999999999</v>
      </c>
      <c r="U60" s="7">
        <f>ROUND(68/E60,3)</f>
        <v>0.86099999999999999</v>
      </c>
      <c r="V60" s="7">
        <f>ROUND(26/E60,3)</f>
        <v>0.32900000000000001</v>
      </c>
      <c r="W60" s="7">
        <f>ROUND(24.05/E60,3)</f>
        <v>0.30399999999999999</v>
      </c>
      <c r="X60" s="7">
        <v>0.49</v>
      </c>
      <c r="Y60" s="7">
        <v>0.47</v>
      </c>
      <c r="Z60" s="7">
        <v>0.47</v>
      </c>
      <c r="AA60" s="7">
        <f>ROUND(38.96/E60,3)</f>
        <v>0.49299999999999999</v>
      </c>
      <c r="AB60" s="7">
        <f>ROUND(30/E60,3)</f>
        <v>0.38</v>
      </c>
      <c r="AC60" s="7">
        <v>8482720</v>
      </c>
    </row>
    <row r="61" spans="1:29" ht="15" customHeight="1" x14ac:dyDescent="0.2">
      <c r="A61" s="7" t="s">
        <v>247</v>
      </c>
      <c r="B61" s="7" t="s">
        <v>55</v>
      </c>
      <c r="C61" s="7" t="s">
        <v>66</v>
      </c>
      <c r="D61" s="7">
        <v>33</v>
      </c>
      <c r="E61" s="7">
        <v>81</v>
      </c>
      <c r="F61" s="7">
        <f>ROUND(33/E61,3)</f>
        <v>0.40699999999999997</v>
      </c>
      <c r="G61" s="7">
        <f>ROUND(32/E61,3)</f>
        <v>0.39500000000000002</v>
      </c>
      <c r="H61" s="7">
        <f>ROUND(186/E61,3)</f>
        <v>2.2959999999999998</v>
      </c>
      <c r="I61" s="7">
        <f>ROUND(38/E61,3)</f>
        <v>0.46899999999999997</v>
      </c>
      <c r="J61" s="7">
        <f>ROUND(65/E61,3)</f>
        <v>0.80200000000000005</v>
      </c>
      <c r="K61" s="7">
        <f t="shared" si="1"/>
        <v>8.958499999999999</v>
      </c>
      <c r="L61" s="7">
        <f>ROUND(1591.9166666667/E61,3)</f>
        <v>19.652999999999999</v>
      </c>
      <c r="M61" s="7">
        <f>ROUND(36/E61,3)</f>
        <v>0.44400000000000001</v>
      </c>
      <c r="N61" s="7" t="s">
        <v>918</v>
      </c>
      <c r="O61" s="7" t="s">
        <v>276</v>
      </c>
      <c r="P61" s="7">
        <f>ROUND(332/E61,3)</f>
        <v>4.0990000000000002</v>
      </c>
      <c r="Q61" s="7">
        <f>ROUND(269/E61,3)</f>
        <v>3.3210000000000002</v>
      </c>
      <c r="R61" s="7">
        <f>ROUND(255/E61,3)</f>
        <v>3.1480000000000001</v>
      </c>
      <c r="S61" s="7">
        <f>ROUND(126/E61,3)</f>
        <v>1.556</v>
      </c>
      <c r="T61" s="7">
        <f>ROUND(30.97/E61,3)</f>
        <v>0.38200000000000001</v>
      </c>
      <c r="U61" s="7">
        <f>ROUND(67/E61,3)</f>
        <v>0.82699999999999996</v>
      </c>
      <c r="V61" s="7">
        <f>ROUND(21/E61,3)</f>
        <v>0.25900000000000001</v>
      </c>
      <c r="W61" s="7">
        <f>ROUND(30.46/E61,3)</f>
        <v>0.376</v>
      </c>
      <c r="X61" s="7">
        <v>0.61</v>
      </c>
      <c r="Y61" s="7">
        <v>0.57999999999999996</v>
      </c>
      <c r="Z61" s="7">
        <v>0.57999999999999996</v>
      </c>
      <c r="AA61" s="7">
        <f>ROUND(82.21/E61,3)</f>
        <v>1.0149999999999999</v>
      </c>
      <c r="AB61" s="7">
        <f>ROUND(41/E61,3)</f>
        <v>0.50600000000000001</v>
      </c>
      <c r="AC61" s="7">
        <v>8475754</v>
      </c>
    </row>
    <row r="62" spans="1:29" ht="15" customHeight="1" x14ac:dyDescent="0.2">
      <c r="A62" s="7" t="s">
        <v>250</v>
      </c>
      <c r="B62" s="7" t="s">
        <v>55</v>
      </c>
      <c r="C62" s="7" t="s">
        <v>84</v>
      </c>
      <c r="D62" s="7">
        <v>28</v>
      </c>
      <c r="E62" s="7">
        <v>78</v>
      </c>
      <c r="F62" s="7">
        <f>ROUND(30/E62,3)</f>
        <v>0.38500000000000001</v>
      </c>
      <c r="G62" s="7">
        <f>ROUND(35/E62,3)</f>
        <v>0.44900000000000001</v>
      </c>
      <c r="H62" s="7">
        <f>ROUND(130/E62,3)</f>
        <v>1.667</v>
      </c>
      <c r="I62" s="7">
        <f>ROUND(64/E62,3)</f>
        <v>0.82099999999999995</v>
      </c>
      <c r="J62" s="7">
        <f>ROUND(26/E62,3)</f>
        <v>0.33300000000000002</v>
      </c>
      <c r="K62" s="7">
        <f t="shared" si="1"/>
        <v>8.1844999999999999</v>
      </c>
      <c r="L62" s="7">
        <f>ROUND(1314/E62,3)</f>
        <v>16.846</v>
      </c>
      <c r="M62" s="7">
        <f>ROUND(28/E62,3)</f>
        <v>0.35899999999999999</v>
      </c>
      <c r="N62" s="7" t="s">
        <v>823</v>
      </c>
      <c r="O62" s="7" t="s">
        <v>700</v>
      </c>
      <c r="P62" s="7">
        <f>ROUND(233/E62,3)</f>
        <v>2.9870000000000001</v>
      </c>
      <c r="Q62" s="7">
        <f>ROUND(204/E62,3)</f>
        <v>2.6150000000000002</v>
      </c>
      <c r="R62" s="7">
        <f>ROUND(185/E62,3)</f>
        <v>2.3719999999999999</v>
      </c>
      <c r="S62" s="7">
        <f>ROUND(97/E62,3)</f>
        <v>1.244</v>
      </c>
      <c r="T62" s="7">
        <f>ROUND(22.82/E62,3)</f>
        <v>0.29299999999999998</v>
      </c>
      <c r="U62" s="7">
        <f>ROUND(61/E62,3)</f>
        <v>0.78200000000000003</v>
      </c>
      <c r="V62" s="7">
        <f>ROUND(18/E62,3)</f>
        <v>0.23100000000000001</v>
      </c>
      <c r="W62" s="7">
        <f>ROUND(23.13/E62,3)</f>
        <v>0.29699999999999999</v>
      </c>
      <c r="X62" s="7">
        <v>0.54</v>
      </c>
      <c r="Y62" s="7">
        <v>0.54</v>
      </c>
      <c r="Z62" s="7">
        <v>0.54</v>
      </c>
      <c r="AA62" s="7">
        <f>ROUND(53.77/E62,3)</f>
        <v>0.68899999999999995</v>
      </c>
      <c r="AB62" s="7">
        <f>ROUND(31/E62,3)</f>
        <v>0.39700000000000002</v>
      </c>
      <c r="AC62" s="7">
        <v>8478401</v>
      </c>
    </row>
    <row r="63" spans="1:29" ht="15" customHeight="1" x14ac:dyDescent="0.2">
      <c r="A63" s="7" t="s">
        <v>253</v>
      </c>
      <c r="B63" s="7" t="s">
        <v>60</v>
      </c>
      <c r="C63" s="7" t="s">
        <v>114</v>
      </c>
      <c r="D63" s="7">
        <v>33</v>
      </c>
      <c r="E63" s="7">
        <v>72</v>
      </c>
      <c r="F63" s="7">
        <f>ROUND(29/E63,3)</f>
        <v>0.40300000000000002</v>
      </c>
      <c r="G63" s="7">
        <f>ROUND(36/E63,3)</f>
        <v>0.5</v>
      </c>
      <c r="H63" s="7">
        <f>ROUND(183/E63,3)</f>
        <v>2.5419999999999998</v>
      </c>
      <c r="I63" s="7">
        <f>ROUND(35/E63,3)</f>
        <v>0.48599999999999999</v>
      </c>
      <c r="J63" s="7">
        <f>ROUND(71/E63,3)</f>
        <v>0.98599999999999999</v>
      </c>
      <c r="K63" s="7">
        <f t="shared" si="1"/>
        <v>9.995000000000001</v>
      </c>
      <c r="L63" s="7">
        <f>ROUND(1436/E63,3)</f>
        <v>19.943999999999999</v>
      </c>
      <c r="M63" s="7">
        <f>ROUND(26/E63,3)</f>
        <v>0.36099999999999999</v>
      </c>
      <c r="N63" s="7" t="s">
        <v>857</v>
      </c>
      <c r="O63" s="7" t="s">
        <v>633</v>
      </c>
      <c r="P63" s="7">
        <f>ROUND(352/E63,3)</f>
        <v>4.8890000000000002</v>
      </c>
      <c r="Q63" s="7">
        <f>ROUND(298/E63,3)</f>
        <v>4.1390000000000002</v>
      </c>
      <c r="R63" s="7">
        <f>ROUND(241/E63,3)</f>
        <v>3.347</v>
      </c>
      <c r="S63" s="7">
        <f>ROUND(113/E63,3)</f>
        <v>1.569</v>
      </c>
      <c r="T63" s="7">
        <f>ROUND(29.58/E63,3)</f>
        <v>0.41099999999999998</v>
      </c>
      <c r="U63" s="7">
        <f>ROUND(78/E63,3)</f>
        <v>1.083</v>
      </c>
      <c r="V63" s="7">
        <f>ROUND(13/E63,3)</f>
        <v>0.18099999999999999</v>
      </c>
      <c r="W63" s="7">
        <f>ROUND(29.01/E63,3)</f>
        <v>0.40300000000000002</v>
      </c>
      <c r="X63" s="7">
        <v>0.55000000000000004</v>
      </c>
      <c r="Y63" s="7">
        <v>0.53</v>
      </c>
      <c r="Z63" s="7">
        <v>0.54</v>
      </c>
      <c r="AA63" s="7">
        <f>ROUND(60.67/E63,3)</f>
        <v>0.84299999999999997</v>
      </c>
      <c r="AB63" s="7">
        <f>ROUND(36/E63,3)</f>
        <v>0.5</v>
      </c>
      <c r="AC63" s="7">
        <v>8475810</v>
      </c>
    </row>
    <row r="64" spans="1:29" ht="15" customHeight="1" x14ac:dyDescent="0.2">
      <c r="A64" s="7" t="s">
        <v>257</v>
      </c>
      <c r="B64" s="7" t="s">
        <v>60</v>
      </c>
      <c r="C64" s="7" t="s">
        <v>102</v>
      </c>
      <c r="D64" s="7">
        <v>24</v>
      </c>
      <c r="E64" s="7">
        <v>82</v>
      </c>
      <c r="F64" s="7">
        <f>ROUND(37/E64,3)</f>
        <v>0.45100000000000001</v>
      </c>
      <c r="G64" s="7">
        <f>ROUND(27/E64,3)</f>
        <v>0.32900000000000001</v>
      </c>
      <c r="H64" s="7">
        <f>ROUND(229/E64,3)</f>
        <v>2.7930000000000001</v>
      </c>
      <c r="I64" s="7">
        <f>ROUND(27/E64,3)</f>
        <v>0.32900000000000001</v>
      </c>
      <c r="J64" s="7">
        <f>ROUND(28/E64,3)</f>
        <v>0.34100000000000003</v>
      </c>
      <c r="K64" s="7">
        <f t="shared" si="1"/>
        <v>8.8804999999999996</v>
      </c>
      <c r="L64" s="7">
        <f>ROUND(1443.5666666667/E64,3)</f>
        <v>17.603999999999999</v>
      </c>
      <c r="M64" s="7">
        <f>ROUND(24/E64,3)</f>
        <v>0.29299999999999998</v>
      </c>
      <c r="N64" s="7" t="s">
        <v>676</v>
      </c>
      <c r="O64" s="7" t="s">
        <v>1348</v>
      </c>
      <c r="P64" s="7">
        <f>ROUND(455/E64,3)</f>
        <v>5.5490000000000004</v>
      </c>
      <c r="Q64" s="7">
        <f>ROUND(333/E64,3)</f>
        <v>4.0609999999999999</v>
      </c>
      <c r="R64" s="7">
        <f>ROUND(275/E64,3)</f>
        <v>3.3540000000000001</v>
      </c>
      <c r="S64" s="7">
        <f>ROUND(108/E64,3)</f>
        <v>1.3169999999999999</v>
      </c>
      <c r="T64" s="7">
        <f>ROUND(30.77/E64,3)</f>
        <v>0.375</v>
      </c>
      <c r="U64" s="7">
        <f>ROUND(64/E64,3)</f>
        <v>0.78</v>
      </c>
      <c r="V64" s="7">
        <f>ROUND(17/E64,3)</f>
        <v>0.20699999999999999</v>
      </c>
      <c r="W64" s="7">
        <f>ROUND(30.82/E64,3)</f>
        <v>0.376</v>
      </c>
      <c r="X64" s="7">
        <v>0.64</v>
      </c>
      <c r="Y64" s="7">
        <v>0.64</v>
      </c>
      <c r="Z64" s="7">
        <v>0.63</v>
      </c>
      <c r="AA64" s="7">
        <f>ROUND(76.24/E64,3)</f>
        <v>0.93</v>
      </c>
      <c r="AB64" s="7">
        <f>ROUND(33/E64,3)</f>
        <v>0.40200000000000002</v>
      </c>
      <c r="AC64" s="7">
        <v>8481604</v>
      </c>
    </row>
    <row r="65" spans="1:29" ht="15" customHeight="1" x14ac:dyDescent="0.2">
      <c r="A65" s="7" t="s">
        <v>258</v>
      </c>
      <c r="B65" s="7" t="s">
        <v>60</v>
      </c>
      <c r="C65" s="7" t="s">
        <v>114</v>
      </c>
      <c r="D65" s="7">
        <v>31</v>
      </c>
      <c r="E65" s="7">
        <v>81</v>
      </c>
      <c r="F65" s="7">
        <f>ROUND(33/E65,3)</f>
        <v>0.40699999999999997</v>
      </c>
      <c r="G65" s="7">
        <f>ROUND(31/E65,3)</f>
        <v>0.38300000000000001</v>
      </c>
      <c r="H65" s="7">
        <f>ROUND(152/E65,3)</f>
        <v>1.877</v>
      </c>
      <c r="I65" s="7">
        <f>ROUND(52/E65,3)</f>
        <v>0.64200000000000002</v>
      </c>
      <c r="J65" s="7">
        <f>ROUND(40/E65,3)</f>
        <v>0.49399999999999999</v>
      </c>
      <c r="K65" s="7">
        <f t="shared" si="1"/>
        <v>8.2460000000000004</v>
      </c>
      <c r="L65" s="7">
        <f>ROUND(1230.1666666667/E65,3)</f>
        <v>15.186999999999999</v>
      </c>
      <c r="M65" s="7">
        <f>ROUND(43/E65,3)</f>
        <v>0.53100000000000003</v>
      </c>
      <c r="N65" s="7" t="s">
        <v>115</v>
      </c>
      <c r="O65" s="7" t="s">
        <v>1327</v>
      </c>
      <c r="P65" s="7">
        <f>ROUND(281/E65,3)</f>
        <v>3.4689999999999999</v>
      </c>
      <c r="Q65" s="7">
        <f>ROUND(210/E65,3)</f>
        <v>2.593</v>
      </c>
      <c r="R65" s="7">
        <f>ROUND(169/E65,3)</f>
        <v>2.0859999999999999</v>
      </c>
      <c r="S65" s="7">
        <f>ROUND(90/E65,3)</f>
        <v>1.111</v>
      </c>
      <c r="T65" s="7">
        <f>ROUND(19.57/E65,3)</f>
        <v>0.24199999999999999</v>
      </c>
      <c r="U65" s="7">
        <f>ROUND(82/E65,3)</f>
        <v>1.012</v>
      </c>
      <c r="V65" s="7">
        <f>ROUND(20/E65,3)</f>
        <v>0.247</v>
      </c>
      <c r="W65" s="7">
        <f>ROUND(18.33/E65,3)</f>
        <v>0.22600000000000001</v>
      </c>
      <c r="X65" s="7">
        <v>0.56000000000000005</v>
      </c>
      <c r="Y65" s="7">
        <v>0.55000000000000004</v>
      </c>
      <c r="Z65" s="7">
        <v>0.56000000000000005</v>
      </c>
      <c r="AA65" s="7">
        <f>ROUND(56.02/E65,3)</f>
        <v>0.69199999999999995</v>
      </c>
      <c r="AB65" s="7">
        <f>ROUND(19/E65,3)</f>
        <v>0.23499999999999999</v>
      </c>
      <c r="AC65" s="7">
        <v>8477511</v>
      </c>
    </row>
    <row r="66" spans="1:29" ht="15" customHeight="1" x14ac:dyDescent="0.2">
      <c r="A66" s="7" t="s">
        <v>263</v>
      </c>
      <c r="B66" s="7" t="s">
        <v>92</v>
      </c>
      <c r="C66" s="7" t="s">
        <v>259</v>
      </c>
      <c r="D66" s="7">
        <v>40</v>
      </c>
      <c r="E66" s="7">
        <v>82</v>
      </c>
      <c r="F66" s="7">
        <f>ROUND(32/E66,3)</f>
        <v>0.39</v>
      </c>
      <c r="G66" s="7">
        <f>ROUND(32/E66,3)</f>
        <v>0.39</v>
      </c>
      <c r="H66" s="7">
        <f>ROUND(243/E66,3)</f>
        <v>2.9630000000000001</v>
      </c>
      <c r="I66" s="7">
        <f>ROUND(134/E66,3)</f>
        <v>1.6339999999999999</v>
      </c>
      <c r="J66" s="7">
        <f>ROUND(16/E66,3)</f>
        <v>0.19500000000000001</v>
      </c>
      <c r="K66" s="7">
        <f t="shared" si="1"/>
        <v>9.4350000000000005</v>
      </c>
      <c r="L66" s="7">
        <f>ROUND(1430.7666666667/E66,3)</f>
        <v>17.448</v>
      </c>
      <c r="M66" s="7">
        <f>ROUND(26/E66,3)</f>
        <v>0.317</v>
      </c>
      <c r="N66" s="7" t="s">
        <v>647</v>
      </c>
      <c r="O66" s="7" t="s">
        <v>1349</v>
      </c>
      <c r="P66" s="7">
        <f>ROUND(542/E66,3)</f>
        <v>6.61</v>
      </c>
      <c r="Q66" s="7">
        <f>ROUND(390/E66,3)</f>
        <v>4.7560000000000002</v>
      </c>
      <c r="R66" s="7">
        <f>ROUND(246/E66,3)</f>
        <v>3</v>
      </c>
      <c r="S66" s="7">
        <f>ROUND(103/E66,3)</f>
        <v>1.256</v>
      </c>
      <c r="T66" s="7">
        <f>ROUND(32.92/E66,3)</f>
        <v>0.40100000000000002</v>
      </c>
      <c r="U66" s="7">
        <f>ROUND(62/E66,3)</f>
        <v>0.75600000000000001</v>
      </c>
      <c r="V66" s="7">
        <f>ROUND(9/E66,3)</f>
        <v>0.11</v>
      </c>
      <c r="W66" s="7">
        <f>ROUND(33.78/E66,3)</f>
        <v>0.41199999999999998</v>
      </c>
      <c r="X66" s="7">
        <v>0.61</v>
      </c>
      <c r="Y66" s="7">
        <v>0.6</v>
      </c>
      <c r="Z66" s="7">
        <v>0.6</v>
      </c>
      <c r="AA66" s="7">
        <f>ROUND(65.2/E66,3)</f>
        <v>0.79500000000000004</v>
      </c>
      <c r="AB66" s="7">
        <f>ROUND(38/E66,3)</f>
        <v>0.46300000000000002</v>
      </c>
      <c r="AC66" s="7">
        <v>8471214</v>
      </c>
    </row>
    <row r="67" spans="1:29" ht="15" customHeight="1" x14ac:dyDescent="0.2">
      <c r="A67" s="7" t="s">
        <v>266</v>
      </c>
      <c r="B67" s="7" t="s">
        <v>55</v>
      </c>
      <c r="C67" s="7" t="s">
        <v>180</v>
      </c>
      <c r="D67" s="7">
        <v>26</v>
      </c>
      <c r="E67" s="7">
        <v>64</v>
      </c>
      <c r="F67" s="7">
        <f>ROUND(25/E67,3)</f>
        <v>0.39100000000000001</v>
      </c>
      <c r="G67" s="7">
        <f>ROUND(39/E67,3)</f>
        <v>0.60899999999999999</v>
      </c>
      <c r="H67" s="7">
        <f>ROUND(102/E67,3)</f>
        <v>1.5940000000000001</v>
      </c>
      <c r="I67" s="7">
        <f>ROUND(10/E67,3)</f>
        <v>0.156</v>
      </c>
      <c r="J67" s="7">
        <f>ROUND(40/E67,3)</f>
        <v>0.625</v>
      </c>
      <c r="K67" s="7">
        <f t="shared" ref="K67:K98" si="2">8*F67+6*G67+1*H67+1*J67+0.5*I67</f>
        <v>9.0789999999999988</v>
      </c>
      <c r="L67" s="7">
        <f>ROUND(1216.9666666667/E67,3)</f>
        <v>19.015000000000001</v>
      </c>
      <c r="M67" s="7">
        <f>ROUND(24/E67,3)</f>
        <v>0.375</v>
      </c>
      <c r="N67" s="7" t="s">
        <v>880</v>
      </c>
      <c r="O67" s="7" t="s">
        <v>1350</v>
      </c>
      <c r="P67" s="7">
        <f>ROUND(195/E67,3)</f>
        <v>3.0470000000000002</v>
      </c>
      <c r="Q67" s="7">
        <f>ROUND(142/E67,3)</f>
        <v>2.2189999999999999</v>
      </c>
      <c r="R67" s="7">
        <f>ROUND(133/E67,3)</f>
        <v>2.0779999999999998</v>
      </c>
      <c r="S67" s="7">
        <f>ROUND(57/E67,3)</f>
        <v>0.89100000000000001</v>
      </c>
      <c r="T67" s="7">
        <f>ROUND(15.43/E67,3)</f>
        <v>0.24099999999999999</v>
      </c>
      <c r="U67" s="7">
        <f>ROUND(96/E67,3)</f>
        <v>1.5</v>
      </c>
      <c r="V67" s="7">
        <f>ROUND(31/E67,3)</f>
        <v>0.48399999999999999</v>
      </c>
      <c r="W67" s="7">
        <f>ROUND(15.01/E67,3)</f>
        <v>0.23499999999999999</v>
      </c>
      <c r="X67" s="7">
        <v>0.54</v>
      </c>
      <c r="Y67" s="7">
        <v>0.52</v>
      </c>
      <c r="Z67" s="7">
        <v>0.51</v>
      </c>
      <c r="AA67" s="7">
        <f>ROUND(59.17/E67,3)</f>
        <v>0.92500000000000004</v>
      </c>
      <c r="AB67" s="7">
        <f>ROUND(20/E67,3)</f>
        <v>0.313</v>
      </c>
      <c r="AC67" s="7">
        <v>8480023</v>
      </c>
    </row>
    <row r="68" spans="1:29" ht="15" customHeight="1" x14ac:dyDescent="0.2">
      <c r="A68" s="7" t="s">
        <v>268</v>
      </c>
      <c r="B68" s="7" t="s">
        <v>60</v>
      </c>
      <c r="C68" s="7" t="s">
        <v>259</v>
      </c>
      <c r="D68" s="7">
        <v>31</v>
      </c>
      <c r="E68" s="7">
        <v>72</v>
      </c>
      <c r="F68" s="7">
        <f>ROUND(30/E68,3)</f>
        <v>0.41699999999999998</v>
      </c>
      <c r="G68" s="7">
        <f>ROUND(32/E68,3)</f>
        <v>0.44400000000000001</v>
      </c>
      <c r="H68" s="7">
        <f>ROUND(153/E68,3)</f>
        <v>2.125</v>
      </c>
      <c r="I68" s="7">
        <f>ROUND(179/E68,3)</f>
        <v>2.4860000000000002</v>
      </c>
      <c r="J68" s="7">
        <f>ROUND(54/E68,3)</f>
        <v>0.75</v>
      </c>
      <c r="K68" s="7">
        <f t="shared" si="2"/>
        <v>10.118</v>
      </c>
      <c r="L68" s="7">
        <f>ROUND(1401.3166666667/E68,3)</f>
        <v>19.463000000000001</v>
      </c>
      <c r="M68" s="7">
        <f>ROUND(117/E68,3)</f>
        <v>1.625</v>
      </c>
      <c r="N68" s="7" t="s">
        <v>292</v>
      </c>
      <c r="O68" s="7" t="s">
        <v>1351</v>
      </c>
      <c r="P68" s="7">
        <f>ROUND(302/E68,3)</f>
        <v>4.194</v>
      </c>
      <c r="Q68" s="7">
        <f>ROUND(236/E68,3)</f>
        <v>3.278</v>
      </c>
      <c r="R68" s="7">
        <f>ROUND(201/E68,3)</f>
        <v>2.7919999999999998</v>
      </c>
      <c r="S68" s="7">
        <f>ROUND(119/E68,3)</f>
        <v>1.653</v>
      </c>
      <c r="T68" s="7">
        <f>ROUND(29.54/E68,3)</f>
        <v>0.41</v>
      </c>
      <c r="U68" s="7">
        <f>ROUND(84/E68,3)</f>
        <v>1.167</v>
      </c>
      <c r="V68" s="7">
        <f>ROUND(18/E68,3)</f>
        <v>0.25</v>
      </c>
      <c r="W68" s="7">
        <f>ROUND(25.16/E68,3)</f>
        <v>0.34899999999999998</v>
      </c>
      <c r="X68" s="7">
        <v>0.54</v>
      </c>
      <c r="Y68" s="7">
        <v>0.54</v>
      </c>
      <c r="Z68" s="7">
        <v>0.56000000000000005</v>
      </c>
      <c r="AA68" s="7">
        <f>ROUND(64.74/E68,3)</f>
        <v>0.89900000000000002</v>
      </c>
      <c r="AB68" s="7">
        <f>ROUND(32/E68,3)</f>
        <v>0.44400000000000001</v>
      </c>
      <c r="AC68" s="7">
        <v>8476880</v>
      </c>
    </row>
    <row r="69" spans="1:29" ht="15" customHeight="1" x14ac:dyDescent="0.2">
      <c r="A69" s="7" t="s">
        <v>272</v>
      </c>
      <c r="B69" s="7" t="s">
        <v>60</v>
      </c>
      <c r="C69" s="7" t="s">
        <v>76</v>
      </c>
      <c r="D69" s="7">
        <v>19</v>
      </c>
      <c r="E69" s="7">
        <v>82</v>
      </c>
      <c r="F69" s="7">
        <f>ROUND(19/E69,3)</f>
        <v>0.23200000000000001</v>
      </c>
      <c r="G69" s="7">
        <f>ROUND(43/E69,3)</f>
        <v>0.52400000000000002</v>
      </c>
      <c r="H69" s="7">
        <f>ROUND(127/E69,3)</f>
        <v>1.5489999999999999</v>
      </c>
      <c r="I69" s="7">
        <f>ROUND(28/E69,3)</f>
        <v>0.34100000000000003</v>
      </c>
      <c r="J69" s="7">
        <f>ROUND(26/E69,3)</f>
        <v>0.317</v>
      </c>
      <c r="K69" s="7">
        <f t="shared" si="2"/>
        <v>7.0364999999999993</v>
      </c>
      <c r="L69" s="7">
        <f>ROUND(1270.8333333333/E69,3)</f>
        <v>15.497999999999999</v>
      </c>
      <c r="M69" s="7">
        <f>ROUND(34/E69,3)</f>
        <v>0.41499999999999998</v>
      </c>
      <c r="N69" s="7" t="s">
        <v>1352</v>
      </c>
      <c r="O69" s="7" t="s">
        <v>1353</v>
      </c>
      <c r="P69" s="7">
        <f>ROUND(282/E69,3)</f>
        <v>3.4390000000000001</v>
      </c>
      <c r="Q69" s="7">
        <f>ROUND(207/E69,3)</f>
        <v>2.524</v>
      </c>
      <c r="R69" s="7">
        <f>ROUND(139/E69,3)</f>
        <v>1.6950000000000001</v>
      </c>
      <c r="S69" s="7">
        <f>ROUND(46/E69,3)</f>
        <v>0.56100000000000005</v>
      </c>
      <c r="T69" s="7">
        <f>ROUND(15.29/E69,3)</f>
        <v>0.186</v>
      </c>
      <c r="U69" s="7">
        <f>ROUND(72/E69,3)</f>
        <v>0.878</v>
      </c>
      <c r="V69" s="7">
        <f>ROUND(22/E69,3)</f>
        <v>0.26800000000000002</v>
      </c>
      <c r="W69" s="7">
        <f>ROUND(17.32/E69,3)</f>
        <v>0.21099999999999999</v>
      </c>
      <c r="X69" s="7">
        <v>0.59</v>
      </c>
      <c r="Y69" s="7">
        <v>0.55000000000000004</v>
      </c>
      <c r="Z69" s="7">
        <v>0.56999999999999995</v>
      </c>
      <c r="AA69" s="7">
        <f>ROUND(45.23/E69,3)</f>
        <v>0.55200000000000005</v>
      </c>
      <c r="AB69" s="7">
        <f>ROUND(17/E69,3)</f>
        <v>0.20699999999999999</v>
      </c>
      <c r="AC69" s="7">
        <v>8484984</v>
      </c>
    </row>
    <row r="70" spans="1:29" ht="15" customHeight="1" x14ac:dyDescent="0.2">
      <c r="A70" s="7" t="s">
        <v>273</v>
      </c>
      <c r="B70" s="7" t="s">
        <v>55</v>
      </c>
      <c r="C70" s="7" t="s">
        <v>274</v>
      </c>
      <c r="D70" s="7">
        <v>29</v>
      </c>
      <c r="E70" s="7">
        <v>64</v>
      </c>
      <c r="F70" s="7">
        <f>ROUND(29/E70,3)</f>
        <v>0.45300000000000001</v>
      </c>
      <c r="G70" s="7">
        <f>ROUND(32/E70,3)</f>
        <v>0.5</v>
      </c>
      <c r="H70" s="7">
        <f>ROUND(166/E70,3)</f>
        <v>2.5939999999999999</v>
      </c>
      <c r="I70" s="7">
        <f>ROUND(59/E70,3)</f>
        <v>0.92200000000000004</v>
      </c>
      <c r="J70" s="7">
        <f>ROUND(40/E70,3)</f>
        <v>0.625</v>
      </c>
      <c r="K70" s="7">
        <f t="shared" si="2"/>
        <v>10.304</v>
      </c>
      <c r="L70" s="7">
        <f>ROUND(1362.3333333333/E70,3)</f>
        <v>21.286000000000001</v>
      </c>
      <c r="M70" s="7">
        <f>ROUND(10/E70,3)</f>
        <v>0.156</v>
      </c>
      <c r="N70" s="7" t="s">
        <v>889</v>
      </c>
      <c r="O70" s="7" t="s">
        <v>1354</v>
      </c>
      <c r="P70" s="7">
        <f>ROUND(368/E70,3)</f>
        <v>5.75</v>
      </c>
      <c r="Q70" s="7">
        <f>ROUND(277/E70,3)</f>
        <v>4.3280000000000003</v>
      </c>
      <c r="R70" s="7">
        <f>ROUND(246/E70,3)</f>
        <v>3.8439999999999999</v>
      </c>
      <c r="S70" s="7">
        <f>ROUND(121/E70,3)</f>
        <v>1.891</v>
      </c>
      <c r="T70" s="7">
        <f>ROUND(32.28/E70,3)</f>
        <v>0.504</v>
      </c>
      <c r="U70" s="7">
        <f>ROUND(52/E70,3)</f>
        <v>0.81299999999999994</v>
      </c>
      <c r="V70" s="7">
        <f>ROUND(15/E70,3)</f>
        <v>0.23400000000000001</v>
      </c>
      <c r="W70" s="7">
        <f>ROUND(28.65/E70,3)</f>
        <v>0.44800000000000001</v>
      </c>
      <c r="X70" s="7">
        <v>0.55000000000000004</v>
      </c>
      <c r="Y70" s="7">
        <v>0.57999999999999996</v>
      </c>
      <c r="Z70" s="7">
        <v>0.57999999999999996</v>
      </c>
      <c r="AA70" s="7">
        <f>ROUND(57.05/E70,3)</f>
        <v>0.89100000000000001</v>
      </c>
      <c r="AB70" s="7">
        <f>ROUND(38/E70,3)</f>
        <v>0.59399999999999997</v>
      </c>
      <c r="AC70" s="7">
        <v>8477933</v>
      </c>
    </row>
    <row r="71" spans="1:29" ht="15" customHeight="1" x14ac:dyDescent="0.2">
      <c r="A71" s="7" t="s">
        <v>277</v>
      </c>
      <c r="B71" s="7" t="s">
        <v>92</v>
      </c>
      <c r="C71" s="7" t="s">
        <v>102</v>
      </c>
      <c r="D71" s="7">
        <v>29</v>
      </c>
      <c r="E71" s="7">
        <v>82</v>
      </c>
      <c r="F71" s="7">
        <f>ROUND(23/E71,3)</f>
        <v>0.28000000000000003</v>
      </c>
      <c r="G71" s="7">
        <f>ROUND(38/E71,3)</f>
        <v>0.46300000000000002</v>
      </c>
      <c r="H71" s="7">
        <f>ROUND(133/E71,3)</f>
        <v>1.6220000000000001</v>
      </c>
      <c r="I71" s="7">
        <f>ROUND(137/E71,3)</f>
        <v>1.671</v>
      </c>
      <c r="J71" s="7">
        <f>ROUND(37/E71,3)</f>
        <v>0.45100000000000001</v>
      </c>
      <c r="K71" s="7">
        <f t="shared" si="2"/>
        <v>7.9264999999999999</v>
      </c>
      <c r="L71" s="7">
        <f>ROUND(1331.8333333333/E71,3)</f>
        <v>16.242000000000001</v>
      </c>
      <c r="M71" s="7">
        <f>ROUND(14/E71,3)</f>
        <v>0.17100000000000001</v>
      </c>
      <c r="N71" s="7" t="s">
        <v>889</v>
      </c>
      <c r="O71" s="7" t="s">
        <v>1355</v>
      </c>
      <c r="P71" s="7">
        <f>ROUND(243/E71,3)</f>
        <v>2.9630000000000001</v>
      </c>
      <c r="Q71" s="7">
        <f>ROUND(202/E71,3)</f>
        <v>2.4630000000000001</v>
      </c>
      <c r="R71" s="7">
        <f>ROUND(169/E71,3)</f>
        <v>2.0609999999999999</v>
      </c>
      <c r="S71" s="7">
        <f>ROUND(91/E71,3)</f>
        <v>1.1100000000000001</v>
      </c>
      <c r="T71" s="7">
        <f>ROUND(18.52/E71,3)</f>
        <v>0.22600000000000001</v>
      </c>
      <c r="U71" s="7">
        <f>ROUND(90/E71,3)</f>
        <v>1.0980000000000001</v>
      </c>
      <c r="V71" s="7">
        <f>ROUND(15/E71,3)</f>
        <v>0.183</v>
      </c>
      <c r="W71" s="7">
        <f>ROUND(19.14/E71,3)</f>
        <v>0.23300000000000001</v>
      </c>
      <c r="X71" s="7">
        <v>0.56000000000000005</v>
      </c>
      <c r="Y71" s="7">
        <v>0.53</v>
      </c>
      <c r="Z71" s="7">
        <v>0.54</v>
      </c>
      <c r="AA71" s="7">
        <f>ROUND(62.55/E71,3)</f>
        <v>0.76300000000000001</v>
      </c>
      <c r="AB71" s="7">
        <f>ROUND(20/E71,3)</f>
        <v>0.24399999999999999</v>
      </c>
      <c r="AC71" s="7">
        <v>8477964</v>
      </c>
    </row>
    <row r="72" spans="1:29" ht="15" customHeight="1" x14ac:dyDescent="0.2">
      <c r="A72" s="7" t="s">
        <v>279</v>
      </c>
      <c r="B72" s="7" t="s">
        <v>55</v>
      </c>
      <c r="C72" s="7" t="s">
        <v>114</v>
      </c>
      <c r="D72" s="7">
        <v>39</v>
      </c>
      <c r="E72" s="7">
        <v>56</v>
      </c>
      <c r="F72" s="7">
        <f>ROUND(19/E72,3)</f>
        <v>0.33900000000000002</v>
      </c>
      <c r="G72" s="7">
        <f>ROUND(42/E72,3)</f>
        <v>0.75</v>
      </c>
      <c r="H72" s="7">
        <f>ROUND(147/E72,3)</f>
        <v>2.625</v>
      </c>
      <c r="I72" s="7">
        <f>ROUND(24/E72,3)</f>
        <v>0.42899999999999999</v>
      </c>
      <c r="J72" s="7">
        <f>ROUND(17/E72,3)</f>
        <v>0.30399999999999999</v>
      </c>
      <c r="K72" s="7">
        <f t="shared" si="2"/>
        <v>10.355499999999999</v>
      </c>
      <c r="L72" s="7">
        <f>ROUND(985.25/E72,3)</f>
        <v>17.594000000000001</v>
      </c>
      <c r="M72" s="7">
        <f>ROUND(61/E72,3)</f>
        <v>1.089</v>
      </c>
      <c r="N72" s="7" t="s">
        <v>1356</v>
      </c>
      <c r="O72" s="7" t="s">
        <v>1357</v>
      </c>
      <c r="P72" s="7">
        <f>ROUND(239/E72,3)</f>
        <v>4.2679999999999998</v>
      </c>
      <c r="Q72" s="7">
        <f>ROUND(198/E72,3)</f>
        <v>3.536</v>
      </c>
      <c r="R72" s="7">
        <f>ROUND(153/E72,3)</f>
        <v>2.7320000000000002</v>
      </c>
      <c r="S72" s="7">
        <f>ROUND(71/E72,3)</f>
        <v>1.268</v>
      </c>
      <c r="T72" s="7">
        <f>ROUND(19.33/E72,3)</f>
        <v>0.34499999999999997</v>
      </c>
      <c r="U72" s="7">
        <f>ROUND(88/E72,3)</f>
        <v>1.571</v>
      </c>
      <c r="V72" s="7">
        <f>ROUND(29/E72,3)</f>
        <v>0.51800000000000002</v>
      </c>
      <c r="W72" s="7">
        <f>ROUND(18.63/E72,3)</f>
        <v>0.33300000000000002</v>
      </c>
      <c r="X72" s="7">
        <v>0.61</v>
      </c>
      <c r="Y72" s="7">
        <v>0.56999999999999995</v>
      </c>
      <c r="Z72" s="7">
        <v>0.57999999999999996</v>
      </c>
      <c r="AA72" s="7">
        <f>ROUND(51.58/E72,3)</f>
        <v>0.92100000000000004</v>
      </c>
      <c r="AB72" s="7">
        <f>ROUND(21/E72,3)</f>
        <v>0.375</v>
      </c>
      <c r="AC72" s="7">
        <v>8471215</v>
      </c>
    </row>
    <row r="73" spans="1:29" ht="15" customHeight="1" x14ac:dyDescent="0.2">
      <c r="A73" s="7" t="s">
        <v>282</v>
      </c>
      <c r="B73" s="7" t="s">
        <v>60</v>
      </c>
      <c r="C73" s="7" t="s">
        <v>230</v>
      </c>
      <c r="D73" s="7">
        <v>19</v>
      </c>
      <c r="E73" s="7">
        <v>82</v>
      </c>
      <c r="F73" s="7">
        <f>ROUND(23/E73,3)</f>
        <v>0.28000000000000003</v>
      </c>
      <c r="G73" s="7">
        <f>ROUND(37/E73,3)</f>
        <v>0.45100000000000001</v>
      </c>
      <c r="H73" s="7">
        <f>ROUND(197/E73,3)</f>
        <v>2.4020000000000001</v>
      </c>
      <c r="I73" s="7">
        <f>ROUND(97/E73,3)</f>
        <v>1.1830000000000001</v>
      </c>
      <c r="J73" s="7">
        <f>ROUND(24/E73,3)</f>
        <v>0.29299999999999998</v>
      </c>
      <c r="K73" s="7">
        <f t="shared" si="2"/>
        <v>8.2324999999999999</v>
      </c>
      <c r="L73" s="7">
        <f>ROUND(1430.5/E73,3)</f>
        <v>17.445</v>
      </c>
      <c r="M73" s="7">
        <f>ROUND(62/E73,3)</f>
        <v>0.75600000000000001</v>
      </c>
      <c r="N73" s="7" t="s">
        <v>240</v>
      </c>
      <c r="O73" s="7" t="s">
        <v>1358</v>
      </c>
      <c r="P73" s="7">
        <f>ROUND(388/E73,3)</f>
        <v>4.7320000000000002</v>
      </c>
      <c r="Q73" s="7">
        <f>ROUND(310/E73,3)</f>
        <v>3.78</v>
      </c>
      <c r="R73" s="7">
        <f>ROUND(233/E73,3)</f>
        <v>2.8410000000000002</v>
      </c>
      <c r="S73" s="7">
        <f>ROUND(129/E73,3)</f>
        <v>1.573</v>
      </c>
      <c r="T73" s="7">
        <f>ROUND(29.25/E73,3)</f>
        <v>0.35699999999999998</v>
      </c>
      <c r="U73" s="7">
        <f>ROUND(96/E73,3)</f>
        <v>1.171</v>
      </c>
      <c r="V73" s="7">
        <f>ROUND(26/E73,3)</f>
        <v>0.317</v>
      </c>
      <c r="W73" s="7">
        <f>ROUND(28.96/E73,3)</f>
        <v>0.35299999999999998</v>
      </c>
      <c r="X73" s="7">
        <v>0.55000000000000004</v>
      </c>
      <c r="Y73" s="7">
        <v>0.56000000000000005</v>
      </c>
      <c r="Z73" s="7">
        <v>0.56000000000000005</v>
      </c>
      <c r="AA73" s="7">
        <f>ROUND(61.91/E73,3)</f>
        <v>0.755</v>
      </c>
      <c r="AB73" s="7">
        <f>ROUND(35/E73,3)</f>
        <v>0.42699999999999999</v>
      </c>
      <c r="AC73" s="7">
        <v>8484762</v>
      </c>
    </row>
    <row r="74" spans="1:29" ht="15" customHeight="1" x14ac:dyDescent="0.2">
      <c r="A74" s="7" t="s">
        <v>283</v>
      </c>
      <c r="B74" s="7" t="s">
        <v>55</v>
      </c>
      <c r="C74" s="7" t="s">
        <v>135</v>
      </c>
      <c r="D74" s="7">
        <v>24</v>
      </c>
      <c r="E74" s="7">
        <v>82</v>
      </c>
      <c r="F74" s="7">
        <f>ROUND(28/E74,3)</f>
        <v>0.34100000000000003</v>
      </c>
      <c r="G74" s="7">
        <f>ROUND(31/E74,3)</f>
        <v>0.378</v>
      </c>
      <c r="H74" s="7">
        <f>ROUND(205/E74,3)</f>
        <v>2.5</v>
      </c>
      <c r="I74" s="7">
        <f>ROUND(215/E74,3)</f>
        <v>2.6219999999999999</v>
      </c>
      <c r="J74" s="7">
        <f>ROUND(24/E74,3)</f>
        <v>0.29299999999999998</v>
      </c>
      <c r="K74" s="7">
        <f t="shared" si="2"/>
        <v>9.1000000000000014</v>
      </c>
      <c r="L74" s="7">
        <f>ROUND(1397.25/E74,3)</f>
        <v>17.04</v>
      </c>
      <c r="M74" s="7">
        <f>ROUND(59/E74,3)</f>
        <v>0.72</v>
      </c>
      <c r="N74" s="7" t="s">
        <v>1359</v>
      </c>
      <c r="O74" s="7" t="s">
        <v>635</v>
      </c>
      <c r="P74" s="7">
        <f>ROUND(381/E74,3)</f>
        <v>4.6459999999999999</v>
      </c>
      <c r="Q74" s="7">
        <f>ROUND(294/E74,3)</f>
        <v>3.585</v>
      </c>
      <c r="R74" s="7">
        <f>ROUND(264/E74,3)</f>
        <v>3.22</v>
      </c>
      <c r="S74" s="7">
        <f>ROUND(123/E74,3)</f>
        <v>1.5</v>
      </c>
      <c r="T74" s="7">
        <f>ROUND(28.6/E74,3)</f>
        <v>0.34899999999999998</v>
      </c>
      <c r="U74" s="7">
        <f>ROUND(53/E74,3)</f>
        <v>0.64600000000000002</v>
      </c>
      <c r="V74" s="7">
        <f>ROUND(19/E74,3)</f>
        <v>0.23200000000000001</v>
      </c>
      <c r="W74" s="7">
        <f>ROUND(30.05/E74,3)</f>
        <v>0.36599999999999999</v>
      </c>
      <c r="X74" s="7">
        <v>0.65</v>
      </c>
      <c r="Y74" s="7">
        <v>0.63</v>
      </c>
      <c r="Z74" s="7">
        <v>0.64</v>
      </c>
      <c r="AA74" s="7">
        <f>ROUND(70.6/E74,3)</f>
        <v>0.86099999999999999</v>
      </c>
      <c r="AB74" s="7">
        <f>ROUND(41/E74,3)</f>
        <v>0.5</v>
      </c>
      <c r="AC74" s="7">
        <v>8481528</v>
      </c>
    </row>
    <row r="75" spans="1:29" ht="15" customHeight="1" x14ac:dyDescent="0.2">
      <c r="A75" s="7" t="s">
        <v>286</v>
      </c>
      <c r="B75" s="7" t="s">
        <v>55</v>
      </c>
      <c r="C75" s="7" t="s">
        <v>380</v>
      </c>
      <c r="D75" s="7">
        <v>20</v>
      </c>
      <c r="E75" s="7">
        <v>82</v>
      </c>
      <c r="F75" s="7">
        <f>ROUND(24/E75,3)</f>
        <v>0.29299999999999998</v>
      </c>
      <c r="G75" s="7">
        <f>ROUND(35/E75,3)</f>
        <v>0.42699999999999999</v>
      </c>
      <c r="H75" s="7">
        <f>ROUND(214/E75,3)</f>
        <v>2.61</v>
      </c>
      <c r="I75" s="7">
        <f>ROUND(139/E75,3)</f>
        <v>1.6950000000000001</v>
      </c>
      <c r="J75" s="7">
        <f>ROUND(51/E75,3)</f>
        <v>0.622</v>
      </c>
      <c r="K75" s="7">
        <f t="shared" si="2"/>
        <v>8.9855</v>
      </c>
      <c r="L75" s="7">
        <f>ROUND(1550/E75,3)</f>
        <v>18.902000000000001</v>
      </c>
      <c r="M75" s="7">
        <f>ROUND(38/E75,3)</f>
        <v>0.46300000000000002</v>
      </c>
      <c r="N75" s="7" t="s">
        <v>1360</v>
      </c>
      <c r="O75" s="7" t="s">
        <v>1361</v>
      </c>
      <c r="P75" s="7">
        <f>ROUND(440/E75,3)</f>
        <v>5.3659999999999997</v>
      </c>
      <c r="Q75" s="7">
        <f>ROUND(317/E75,3)</f>
        <v>3.8660000000000001</v>
      </c>
      <c r="R75" s="7">
        <f>ROUND(241/E75,3)</f>
        <v>2.9390000000000001</v>
      </c>
      <c r="S75" s="7">
        <f>ROUND(92/E75,3)</f>
        <v>1.1220000000000001</v>
      </c>
      <c r="T75" s="7">
        <f>ROUND(27.68/E75,3)</f>
        <v>0.33800000000000002</v>
      </c>
      <c r="U75" s="7">
        <f>ROUND(94/E75,3)</f>
        <v>1.1459999999999999</v>
      </c>
      <c r="V75" s="7">
        <f>ROUND(25/E75,3)</f>
        <v>0.30499999999999999</v>
      </c>
      <c r="W75" s="7">
        <f>ROUND(27.54/E75,3)</f>
        <v>0.33600000000000002</v>
      </c>
      <c r="X75" s="7">
        <v>0.57999999999999996</v>
      </c>
      <c r="Y75" s="7">
        <v>0.56999999999999995</v>
      </c>
      <c r="Z75" s="7">
        <v>0.56999999999999995</v>
      </c>
      <c r="AA75" s="7">
        <f>ROUND(62.81/E75,3)</f>
        <v>0.76600000000000001</v>
      </c>
      <c r="AB75" s="7">
        <f>ROUND(31/E75,3)</f>
        <v>0.378</v>
      </c>
      <c r="AC75" s="7">
        <v>8484166</v>
      </c>
    </row>
    <row r="76" spans="1:29" ht="15" customHeight="1" x14ac:dyDescent="0.2">
      <c r="A76" s="7" t="s">
        <v>287</v>
      </c>
      <c r="B76" s="7" t="s">
        <v>55</v>
      </c>
      <c r="C76" s="7" t="s">
        <v>297</v>
      </c>
      <c r="D76" s="7">
        <v>20</v>
      </c>
      <c r="E76" s="7">
        <v>69</v>
      </c>
      <c r="F76" s="7">
        <f>ROUND(24/E76,3)</f>
        <v>0.34799999999999998</v>
      </c>
      <c r="G76" s="7">
        <f>ROUND(35/E76,3)</f>
        <v>0.50700000000000001</v>
      </c>
      <c r="H76" s="7">
        <f>ROUND(166/E76,3)</f>
        <v>2.4060000000000001</v>
      </c>
      <c r="I76" s="7">
        <f>ROUND(16/E76,3)</f>
        <v>0.23200000000000001</v>
      </c>
      <c r="J76" s="7">
        <f>ROUND(12/E76,3)</f>
        <v>0.17399999999999999</v>
      </c>
      <c r="K76" s="7">
        <f t="shared" si="2"/>
        <v>8.5219999999999985</v>
      </c>
      <c r="L76" s="7">
        <f>ROUND(1254.6333333333/E76,3)</f>
        <v>18.183</v>
      </c>
      <c r="M76" s="7">
        <f>ROUND(16/E76,3)</f>
        <v>0.23200000000000001</v>
      </c>
      <c r="N76" s="7" t="s">
        <v>669</v>
      </c>
      <c r="O76" s="7" t="s">
        <v>1362</v>
      </c>
      <c r="P76" s="7">
        <f>ROUND(320/E76,3)</f>
        <v>4.6379999999999999</v>
      </c>
      <c r="Q76" s="7">
        <f>ROUND(240/E76,3)</f>
        <v>3.4780000000000002</v>
      </c>
      <c r="R76" s="7">
        <f>ROUND(190/E76,3)</f>
        <v>2.754</v>
      </c>
      <c r="S76" s="7">
        <f>ROUND(57/E76,3)</f>
        <v>0.82599999999999996</v>
      </c>
      <c r="T76" s="7">
        <f>ROUND(18.32/E76,3)</f>
        <v>0.26600000000000001</v>
      </c>
      <c r="U76" s="7">
        <f>ROUND(83/E76,3)</f>
        <v>1.2030000000000001</v>
      </c>
      <c r="V76" s="7">
        <f>ROUND(14/E76,3)</f>
        <v>0.20300000000000001</v>
      </c>
      <c r="W76" s="7">
        <f>ROUND(20.11/E76,3)</f>
        <v>0.29099999999999998</v>
      </c>
      <c r="X76" s="7">
        <v>0.56999999999999995</v>
      </c>
      <c r="Y76" s="7">
        <v>0.56000000000000005</v>
      </c>
      <c r="Z76" s="7">
        <v>0.56000000000000005</v>
      </c>
      <c r="AA76" s="7">
        <f>ROUND(52.97/E76,3)</f>
        <v>0.76800000000000002</v>
      </c>
      <c r="AB76" s="7">
        <f>ROUND(24/E76,3)</f>
        <v>0.34799999999999998</v>
      </c>
      <c r="AC76" s="7">
        <v>8484227</v>
      </c>
    </row>
    <row r="77" spans="1:29" ht="15" customHeight="1" x14ac:dyDescent="0.2">
      <c r="A77" s="7" t="s">
        <v>288</v>
      </c>
      <c r="B77" s="7" t="s">
        <v>92</v>
      </c>
      <c r="C77" s="7" t="s">
        <v>135</v>
      </c>
      <c r="D77" s="7">
        <v>26</v>
      </c>
      <c r="E77" s="7">
        <v>60</v>
      </c>
      <c r="F77" s="7">
        <f>ROUND(22/E77,3)</f>
        <v>0.36699999999999999</v>
      </c>
      <c r="G77" s="7">
        <f>ROUND(37/E77,3)</f>
        <v>0.61699999999999999</v>
      </c>
      <c r="H77" s="7">
        <f>ROUND(221/E77,3)</f>
        <v>3.6829999999999998</v>
      </c>
      <c r="I77" s="7">
        <f>ROUND(162/E77,3)</f>
        <v>2.7</v>
      </c>
      <c r="J77" s="7">
        <f>ROUND(19/E77,3)</f>
        <v>0.317</v>
      </c>
      <c r="K77" s="7">
        <f t="shared" si="2"/>
        <v>11.988</v>
      </c>
      <c r="L77" s="7">
        <f>ROUND(1017.6166666667/E77,3)</f>
        <v>16.96</v>
      </c>
      <c r="M77" s="7">
        <f>ROUND(71/E77,3)</f>
        <v>1.1830000000000001</v>
      </c>
      <c r="N77" s="7" t="s">
        <v>1363</v>
      </c>
      <c r="O77" s="7" t="s">
        <v>1364</v>
      </c>
      <c r="P77" s="7">
        <f>ROUND(370/E77,3)</f>
        <v>6.1669999999999998</v>
      </c>
      <c r="Q77" s="7">
        <f>ROUND(306/E77,3)</f>
        <v>5.0999999999999996</v>
      </c>
      <c r="R77" s="7">
        <f>ROUND(230/E77,3)</f>
        <v>3.8330000000000002</v>
      </c>
      <c r="S77" s="7">
        <f>ROUND(115/E77,3)</f>
        <v>1.917</v>
      </c>
      <c r="T77" s="7">
        <f>ROUND(31.03/E77,3)</f>
        <v>0.51700000000000002</v>
      </c>
      <c r="U77" s="7">
        <f>ROUND(40/E77,3)</f>
        <v>0.66700000000000004</v>
      </c>
      <c r="V77" s="7">
        <f>ROUND(14/E77,3)</f>
        <v>0.23300000000000001</v>
      </c>
      <c r="W77" s="7">
        <f>ROUND(29.83/E77,3)</f>
        <v>0.497</v>
      </c>
      <c r="X77" s="7">
        <v>0.67</v>
      </c>
      <c r="Y77" s="7">
        <v>0.65</v>
      </c>
      <c r="Z77" s="7">
        <v>0.66</v>
      </c>
      <c r="AA77" s="7">
        <f>ROUND(72.24/E77,3)</f>
        <v>1.204</v>
      </c>
      <c r="AB77" s="7">
        <f>ROUND(37/E77,3)</f>
        <v>0.61699999999999999</v>
      </c>
      <c r="AC77" s="7">
        <v>8480801</v>
      </c>
    </row>
    <row r="78" spans="1:29" ht="15" customHeight="1" x14ac:dyDescent="0.2">
      <c r="A78" s="7" t="s">
        <v>291</v>
      </c>
      <c r="B78" s="7" t="s">
        <v>92</v>
      </c>
      <c r="C78" s="7" t="s">
        <v>127</v>
      </c>
      <c r="D78" s="7">
        <v>30</v>
      </c>
      <c r="E78" s="7">
        <v>79</v>
      </c>
      <c r="F78" s="7">
        <f>ROUND(32/E78,3)</f>
        <v>0.40500000000000003</v>
      </c>
      <c r="G78" s="7">
        <f>ROUND(26/E78,3)</f>
        <v>0.32900000000000001</v>
      </c>
      <c r="H78" s="7">
        <f>ROUND(164/E78,3)</f>
        <v>2.0760000000000001</v>
      </c>
      <c r="I78" s="7">
        <f>ROUND(55/E78,3)</f>
        <v>0.69599999999999995</v>
      </c>
      <c r="J78" s="7">
        <f>ROUND(24/E78,3)</f>
        <v>0.30399999999999999</v>
      </c>
      <c r="K78" s="7">
        <f t="shared" si="2"/>
        <v>7.9420000000000011</v>
      </c>
      <c r="L78" s="7">
        <f>ROUND(1457.35/E78,3)</f>
        <v>18.446999999999999</v>
      </c>
      <c r="M78" s="7">
        <f>ROUND(42/E78,3)</f>
        <v>0.53200000000000003</v>
      </c>
      <c r="N78" s="7" t="s">
        <v>1171</v>
      </c>
      <c r="O78" s="7" t="s">
        <v>1365</v>
      </c>
      <c r="P78" s="7">
        <f>ROUND(296/E78,3)</f>
        <v>3.7469999999999999</v>
      </c>
      <c r="Q78" s="7">
        <f>ROUND(250/E78,3)</f>
        <v>3.165</v>
      </c>
      <c r="R78" s="7">
        <f>ROUND(224/E78,3)</f>
        <v>2.835</v>
      </c>
      <c r="S78" s="7">
        <f>ROUND(141/E78,3)</f>
        <v>1.7849999999999999</v>
      </c>
      <c r="T78" s="7">
        <f>ROUND(29.27/E78,3)</f>
        <v>0.371</v>
      </c>
      <c r="U78" s="7">
        <f>ROUND(76/E78,3)</f>
        <v>0.96199999999999997</v>
      </c>
      <c r="V78" s="7">
        <f>ROUND(21/E78,3)</f>
        <v>0.26600000000000001</v>
      </c>
      <c r="W78" s="7">
        <f>ROUND(30.34/E78,3)</f>
        <v>0.38400000000000001</v>
      </c>
      <c r="X78" s="7">
        <v>0.55000000000000004</v>
      </c>
      <c r="Y78" s="7">
        <v>0.55000000000000004</v>
      </c>
      <c r="Z78" s="7">
        <v>0.54</v>
      </c>
      <c r="AA78" s="7">
        <f>ROUND(49.06/E78,3)</f>
        <v>0.621</v>
      </c>
      <c r="AB78" s="7">
        <f>ROUND(50/E78,3)</f>
        <v>0.63300000000000001</v>
      </c>
      <c r="AC78" s="7">
        <v>8477479</v>
      </c>
    </row>
    <row r="79" spans="1:29" ht="15" customHeight="1" x14ac:dyDescent="0.2">
      <c r="A79" s="7" t="s">
        <v>293</v>
      </c>
      <c r="B79" s="7" t="s">
        <v>55</v>
      </c>
      <c r="C79" s="7" t="s">
        <v>274</v>
      </c>
      <c r="D79" s="7">
        <v>29</v>
      </c>
      <c r="E79" s="7">
        <v>76</v>
      </c>
      <c r="F79" s="7">
        <f>ROUND(26/E79,3)</f>
        <v>0.34200000000000003</v>
      </c>
      <c r="G79" s="7">
        <f>ROUND(32/E79,3)</f>
        <v>0.42099999999999999</v>
      </c>
      <c r="H79" s="7">
        <f>ROUND(202/E79,3)</f>
        <v>2.6579999999999999</v>
      </c>
      <c r="I79" s="7">
        <f>ROUND(115/E79,3)</f>
        <v>1.5129999999999999</v>
      </c>
      <c r="J79" s="7">
        <f>ROUND(32/E79,3)</f>
        <v>0.42099999999999999</v>
      </c>
      <c r="K79" s="7">
        <f t="shared" si="2"/>
        <v>9.0975000000000001</v>
      </c>
      <c r="L79" s="7">
        <f>ROUND(1405.4333333333/E79,3)</f>
        <v>18.492999999999999</v>
      </c>
      <c r="M79" s="7">
        <f>ROUND(82/E79,3)</f>
        <v>1.079</v>
      </c>
      <c r="N79" s="7" t="s">
        <v>934</v>
      </c>
      <c r="O79" s="7" t="s">
        <v>1170</v>
      </c>
      <c r="P79" s="7">
        <f>ROUND(421/E79,3)</f>
        <v>5.5389999999999997</v>
      </c>
      <c r="Q79" s="7">
        <f>ROUND(311/E79,3)</f>
        <v>4.0919999999999996</v>
      </c>
      <c r="R79" s="7">
        <f>ROUND(259/E79,3)</f>
        <v>3.4079999999999999</v>
      </c>
      <c r="S79" s="7">
        <f>ROUND(118/E79,3)</f>
        <v>1.5529999999999999</v>
      </c>
      <c r="T79" s="7">
        <f>ROUND(28.65/E79,3)</f>
        <v>0.377</v>
      </c>
      <c r="U79" s="7">
        <f>ROUND(73/E79,3)</f>
        <v>0.96099999999999997</v>
      </c>
      <c r="V79" s="7">
        <f>ROUND(25/E79,3)</f>
        <v>0.32900000000000001</v>
      </c>
      <c r="W79" s="7">
        <f>ROUND(30.07/E79,3)</f>
        <v>0.39600000000000002</v>
      </c>
      <c r="X79" s="7">
        <v>0.56999999999999995</v>
      </c>
      <c r="Y79" s="7">
        <v>0.6</v>
      </c>
      <c r="Z79" s="7">
        <v>0.57999999999999996</v>
      </c>
      <c r="AA79" s="7">
        <f>ROUND(60.97/E79,3)</f>
        <v>0.80200000000000005</v>
      </c>
      <c r="AB79" s="7">
        <f>ROUND(40/E79,3)</f>
        <v>0.52600000000000002</v>
      </c>
      <c r="AC79" s="7">
        <v>8477935</v>
      </c>
    </row>
    <row r="80" spans="1:29" ht="15" customHeight="1" x14ac:dyDescent="0.2">
      <c r="A80" s="7" t="s">
        <v>296</v>
      </c>
      <c r="B80" s="7" t="s">
        <v>55</v>
      </c>
      <c r="C80" s="7" t="s">
        <v>102</v>
      </c>
      <c r="D80" s="7">
        <v>31</v>
      </c>
      <c r="E80" s="7">
        <v>82</v>
      </c>
      <c r="F80" s="7">
        <f>ROUND(24/E80,3)</f>
        <v>0.29299999999999998</v>
      </c>
      <c r="G80" s="7">
        <f>ROUND(34/E80,3)</f>
        <v>0.41499999999999998</v>
      </c>
      <c r="H80" s="7">
        <f>ROUND(202/E80,3)</f>
        <v>2.4630000000000001</v>
      </c>
      <c r="I80" s="7">
        <f>ROUND(114/E80,3)</f>
        <v>1.39</v>
      </c>
      <c r="J80" s="7">
        <f>ROUND(45/E80,3)</f>
        <v>0.54900000000000004</v>
      </c>
      <c r="K80" s="7">
        <f t="shared" si="2"/>
        <v>8.5410000000000004</v>
      </c>
      <c r="L80" s="7">
        <f>ROUND(1396.7833333333/E80,3)</f>
        <v>17.033999999999999</v>
      </c>
      <c r="M80" s="7">
        <f>ROUND(39/E80,3)</f>
        <v>0.47599999999999998</v>
      </c>
      <c r="N80" s="7" t="s">
        <v>1108</v>
      </c>
      <c r="O80" s="7" t="s">
        <v>1366</v>
      </c>
      <c r="P80" s="7">
        <f>ROUND(405/E80,3)</f>
        <v>4.9390000000000001</v>
      </c>
      <c r="Q80" s="7">
        <f>ROUND(321/E80,3)</f>
        <v>3.915</v>
      </c>
      <c r="R80" s="7">
        <f>ROUND(311/E80,3)</f>
        <v>3.7930000000000001</v>
      </c>
      <c r="S80" s="7">
        <f>ROUND(193/E80,3)</f>
        <v>2.3540000000000001</v>
      </c>
      <c r="T80" s="7">
        <f>ROUND(36.54/E80,3)</f>
        <v>0.44600000000000001</v>
      </c>
      <c r="U80" s="7">
        <f>ROUND(52/E80,3)</f>
        <v>0.63400000000000001</v>
      </c>
      <c r="V80" s="7">
        <f>ROUND(17/E80,3)</f>
        <v>0.20699999999999999</v>
      </c>
      <c r="W80" s="7">
        <f>ROUND(35.58/E80,3)</f>
        <v>0.434</v>
      </c>
      <c r="X80" s="7">
        <v>0.65</v>
      </c>
      <c r="Y80" s="7">
        <v>0.64</v>
      </c>
      <c r="Z80" s="7">
        <v>0.64</v>
      </c>
      <c r="AA80" s="7">
        <f>ROUND(69.85/E80,3)</f>
        <v>0.85199999999999998</v>
      </c>
      <c r="AB80" s="7">
        <f>ROUND(47/E80,3)</f>
        <v>0.57299999999999995</v>
      </c>
      <c r="AC80" s="7">
        <v>8476881</v>
      </c>
    </row>
    <row r="81" spans="1:29" ht="15" customHeight="1" x14ac:dyDescent="0.2">
      <c r="A81" s="7" t="s">
        <v>300</v>
      </c>
      <c r="B81" s="7" t="s">
        <v>55</v>
      </c>
      <c r="C81" s="7" t="s">
        <v>380</v>
      </c>
      <c r="D81" s="7">
        <v>33</v>
      </c>
      <c r="E81" s="7">
        <v>82</v>
      </c>
      <c r="F81" s="7">
        <f>ROUND(20/E81,3)</f>
        <v>0.24399999999999999</v>
      </c>
      <c r="G81" s="7">
        <f>ROUND(38/E81,3)</f>
        <v>0.46300000000000002</v>
      </c>
      <c r="H81" s="7">
        <f>ROUND(142/E81,3)</f>
        <v>1.732</v>
      </c>
      <c r="I81" s="7">
        <f>ROUND(111/E81,3)</f>
        <v>1.3540000000000001</v>
      </c>
      <c r="J81" s="7">
        <f>ROUND(53/E81,3)</f>
        <v>0.64600000000000002</v>
      </c>
      <c r="K81" s="7">
        <f t="shared" si="2"/>
        <v>7.7850000000000001</v>
      </c>
      <c r="L81" s="7">
        <f>ROUND(1484.15/E81,3)</f>
        <v>18.099</v>
      </c>
      <c r="M81" s="7">
        <f>ROUND(14/E81,3)</f>
        <v>0.17100000000000001</v>
      </c>
      <c r="N81" s="7" t="s">
        <v>1367</v>
      </c>
      <c r="O81" s="7" t="s">
        <v>1368</v>
      </c>
      <c r="P81" s="7">
        <f>ROUND(247/E81,3)</f>
        <v>3.012</v>
      </c>
      <c r="Q81" s="7">
        <f>ROUND(207/E81,3)</f>
        <v>2.524</v>
      </c>
      <c r="R81" s="7">
        <f>ROUND(165/E81,3)</f>
        <v>2.012</v>
      </c>
      <c r="S81" s="7">
        <f>ROUND(98/E81,3)</f>
        <v>1.1950000000000001</v>
      </c>
      <c r="T81" s="7">
        <f>ROUND(23.8/E81,3)</f>
        <v>0.28999999999999998</v>
      </c>
      <c r="U81" s="7">
        <f>ROUND(53/E81,3)</f>
        <v>0.64600000000000002</v>
      </c>
      <c r="V81" s="7">
        <f>ROUND(34/E81,3)</f>
        <v>0.41499999999999998</v>
      </c>
      <c r="W81" s="7">
        <f>ROUND(24.02/E81,3)</f>
        <v>0.29299999999999998</v>
      </c>
      <c r="X81" s="7">
        <v>0.48</v>
      </c>
      <c r="Y81" s="7">
        <v>0.49</v>
      </c>
      <c r="Z81" s="7">
        <v>0.49</v>
      </c>
      <c r="AA81" s="7">
        <f>ROUND(58.73/E81,3)</f>
        <v>0.71599999999999997</v>
      </c>
      <c r="AB81" s="7">
        <f>ROUND(40/E81,3)</f>
        <v>0.48799999999999999</v>
      </c>
      <c r="AC81" s="7">
        <v>8475745</v>
      </c>
    </row>
    <row r="82" spans="1:29" ht="15" customHeight="1" x14ac:dyDescent="0.2">
      <c r="A82" s="7" t="s">
        <v>303</v>
      </c>
      <c r="B82" s="7" t="s">
        <v>55</v>
      </c>
      <c r="C82" s="7" t="s">
        <v>259</v>
      </c>
      <c r="D82" s="7">
        <v>28</v>
      </c>
      <c r="E82" s="7">
        <v>80</v>
      </c>
      <c r="F82" s="7">
        <f>ROUND(19/E82,3)</f>
        <v>0.23799999999999999</v>
      </c>
      <c r="G82" s="7">
        <f>ROUND(39/E82,3)</f>
        <v>0.48799999999999999</v>
      </c>
      <c r="H82" s="7">
        <f>ROUND(143/E82,3)</f>
        <v>1.788</v>
      </c>
      <c r="I82" s="7">
        <f>ROUND(11/E82,3)</f>
        <v>0.13800000000000001</v>
      </c>
      <c r="J82" s="7">
        <f>ROUND(53/E82,3)</f>
        <v>0.66300000000000003</v>
      </c>
      <c r="K82" s="7">
        <f t="shared" si="2"/>
        <v>7.3520000000000003</v>
      </c>
      <c r="L82" s="7">
        <f>ROUND(1443.0166666667/E82,3)</f>
        <v>18.038</v>
      </c>
      <c r="M82" s="7">
        <f>ROUND(46/E82,3)</f>
        <v>0.57499999999999996</v>
      </c>
      <c r="N82" s="7" t="s">
        <v>1369</v>
      </c>
      <c r="O82" s="7" t="s">
        <v>1370</v>
      </c>
      <c r="P82" s="7">
        <f>ROUND(260/E82,3)</f>
        <v>3.25</v>
      </c>
      <c r="Q82" s="7">
        <f>ROUND(204/E82,3)</f>
        <v>2.5499999999999998</v>
      </c>
      <c r="R82" s="7">
        <f>ROUND(158/E82,3)</f>
        <v>1.9750000000000001</v>
      </c>
      <c r="S82" s="7">
        <f>ROUND(79/E82,3)</f>
        <v>0.98799999999999999</v>
      </c>
      <c r="T82" s="7">
        <f>ROUND(19.2/E82,3)</f>
        <v>0.24</v>
      </c>
      <c r="U82" s="7">
        <f>ROUND(75/E82,3)</f>
        <v>0.93799999999999994</v>
      </c>
      <c r="V82" s="7">
        <f>ROUND(19/E82,3)</f>
        <v>0.23799999999999999</v>
      </c>
      <c r="W82" s="7">
        <f>ROUND(19.1/E82,3)</f>
        <v>0.23899999999999999</v>
      </c>
      <c r="X82" s="7">
        <v>0.59</v>
      </c>
      <c r="Y82" s="7">
        <v>0.56000000000000005</v>
      </c>
      <c r="Z82" s="7">
        <v>0.56999999999999995</v>
      </c>
      <c r="AA82" s="7">
        <f>ROUND(53.03/E82,3)</f>
        <v>0.66300000000000003</v>
      </c>
      <c r="AB82" s="7">
        <f>ROUND(22/E82,3)</f>
        <v>0.27500000000000002</v>
      </c>
      <c r="AC82" s="7">
        <v>8478440</v>
      </c>
    </row>
    <row r="83" spans="1:29" ht="15" customHeight="1" x14ac:dyDescent="0.2">
      <c r="A83" s="7" t="s">
        <v>306</v>
      </c>
      <c r="B83" s="7" t="s">
        <v>55</v>
      </c>
      <c r="C83" s="7" t="s">
        <v>191</v>
      </c>
      <c r="D83" s="7">
        <v>30</v>
      </c>
      <c r="E83" s="7">
        <v>68</v>
      </c>
      <c r="F83" s="7">
        <f>ROUND(31/E83,3)</f>
        <v>0.45600000000000002</v>
      </c>
      <c r="G83" s="7">
        <f>ROUND(26/E83,3)</f>
        <v>0.38200000000000001</v>
      </c>
      <c r="H83" s="7">
        <f>ROUND(226/E83,3)</f>
        <v>3.3239999999999998</v>
      </c>
      <c r="I83" s="7">
        <f>ROUND(51/E83,3)</f>
        <v>0.75</v>
      </c>
      <c r="J83" s="7">
        <f>ROUND(38/E83,3)</f>
        <v>0.55900000000000005</v>
      </c>
      <c r="K83" s="7">
        <f t="shared" si="2"/>
        <v>10.197999999999999</v>
      </c>
      <c r="L83" s="7">
        <f>ROUND(1411.8833333333/E83,3)</f>
        <v>20.763000000000002</v>
      </c>
      <c r="M83" s="7">
        <f>ROUND(40/E83,3)</f>
        <v>0.58799999999999997</v>
      </c>
      <c r="N83" s="7" t="s">
        <v>660</v>
      </c>
      <c r="O83" s="7" t="s">
        <v>1371</v>
      </c>
      <c r="P83" s="7">
        <f>ROUND(401/E83,3)</f>
        <v>5.8970000000000002</v>
      </c>
      <c r="Q83" s="7">
        <f>ROUND(315/E83,3)</f>
        <v>4.6319999999999997</v>
      </c>
      <c r="R83" s="7">
        <f>ROUND(256/E83,3)</f>
        <v>3.7650000000000001</v>
      </c>
      <c r="S83" s="7">
        <f>ROUND(81/E83,3)</f>
        <v>1.1910000000000001</v>
      </c>
      <c r="T83" s="7">
        <f>ROUND(27.29/E83,3)</f>
        <v>0.40100000000000002</v>
      </c>
      <c r="U83" s="7">
        <f>ROUND(69/E83,3)</f>
        <v>1.0149999999999999</v>
      </c>
      <c r="V83" s="7">
        <f>ROUND(19/E83,3)</f>
        <v>0.27900000000000003</v>
      </c>
      <c r="W83" s="7">
        <f>ROUND(24.71/E83,3)</f>
        <v>0.36299999999999999</v>
      </c>
      <c r="X83" s="7">
        <v>0.52</v>
      </c>
      <c r="Y83" s="7">
        <v>0.55000000000000004</v>
      </c>
      <c r="Z83" s="7">
        <v>0.55000000000000004</v>
      </c>
      <c r="AA83" s="7">
        <f>ROUND(64.44/E83,3)</f>
        <v>0.94799999999999995</v>
      </c>
      <c r="AB83" s="7">
        <f>ROUND(24/E83,3)</f>
        <v>0.35299999999999998</v>
      </c>
      <c r="AC83" s="7">
        <v>8477500</v>
      </c>
    </row>
    <row r="84" spans="1:29" ht="15" customHeight="1" x14ac:dyDescent="0.2">
      <c r="A84" s="7" t="s">
        <v>310</v>
      </c>
      <c r="B84" s="7" t="s">
        <v>92</v>
      </c>
      <c r="C84" s="7" t="s">
        <v>131</v>
      </c>
      <c r="D84" s="7">
        <v>23</v>
      </c>
      <c r="E84" s="7">
        <v>82</v>
      </c>
      <c r="F84" s="7">
        <f>ROUND(24/E84,3)</f>
        <v>0.29299999999999998</v>
      </c>
      <c r="G84" s="7">
        <f>ROUND(33/E84,3)</f>
        <v>0.40200000000000002</v>
      </c>
      <c r="H84" s="7">
        <f>ROUND(162/E84,3)</f>
        <v>1.976</v>
      </c>
      <c r="I84" s="7">
        <f>ROUND(84/E84,3)</f>
        <v>1.024</v>
      </c>
      <c r="J84" s="7">
        <f>ROUND(42/E84,3)</f>
        <v>0.51200000000000001</v>
      </c>
      <c r="K84" s="7">
        <f t="shared" si="2"/>
        <v>7.7560000000000002</v>
      </c>
      <c r="L84" s="7">
        <f>ROUND(1443.0666666667/E84,3)</f>
        <v>17.597999999999999</v>
      </c>
      <c r="M84" s="7">
        <f>ROUND(20/E84,3)</f>
        <v>0.24399999999999999</v>
      </c>
      <c r="N84" s="7" t="s">
        <v>1372</v>
      </c>
      <c r="O84" s="7" t="s">
        <v>805</v>
      </c>
      <c r="P84" s="7">
        <f>ROUND(329/E84,3)</f>
        <v>4.0119999999999996</v>
      </c>
      <c r="Q84" s="7">
        <f>ROUND(262/E84,3)</f>
        <v>3.1949999999999998</v>
      </c>
      <c r="R84" s="7">
        <f>ROUND(217/E84,3)</f>
        <v>2.6459999999999999</v>
      </c>
      <c r="S84" s="7">
        <f>ROUND(111/E84,3)</f>
        <v>1.3540000000000001</v>
      </c>
      <c r="T84" s="7">
        <f>ROUND(24.72/E84,3)</f>
        <v>0.30099999999999999</v>
      </c>
      <c r="U84" s="7">
        <f>ROUND(51/E84,3)</f>
        <v>0.622</v>
      </c>
      <c r="V84" s="7">
        <f>ROUND(25/E84,3)</f>
        <v>0.30499999999999999</v>
      </c>
      <c r="W84" s="7">
        <f>ROUND(23.27/E84,3)</f>
        <v>0.28399999999999997</v>
      </c>
      <c r="X84" s="7">
        <v>0.54</v>
      </c>
      <c r="Y84" s="7">
        <v>0.57999999999999996</v>
      </c>
      <c r="Z84" s="7">
        <v>0.57999999999999996</v>
      </c>
      <c r="AA84" s="7">
        <f>ROUND(60.3/E84,3)</f>
        <v>0.73499999999999999</v>
      </c>
      <c r="AB84" s="7">
        <f>ROUND(22/E84,3)</f>
        <v>0.26800000000000002</v>
      </c>
      <c r="AC84" s="7">
        <v>8482109</v>
      </c>
    </row>
    <row r="85" spans="1:29" ht="15" customHeight="1" x14ac:dyDescent="0.2">
      <c r="A85" s="7" t="s">
        <v>313</v>
      </c>
      <c r="B85" s="7" t="s">
        <v>60</v>
      </c>
      <c r="C85" s="7" t="s">
        <v>230</v>
      </c>
      <c r="D85" s="7">
        <v>28</v>
      </c>
      <c r="E85" s="7">
        <v>61</v>
      </c>
      <c r="F85" s="7">
        <f>ROUND(19/E85,3)</f>
        <v>0.311</v>
      </c>
      <c r="G85" s="7">
        <f>ROUND(38/E85,3)</f>
        <v>0.623</v>
      </c>
      <c r="H85" s="7">
        <f>ROUND(161/E85,3)</f>
        <v>2.6389999999999998</v>
      </c>
      <c r="I85" s="7">
        <f>ROUND(2/E85,3)</f>
        <v>3.3000000000000002E-2</v>
      </c>
      <c r="J85" s="7">
        <f>ROUND(16/E85,3)</f>
        <v>0.26200000000000001</v>
      </c>
      <c r="K85" s="7">
        <f t="shared" si="2"/>
        <v>9.1435000000000013</v>
      </c>
      <c r="L85" s="7">
        <f>ROUND(1119.1833333333/E85,3)</f>
        <v>18.347000000000001</v>
      </c>
      <c r="M85" s="7">
        <f>ROUND(14/E85,3)</f>
        <v>0.23</v>
      </c>
      <c r="N85" s="7" t="s">
        <v>624</v>
      </c>
      <c r="O85" s="7" t="s">
        <v>1373</v>
      </c>
      <c r="P85" s="7">
        <f>ROUND(314/E85,3)</f>
        <v>5.1479999999999997</v>
      </c>
      <c r="Q85" s="7">
        <f>ROUND(246/E85,3)</f>
        <v>4.0330000000000004</v>
      </c>
      <c r="R85" s="7">
        <f>ROUND(183/E85,3)</f>
        <v>3</v>
      </c>
      <c r="S85" s="7">
        <f>ROUND(87/E85,3)</f>
        <v>1.4259999999999999</v>
      </c>
      <c r="T85" s="7">
        <f>ROUND(21.93/E85,3)</f>
        <v>0.36</v>
      </c>
      <c r="U85" s="7">
        <f>ROUND(49/E85,3)</f>
        <v>0.80300000000000005</v>
      </c>
      <c r="V85" s="7">
        <f>ROUND(25/E85,3)</f>
        <v>0.41</v>
      </c>
      <c r="W85" s="7">
        <f>ROUND(20.6/E85,3)</f>
        <v>0.33800000000000002</v>
      </c>
      <c r="X85" s="7">
        <v>0.56999999999999995</v>
      </c>
      <c r="Y85" s="7">
        <v>0.6</v>
      </c>
      <c r="Z85" s="7">
        <v>0.6</v>
      </c>
      <c r="AA85" s="7">
        <f>ROUND(60.56/E85,3)</f>
        <v>0.99299999999999999</v>
      </c>
      <c r="AB85" s="7">
        <f>ROUND(20/E85,3)</f>
        <v>0.32800000000000001</v>
      </c>
      <c r="AC85" s="7">
        <v>8478873</v>
      </c>
    </row>
    <row r="86" spans="1:29" ht="15" customHeight="1" x14ac:dyDescent="0.2">
      <c r="A86" s="7" t="s">
        <v>317</v>
      </c>
      <c r="B86" s="7" t="s">
        <v>60</v>
      </c>
      <c r="C86" s="7" t="s">
        <v>160</v>
      </c>
      <c r="D86" s="7">
        <v>36</v>
      </c>
      <c r="E86" s="7">
        <v>67</v>
      </c>
      <c r="F86" s="7">
        <f>ROUND(16/E86,3)</f>
        <v>0.23899999999999999</v>
      </c>
      <c r="G86" s="7">
        <f>ROUND(41/E86,3)</f>
        <v>0.61199999999999999</v>
      </c>
      <c r="H86" s="7">
        <f>ROUND(169/E86,3)</f>
        <v>2.5219999999999998</v>
      </c>
      <c r="I86" s="7">
        <f>ROUND(21/E86,3)</f>
        <v>0.313</v>
      </c>
      <c r="J86" s="7">
        <f>ROUND(24/E86,3)</f>
        <v>0.35799999999999998</v>
      </c>
      <c r="K86" s="7">
        <f t="shared" si="2"/>
        <v>8.6204999999999998</v>
      </c>
      <c r="L86" s="7">
        <f>ROUND(1185.5833333333/E86,3)</f>
        <v>17.695</v>
      </c>
      <c r="M86" s="7">
        <f>ROUND(16/E86,3)</f>
        <v>0.23899999999999999</v>
      </c>
      <c r="N86" s="7" t="s">
        <v>1374</v>
      </c>
      <c r="O86" s="7" t="s">
        <v>1375</v>
      </c>
      <c r="P86" s="7">
        <f>ROUND(314/E86,3)</f>
        <v>4.6870000000000003</v>
      </c>
      <c r="Q86" s="7">
        <f>ROUND(245/E86,3)</f>
        <v>3.657</v>
      </c>
      <c r="R86" s="7">
        <f>ROUND(160/E86,3)</f>
        <v>2.3879999999999999</v>
      </c>
      <c r="S86" s="7">
        <f>ROUND(53/E86,3)</f>
        <v>0.79100000000000004</v>
      </c>
      <c r="T86" s="7">
        <f>ROUND(18.91/E86,3)</f>
        <v>0.28199999999999997</v>
      </c>
      <c r="U86" s="7">
        <f>ROUND(67/E86,3)</f>
        <v>1</v>
      </c>
      <c r="V86" s="7">
        <f>ROUND(9/E86,3)</f>
        <v>0.13400000000000001</v>
      </c>
      <c r="W86" s="7">
        <f>ROUND(16.5/E86,3)</f>
        <v>0.246</v>
      </c>
      <c r="X86" s="7">
        <v>0.62</v>
      </c>
      <c r="Y86" s="7">
        <v>0.59</v>
      </c>
      <c r="Z86" s="7">
        <v>0.61</v>
      </c>
      <c r="AA86" s="7">
        <f>ROUND(52.13/E86,3)</f>
        <v>0.77800000000000002</v>
      </c>
      <c r="AB86" s="7">
        <f>ROUND(15/E86,3)</f>
        <v>0.224</v>
      </c>
      <c r="AC86" s="7">
        <v>8474141</v>
      </c>
    </row>
    <row r="87" spans="1:29" ht="15" customHeight="1" x14ac:dyDescent="0.2">
      <c r="A87" s="7" t="s">
        <v>320</v>
      </c>
      <c r="B87" s="7" t="s">
        <v>55</v>
      </c>
      <c r="C87" s="7" t="s">
        <v>56</v>
      </c>
      <c r="D87" s="7">
        <v>32</v>
      </c>
      <c r="E87" s="7">
        <v>72</v>
      </c>
      <c r="F87" s="7">
        <f>ROUND(20/E87,3)</f>
        <v>0.27800000000000002</v>
      </c>
      <c r="G87" s="7">
        <f>ROUND(36/E87,3)</f>
        <v>0.5</v>
      </c>
      <c r="H87" s="7">
        <f>ROUND(132/E87,3)</f>
        <v>1.833</v>
      </c>
      <c r="I87" s="7">
        <f>ROUND(25/E87,3)</f>
        <v>0.34699999999999998</v>
      </c>
      <c r="J87" s="7">
        <f>ROUND(31/E87,3)</f>
        <v>0.43099999999999999</v>
      </c>
      <c r="K87" s="7">
        <f t="shared" si="2"/>
        <v>7.6615000000000002</v>
      </c>
      <c r="L87" s="7">
        <f>ROUND(1372.5166666667/E87,3)</f>
        <v>19.062999999999999</v>
      </c>
      <c r="M87" s="7">
        <f>ROUND(21/E87,3)</f>
        <v>0.29199999999999998</v>
      </c>
      <c r="N87" s="7" t="s">
        <v>112</v>
      </c>
      <c r="O87" s="7" t="s">
        <v>116</v>
      </c>
      <c r="P87" s="7">
        <f>ROUND(263/E87,3)</f>
        <v>3.653</v>
      </c>
      <c r="Q87" s="7">
        <f>ROUND(200/E87,3)</f>
        <v>2.778</v>
      </c>
      <c r="R87" s="7">
        <f>ROUND(190/E87,3)</f>
        <v>2.6389999999999998</v>
      </c>
      <c r="S87" s="7">
        <f>ROUND(80/E87,3)</f>
        <v>1.111</v>
      </c>
      <c r="T87" s="7">
        <f>ROUND(18.02/E87,3)</f>
        <v>0.25</v>
      </c>
      <c r="U87" s="7">
        <f>ROUND(42/E87,3)</f>
        <v>0.58299999999999996</v>
      </c>
      <c r="V87" s="7">
        <f>ROUND(14/E87,3)</f>
        <v>0.19400000000000001</v>
      </c>
      <c r="W87" s="7">
        <f>ROUND(17.65/E87,3)</f>
        <v>0.245</v>
      </c>
      <c r="X87" s="7">
        <v>0.56999999999999995</v>
      </c>
      <c r="Y87" s="7">
        <v>0.55000000000000004</v>
      </c>
      <c r="Z87" s="7">
        <v>0.54</v>
      </c>
      <c r="AA87" s="7">
        <f>ROUND(46.03/E87,3)</f>
        <v>0.63900000000000001</v>
      </c>
      <c r="AB87" s="7">
        <f>ROUND(20/E87,3)</f>
        <v>0.27800000000000002</v>
      </c>
      <c r="AC87" s="7">
        <v>8476454</v>
      </c>
    </row>
    <row r="88" spans="1:29" ht="15" customHeight="1" x14ac:dyDescent="0.2">
      <c r="A88" s="7" t="s">
        <v>323</v>
      </c>
      <c r="B88" s="7" t="s">
        <v>60</v>
      </c>
      <c r="C88" s="7" t="s">
        <v>164</v>
      </c>
      <c r="D88" s="7">
        <v>23</v>
      </c>
      <c r="E88" s="7">
        <v>81</v>
      </c>
      <c r="F88" s="7">
        <f>ROUND(12/E88,3)</f>
        <v>0.14799999999999999</v>
      </c>
      <c r="G88" s="7">
        <f>ROUND(44/E88,3)</f>
        <v>0.54300000000000004</v>
      </c>
      <c r="H88" s="7">
        <f>ROUND(176/E88,3)</f>
        <v>2.173</v>
      </c>
      <c r="I88" s="7">
        <f>ROUND(21/E88,3)</f>
        <v>0.25900000000000001</v>
      </c>
      <c r="J88" s="7">
        <f>ROUND(21/E88,3)</f>
        <v>0.25900000000000001</v>
      </c>
      <c r="K88" s="7">
        <f t="shared" si="2"/>
        <v>7.0035000000000007</v>
      </c>
      <c r="L88" s="7">
        <f>ROUND(1346.4166666667/E88,3)</f>
        <v>16.622</v>
      </c>
      <c r="M88" s="7">
        <f>ROUND(28/E88,3)</f>
        <v>0.34599999999999997</v>
      </c>
      <c r="N88" s="7" t="s">
        <v>647</v>
      </c>
      <c r="O88" s="7" t="s">
        <v>686</v>
      </c>
      <c r="P88" s="7">
        <f>ROUND(316/E88,3)</f>
        <v>3.9009999999999998</v>
      </c>
      <c r="Q88" s="7">
        <f>ROUND(259/E88,3)</f>
        <v>3.198</v>
      </c>
      <c r="R88" s="7">
        <f>ROUND(174/E88,3)</f>
        <v>2.1480000000000001</v>
      </c>
      <c r="S88" s="7">
        <f>ROUND(83/E88,3)</f>
        <v>1.0249999999999999</v>
      </c>
      <c r="T88" s="7">
        <f>ROUND(21.78/E88,3)</f>
        <v>0.26900000000000002</v>
      </c>
      <c r="U88" s="7">
        <f>ROUND(58/E88,3)</f>
        <v>0.71599999999999997</v>
      </c>
      <c r="V88" s="7">
        <f>ROUND(25/E88,3)</f>
        <v>0.309</v>
      </c>
      <c r="W88" s="7">
        <f>ROUND(19.44/E88,3)</f>
        <v>0.24</v>
      </c>
      <c r="X88" s="7">
        <v>0.59</v>
      </c>
      <c r="Y88" s="7">
        <v>0.61</v>
      </c>
      <c r="Z88" s="7">
        <v>0.59</v>
      </c>
      <c r="AA88" s="7">
        <f>ROUND(70.09/E88,3)</f>
        <v>0.86499999999999999</v>
      </c>
      <c r="AB88" s="7">
        <f>ROUND(30/E88,3)</f>
        <v>0.37</v>
      </c>
      <c r="AC88" s="7">
        <v>8482146</v>
      </c>
    </row>
    <row r="89" spans="1:29" ht="15" customHeight="1" x14ac:dyDescent="0.2">
      <c r="A89" s="7" t="s">
        <v>324</v>
      </c>
      <c r="B89" s="7" t="s">
        <v>60</v>
      </c>
      <c r="C89" s="7" t="s">
        <v>213</v>
      </c>
      <c r="D89" s="7">
        <v>35</v>
      </c>
      <c r="E89" s="7">
        <v>80</v>
      </c>
      <c r="F89" s="7">
        <f>ROUND(26/E89,3)</f>
        <v>0.32500000000000001</v>
      </c>
      <c r="G89" s="7">
        <f>ROUND(29/E89,3)</f>
        <v>0.36299999999999999</v>
      </c>
      <c r="H89" s="7">
        <f>ROUND(168/E89,3)</f>
        <v>2.1</v>
      </c>
      <c r="I89" s="7">
        <f>ROUND(55/E89,3)</f>
        <v>0.68799999999999994</v>
      </c>
      <c r="J89" s="7">
        <f>ROUND(43/E89,3)</f>
        <v>0.53800000000000003</v>
      </c>
      <c r="K89" s="7">
        <f t="shared" si="2"/>
        <v>7.7600000000000007</v>
      </c>
      <c r="L89" s="7">
        <f>ROUND(1478.1166666667/E89,3)</f>
        <v>18.475999999999999</v>
      </c>
      <c r="M89" s="7">
        <f>ROUND(28/E89,3)</f>
        <v>0.35</v>
      </c>
      <c r="N89" s="7" t="s">
        <v>1376</v>
      </c>
      <c r="O89" s="7" t="s">
        <v>1377</v>
      </c>
      <c r="P89" s="7">
        <f>ROUND(311/E89,3)</f>
        <v>3.8879999999999999</v>
      </c>
      <c r="Q89" s="7">
        <f>ROUND(262/E89,3)</f>
        <v>3.2749999999999999</v>
      </c>
      <c r="R89" s="7">
        <f>ROUND(196/E89,3)</f>
        <v>2.4500000000000002</v>
      </c>
      <c r="S89" s="7">
        <f>ROUND(116/E89,3)</f>
        <v>1.45</v>
      </c>
      <c r="T89" s="7">
        <f>ROUND(30.67/E89,3)</f>
        <v>0.38300000000000001</v>
      </c>
      <c r="U89" s="7">
        <f>ROUND(56/E89,3)</f>
        <v>0.7</v>
      </c>
      <c r="V89" s="7">
        <f>ROUND(24/E89,3)</f>
        <v>0.3</v>
      </c>
      <c r="W89" s="7">
        <f>ROUND(28.76/E89,3)</f>
        <v>0.36</v>
      </c>
      <c r="X89" s="7">
        <v>0.55000000000000004</v>
      </c>
      <c r="Y89" s="7">
        <v>0.55000000000000004</v>
      </c>
      <c r="Z89" s="7">
        <v>0.55000000000000004</v>
      </c>
      <c r="AA89" s="7">
        <f>ROUND(50.92/E89,3)</f>
        <v>0.63700000000000001</v>
      </c>
      <c r="AB89" s="7">
        <f>ROUND(38/E89,3)</f>
        <v>0.47499999999999998</v>
      </c>
      <c r="AC89" s="7">
        <v>8474586</v>
      </c>
    </row>
    <row r="90" spans="1:29" ht="15" customHeight="1" x14ac:dyDescent="0.2">
      <c r="A90" s="7" t="s">
        <v>328</v>
      </c>
      <c r="B90" s="7" t="s">
        <v>55</v>
      </c>
      <c r="C90" s="7" t="s">
        <v>274</v>
      </c>
      <c r="D90" s="7">
        <v>30</v>
      </c>
      <c r="E90" s="7">
        <v>77</v>
      </c>
      <c r="F90" s="7">
        <f>ROUND(25/E90,3)</f>
        <v>0.32500000000000001</v>
      </c>
      <c r="G90" s="7">
        <f>ROUND(30/E90,3)</f>
        <v>0.39</v>
      </c>
      <c r="H90" s="7">
        <f>ROUND(187/E90,3)</f>
        <v>2.4289999999999998</v>
      </c>
      <c r="I90" s="7">
        <f>ROUND(68/E90,3)</f>
        <v>0.88300000000000001</v>
      </c>
      <c r="J90" s="7">
        <f>ROUND(22/E90,3)</f>
        <v>0.28599999999999998</v>
      </c>
      <c r="K90" s="7">
        <f t="shared" si="2"/>
        <v>8.0964999999999989</v>
      </c>
      <c r="L90" s="7">
        <f>ROUND(1356.1833333333/E90,3)</f>
        <v>17.613</v>
      </c>
      <c r="M90" s="7">
        <f>ROUND(32/E90,3)</f>
        <v>0.41599999999999998</v>
      </c>
      <c r="N90" s="7" t="s">
        <v>654</v>
      </c>
      <c r="O90" s="7" t="s">
        <v>1378</v>
      </c>
      <c r="P90" s="7">
        <f>ROUND(384/E90,3)</f>
        <v>4.9870000000000001</v>
      </c>
      <c r="Q90" s="7">
        <f>ROUND(275/E90,3)</f>
        <v>3.5710000000000002</v>
      </c>
      <c r="R90" s="7">
        <f>ROUND(210/E90,3)</f>
        <v>2.7269999999999999</v>
      </c>
      <c r="S90" s="7">
        <f>ROUND(81/E90,3)</f>
        <v>1.052</v>
      </c>
      <c r="T90" s="7">
        <f>ROUND(22.88/E90,3)</f>
        <v>0.29699999999999999</v>
      </c>
      <c r="U90" s="7">
        <f>ROUND(66/E90,3)</f>
        <v>0.85699999999999998</v>
      </c>
      <c r="V90" s="7">
        <f>ROUND(29/E90,3)</f>
        <v>0.377</v>
      </c>
      <c r="W90" s="7">
        <f>ROUND(21.45/E90,3)</f>
        <v>0.27900000000000003</v>
      </c>
      <c r="X90" s="7">
        <v>0.56000000000000005</v>
      </c>
      <c r="Y90" s="7">
        <v>0.61</v>
      </c>
      <c r="Z90" s="7">
        <v>0.59</v>
      </c>
      <c r="AA90" s="7">
        <f>ROUND(62.07/E90,3)</f>
        <v>0.80600000000000005</v>
      </c>
      <c r="AB90" s="7">
        <f>ROUND(15/E90,3)</f>
        <v>0.19500000000000001</v>
      </c>
      <c r="AC90" s="7">
        <v>8477409</v>
      </c>
    </row>
    <row r="91" spans="1:29" ht="15" customHeight="1" x14ac:dyDescent="0.2">
      <c r="A91" s="7" t="s">
        <v>331</v>
      </c>
      <c r="B91" s="7" t="s">
        <v>55</v>
      </c>
      <c r="C91" s="7" t="s">
        <v>297</v>
      </c>
      <c r="D91" s="7">
        <v>31</v>
      </c>
      <c r="E91" s="7">
        <v>80</v>
      </c>
      <c r="F91" s="7">
        <f>ROUND(18/E91,3)</f>
        <v>0.22500000000000001</v>
      </c>
      <c r="G91" s="7">
        <f>ROUND(37/E91,3)</f>
        <v>0.46300000000000002</v>
      </c>
      <c r="H91" s="7">
        <f>ROUND(94/E91,3)</f>
        <v>1.175</v>
      </c>
      <c r="I91" s="7">
        <f>ROUND(28/E91,3)</f>
        <v>0.35</v>
      </c>
      <c r="J91" s="7">
        <f>ROUND(93/E91,3)</f>
        <v>1.163</v>
      </c>
      <c r="K91" s="7">
        <f t="shared" si="2"/>
        <v>7.0910000000000002</v>
      </c>
      <c r="L91" s="7">
        <f>ROUND(1636.4833333333/E91,3)</f>
        <v>20.456</v>
      </c>
      <c r="M91" s="7">
        <f>ROUND(18/E91,3)</f>
        <v>0.22500000000000001</v>
      </c>
      <c r="N91" s="7" t="s">
        <v>1379</v>
      </c>
      <c r="O91" s="7" t="s">
        <v>1380</v>
      </c>
      <c r="P91" s="7">
        <f>ROUND(172/E91,3)</f>
        <v>2.15</v>
      </c>
      <c r="Q91" s="7">
        <f>ROUND(134/E91,3)</f>
        <v>1.675</v>
      </c>
      <c r="R91" s="7">
        <f>ROUND(129/E91,3)</f>
        <v>1.613</v>
      </c>
      <c r="S91" s="7">
        <f>ROUND(81/E91,3)</f>
        <v>1.0129999999999999</v>
      </c>
      <c r="T91" s="7">
        <f>ROUND(17.18/E91,3)</f>
        <v>0.215</v>
      </c>
      <c r="U91" s="7">
        <f>ROUND(54/E91,3)</f>
        <v>0.67500000000000004</v>
      </c>
      <c r="V91" s="7">
        <f>ROUND(35/E91,3)</f>
        <v>0.438</v>
      </c>
      <c r="W91" s="7">
        <f>ROUND(17.84/E91,3)</f>
        <v>0.223</v>
      </c>
      <c r="X91" s="7">
        <v>0.49</v>
      </c>
      <c r="Y91" s="7">
        <v>0.5</v>
      </c>
      <c r="Z91" s="7">
        <v>0.49</v>
      </c>
      <c r="AA91" s="7">
        <f>ROUND(44.63/E91,3)</f>
        <v>0.55800000000000005</v>
      </c>
      <c r="AB91" s="7">
        <f>ROUND(26/E91,3)</f>
        <v>0.32500000000000001</v>
      </c>
      <c r="AC91" s="7">
        <v>8477505</v>
      </c>
    </row>
    <row r="92" spans="1:29" ht="15" customHeight="1" x14ac:dyDescent="0.2">
      <c r="A92" s="7" t="s">
        <v>332</v>
      </c>
      <c r="B92" s="7" t="s">
        <v>92</v>
      </c>
      <c r="C92" s="7" t="s">
        <v>274</v>
      </c>
      <c r="D92" s="7">
        <v>37</v>
      </c>
      <c r="E92" s="7">
        <v>52</v>
      </c>
      <c r="F92" s="7">
        <f>ROUND(27/E92,3)</f>
        <v>0.51900000000000002</v>
      </c>
      <c r="G92" s="7">
        <f>ROUND(27/E92,3)</f>
        <v>0.51900000000000002</v>
      </c>
      <c r="H92" s="7">
        <f>ROUND(138/E92,3)</f>
        <v>2.6539999999999999</v>
      </c>
      <c r="I92" s="7">
        <f>ROUND(36/E92,3)</f>
        <v>0.69199999999999995</v>
      </c>
      <c r="J92" s="7">
        <f>ROUND(16/E92,3)</f>
        <v>0.308</v>
      </c>
      <c r="K92" s="7">
        <f t="shared" si="2"/>
        <v>10.574</v>
      </c>
      <c r="L92" s="7">
        <f>ROUND(922.21666666667/E92,3)</f>
        <v>17.734999999999999</v>
      </c>
      <c r="M92" s="7">
        <f>ROUND(38/E92,3)</f>
        <v>0.73099999999999998</v>
      </c>
      <c r="N92" s="7" t="s">
        <v>142</v>
      </c>
      <c r="O92" s="7" t="s">
        <v>1381</v>
      </c>
      <c r="P92" s="7">
        <f>ROUND(277/E92,3)</f>
        <v>5.327</v>
      </c>
      <c r="Q92" s="7">
        <f>ROUND(216/E92,3)</f>
        <v>4.1539999999999999</v>
      </c>
      <c r="R92" s="7">
        <f>ROUND(152/E92,3)</f>
        <v>2.923</v>
      </c>
      <c r="S92" s="7">
        <f>ROUND(82/E92,3)</f>
        <v>1.577</v>
      </c>
      <c r="T92" s="7">
        <f>ROUND(20.18/E92,3)</f>
        <v>0.38800000000000001</v>
      </c>
      <c r="U92" s="7">
        <f>ROUND(56/E92,3)</f>
        <v>1.077</v>
      </c>
      <c r="V92" s="7">
        <f>ROUND(15/E92,3)</f>
        <v>0.28799999999999998</v>
      </c>
      <c r="W92" s="7">
        <f>ROUND(19.63/E92,3)</f>
        <v>0.378</v>
      </c>
      <c r="X92" s="7">
        <v>0.54</v>
      </c>
      <c r="Y92" s="7">
        <v>0.59</v>
      </c>
      <c r="Z92" s="7">
        <v>0.56999999999999995</v>
      </c>
      <c r="AA92" s="7">
        <f>ROUND(47.79/E92,3)</f>
        <v>0.91900000000000004</v>
      </c>
      <c r="AB92" s="7">
        <f>ROUND(25/E92,3)</f>
        <v>0.48099999999999998</v>
      </c>
      <c r="AC92" s="7">
        <v>8473419</v>
      </c>
    </row>
    <row r="93" spans="1:29" ht="15" customHeight="1" x14ac:dyDescent="0.2">
      <c r="A93" s="7" t="s">
        <v>335</v>
      </c>
      <c r="B93" s="7" t="s">
        <v>92</v>
      </c>
      <c r="C93" s="7" t="s">
        <v>84</v>
      </c>
      <c r="D93" s="7">
        <v>32</v>
      </c>
      <c r="E93" s="7">
        <v>69</v>
      </c>
      <c r="F93" s="7">
        <f>ROUND(25/E93,3)</f>
        <v>0.36199999999999999</v>
      </c>
      <c r="G93" s="7">
        <f>ROUND(29/E93,3)</f>
        <v>0.42</v>
      </c>
      <c r="H93" s="7">
        <f>ROUND(175/E93,3)</f>
        <v>2.536</v>
      </c>
      <c r="I93" s="7">
        <f>ROUND(24/E93,3)</f>
        <v>0.34799999999999998</v>
      </c>
      <c r="J93" s="7">
        <f>ROUND(36/E93,3)</f>
        <v>0.52200000000000002</v>
      </c>
      <c r="K93" s="7">
        <f t="shared" si="2"/>
        <v>8.6479999999999997</v>
      </c>
      <c r="L93" s="7">
        <f>ROUND(1007.3333333333/E93,3)</f>
        <v>14.599</v>
      </c>
      <c r="M93" s="7">
        <f>ROUND(24/E93,3)</f>
        <v>0.34799999999999998</v>
      </c>
      <c r="N93" s="7" t="s">
        <v>1297</v>
      </c>
      <c r="O93" s="7" t="s">
        <v>100</v>
      </c>
      <c r="P93" s="7">
        <f>ROUND(358/E93,3)</f>
        <v>5.1879999999999997</v>
      </c>
      <c r="Q93" s="7">
        <f>ROUND(270/E93,3)</f>
        <v>3.9129999999999998</v>
      </c>
      <c r="R93" s="7">
        <f>ROUND(188/E93,3)</f>
        <v>2.7250000000000001</v>
      </c>
      <c r="S93" s="7">
        <f>ROUND(94/E93,3)</f>
        <v>1.3620000000000001</v>
      </c>
      <c r="T93" s="7">
        <f>ROUND(22.42/E93,3)</f>
        <v>0.32500000000000001</v>
      </c>
      <c r="U93" s="7">
        <f>ROUND(58/E93,3)</f>
        <v>0.84099999999999997</v>
      </c>
      <c r="V93" s="7">
        <f>ROUND(15/E93,3)</f>
        <v>0.217</v>
      </c>
      <c r="W93" s="7">
        <f>ROUND(22.88/E93,3)</f>
        <v>0.33200000000000002</v>
      </c>
      <c r="X93" s="7">
        <v>0.56000000000000005</v>
      </c>
      <c r="Y93" s="7">
        <v>0.55000000000000004</v>
      </c>
      <c r="Z93" s="7">
        <v>0.56000000000000005</v>
      </c>
      <c r="AA93" s="7">
        <f>ROUND(55.93/E93,3)</f>
        <v>0.81100000000000005</v>
      </c>
      <c r="AB93" s="7">
        <f>ROUND(25/E93,3)</f>
        <v>0.36199999999999999</v>
      </c>
      <c r="AC93" s="7">
        <v>8478042</v>
      </c>
    </row>
    <row r="94" spans="1:29" ht="15" customHeight="1" x14ac:dyDescent="0.2">
      <c r="A94" s="7" t="s">
        <v>338</v>
      </c>
      <c r="B94" s="7" t="s">
        <v>60</v>
      </c>
      <c r="C94" s="7" t="s">
        <v>106</v>
      </c>
      <c r="D94" s="7">
        <v>38</v>
      </c>
      <c r="E94" s="7">
        <v>59</v>
      </c>
      <c r="F94" s="7">
        <f>ROUND(15/E94,3)</f>
        <v>0.254</v>
      </c>
      <c r="G94" s="7">
        <f>ROUND(39/E94,3)</f>
        <v>0.66100000000000003</v>
      </c>
      <c r="H94" s="7">
        <f>ROUND(122/E94,3)</f>
        <v>2.0680000000000001</v>
      </c>
      <c r="I94" s="7">
        <f>ROUND(16/E94,3)</f>
        <v>0.27100000000000002</v>
      </c>
      <c r="J94" s="7">
        <f>ROUND(26/E94,3)</f>
        <v>0.441</v>
      </c>
      <c r="K94" s="7">
        <f t="shared" si="2"/>
        <v>8.6425000000000018</v>
      </c>
      <c r="L94" s="7">
        <f>ROUND(1100.0166666667/E94,3)</f>
        <v>18.643999999999998</v>
      </c>
      <c r="M94" s="7">
        <f>ROUND(20/E94,3)</f>
        <v>0.33900000000000002</v>
      </c>
      <c r="N94" s="7" t="s">
        <v>1124</v>
      </c>
      <c r="O94" s="7" t="s">
        <v>786</v>
      </c>
      <c r="P94" s="7">
        <f>ROUND(251/E94,3)</f>
        <v>4.2539999999999996</v>
      </c>
      <c r="Q94" s="7">
        <f>ROUND(195/E94,3)</f>
        <v>3.3050000000000002</v>
      </c>
      <c r="R94" s="7">
        <f>ROUND(146/E94,3)</f>
        <v>2.4750000000000001</v>
      </c>
      <c r="S94" s="7">
        <f>ROUND(53/E94,3)</f>
        <v>0.89800000000000002</v>
      </c>
      <c r="T94" s="7">
        <f>ROUND(15.79/E94,3)</f>
        <v>0.26800000000000002</v>
      </c>
      <c r="U94" s="7">
        <f>ROUND(62/E94,3)</f>
        <v>1.0509999999999999</v>
      </c>
      <c r="V94" s="7">
        <f>ROUND(13/E94,3)</f>
        <v>0.22</v>
      </c>
      <c r="W94" s="7">
        <f>ROUND(14.72/E94,3)</f>
        <v>0.249</v>
      </c>
      <c r="X94" s="7">
        <v>0.63</v>
      </c>
      <c r="Y94" s="7">
        <v>0.59</v>
      </c>
      <c r="Z94" s="7">
        <v>0.61</v>
      </c>
      <c r="AA94" s="7">
        <f>ROUND(46.79/E94,3)</f>
        <v>0.79300000000000004</v>
      </c>
      <c r="AB94" s="7">
        <f>ROUND(15/E94,3)</f>
        <v>0.254</v>
      </c>
      <c r="AC94" s="7">
        <v>8475692</v>
      </c>
    </row>
    <row r="95" spans="1:29" ht="15" customHeight="1" x14ac:dyDescent="0.2">
      <c r="A95" s="7" t="s">
        <v>341</v>
      </c>
      <c r="B95" s="7" t="s">
        <v>55</v>
      </c>
      <c r="C95" s="7" t="s">
        <v>138</v>
      </c>
      <c r="D95" s="7">
        <v>26</v>
      </c>
      <c r="E95" s="7">
        <v>81</v>
      </c>
      <c r="F95" s="7">
        <f>ROUND(14/E95,3)</f>
        <v>0.17299999999999999</v>
      </c>
      <c r="G95" s="7">
        <f>ROUND(40/E95,3)</f>
        <v>0.49399999999999999</v>
      </c>
      <c r="H95" s="7">
        <f>ROUND(90/E95,3)</f>
        <v>1.111</v>
      </c>
      <c r="I95" s="7">
        <f>ROUND(16/E95,3)</f>
        <v>0.19800000000000001</v>
      </c>
      <c r="J95" s="7">
        <f>ROUND(34/E95,3)</f>
        <v>0.42</v>
      </c>
      <c r="K95" s="7">
        <f t="shared" si="2"/>
        <v>5.9779999999999998</v>
      </c>
      <c r="L95" s="7">
        <f>ROUND(1426.5/E95,3)</f>
        <v>17.611000000000001</v>
      </c>
      <c r="M95" s="7">
        <f>ROUND(16/E95,3)</f>
        <v>0.19800000000000001</v>
      </c>
      <c r="N95" s="7" t="s">
        <v>1382</v>
      </c>
      <c r="O95" s="7" t="s">
        <v>1383</v>
      </c>
      <c r="P95" s="7">
        <f>ROUND(179/E95,3)</f>
        <v>2.21</v>
      </c>
      <c r="Q95" s="7">
        <f>ROUND(139/E95,3)</f>
        <v>1.716</v>
      </c>
      <c r="R95" s="7">
        <f>ROUND(91/E95,3)</f>
        <v>1.123</v>
      </c>
      <c r="S95" s="7">
        <f>ROUND(39/E95,3)</f>
        <v>0.48099999999999998</v>
      </c>
      <c r="T95" s="7">
        <f>ROUND(12.97/E95,3)</f>
        <v>0.16</v>
      </c>
      <c r="U95" s="7">
        <f>ROUND(97/E95,3)</f>
        <v>1.198</v>
      </c>
      <c r="V95" s="7">
        <f>ROUND(37/E95,3)</f>
        <v>0.45700000000000002</v>
      </c>
      <c r="W95" s="7">
        <f>ROUND(12.65/E95,3)</f>
        <v>0.156</v>
      </c>
      <c r="X95" s="7">
        <v>0.48</v>
      </c>
      <c r="Y95" s="7">
        <v>0.47</v>
      </c>
      <c r="Z95" s="7">
        <v>0.47</v>
      </c>
      <c r="AA95" s="7">
        <f>ROUND(46.7/E95,3)</f>
        <v>0.57699999999999996</v>
      </c>
      <c r="AB95" s="7">
        <f>ROUND(12/E95,3)</f>
        <v>0.14799999999999999</v>
      </c>
      <c r="AC95" s="7">
        <v>8480802</v>
      </c>
    </row>
    <row r="96" spans="1:29" ht="15" customHeight="1" x14ac:dyDescent="0.2">
      <c r="A96" s="7" t="s">
        <v>343</v>
      </c>
      <c r="B96" s="7" t="s">
        <v>55</v>
      </c>
      <c r="C96" s="7" t="s">
        <v>146</v>
      </c>
      <c r="D96" s="7">
        <v>28</v>
      </c>
      <c r="E96" s="7">
        <v>60</v>
      </c>
      <c r="F96" s="7">
        <f>ROUND(27/E96,3)</f>
        <v>0.45</v>
      </c>
      <c r="G96" s="7">
        <f>ROUND(26/E96,3)</f>
        <v>0.433</v>
      </c>
      <c r="H96" s="7">
        <f>ROUND(227/E96,3)</f>
        <v>3.7829999999999999</v>
      </c>
      <c r="I96" s="7">
        <f>ROUND(42/E96,3)</f>
        <v>0.7</v>
      </c>
      <c r="J96" s="7">
        <f>ROUND(81/E96,3)</f>
        <v>1.35</v>
      </c>
      <c r="K96" s="7">
        <f t="shared" si="2"/>
        <v>11.680999999999999</v>
      </c>
      <c r="L96" s="7">
        <f>ROUND(1248.2333333333/E96,3)</f>
        <v>20.803999999999998</v>
      </c>
      <c r="M96" s="7">
        <f>ROUND(18/E96,3)</f>
        <v>0.3</v>
      </c>
      <c r="N96" s="7" t="s">
        <v>1384</v>
      </c>
      <c r="O96" s="7" t="s">
        <v>1165</v>
      </c>
      <c r="P96" s="7">
        <f>ROUND(402/E96,3)</f>
        <v>6.7</v>
      </c>
      <c r="Q96" s="7">
        <f>ROUND(330/E96,3)</f>
        <v>5.5</v>
      </c>
      <c r="R96" s="7">
        <f>ROUND(281/E96,3)</f>
        <v>4.6829999999999998</v>
      </c>
      <c r="S96" s="7">
        <f>ROUND(118/E96,3)</f>
        <v>1.9670000000000001</v>
      </c>
      <c r="T96" s="7">
        <f>ROUND(29.72/E96,3)</f>
        <v>0.495</v>
      </c>
      <c r="U96" s="7">
        <f>ROUND(51/E96,3)</f>
        <v>0.85</v>
      </c>
      <c r="V96" s="7">
        <f>ROUND(30/E96,3)</f>
        <v>0.5</v>
      </c>
      <c r="W96" s="7">
        <f>ROUND(28.69/E96,3)</f>
        <v>0.47799999999999998</v>
      </c>
      <c r="X96" s="7">
        <v>0.52</v>
      </c>
      <c r="Y96" s="7">
        <v>0.5</v>
      </c>
      <c r="Z96" s="7">
        <v>0.51</v>
      </c>
      <c r="AA96" s="7">
        <f>ROUND(53.61/E96,3)</f>
        <v>0.89400000000000002</v>
      </c>
      <c r="AB96" s="7">
        <f>ROUND(26/E96,3)</f>
        <v>0.433</v>
      </c>
      <c r="AC96" s="7">
        <v>8479318</v>
      </c>
    </row>
    <row r="97" spans="1:29" ht="15" customHeight="1" x14ac:dyDescent="0.2">
      <c r="A97" s="7" t="s">
        <v>346</v>
      </c>
      <c r="B97" s="7" t="s">
        <v>60</v>
      </c>
      <c r="C97" s="7" t="s">
        <v>80</v>
      </c>
      <c r="D97" s="7">
        <v>22</v>
      </c>
      <c r="E97" s="7">
        <v>81</v>
      </c>
      <c r="F97" s="7">
        <f>ROUND(22/E97,3)</f>
        <v>0.27200000000000002</v>
      </c>
      <c r="G97" s="7">
        <f>ROUND(31/E97,3)</f>
        <v>0.38300000000000001</v>
      </c>
      <c r="H97" s="7">
        <f>ROUND(174/E97,3)</f>
        <v>2.1480000000000001</v>
      </c>
      <c r="I97" s="7">
        <f>ROUND(13/E97,3)</f>
        <v>0.16</v>
      </c>
      <c r="J97" s="7">
        <f>ROUND(34/E97,3)</f>
        <v>0.42</v>
      </c>
      <c r="K97" s="7">
        <f t="shared" si="2"/>
        <v>7.1219999999999999</v>
      </c>
      <c r="L97" s="7">
        <f>ROUND(1336.4333333333/E97,3)</f>
        <v>16.498999999999999</v>
      </c>
      <c r="M97" s="7">
        <f>ROUND(40/E97,3)</f>
        <v>0.49399999999999999</v>
      </c>
      <c r="N97" s="7" t="s">
        <v>1385</v>
      </c>
      <c r="O97" s="7" t="s">
        <v>1163</v>
      </c>
      <c r="P97" s="7">
        <f>ROUND(347/E97,3)</f>
        <v>4.2839999999999998</v>
      </c>
      <c r="Q97" s="7">
        <f>ROUND(276/E97,3)</f>
        <v>3.407</v>
      </c>
      <c r="R97" s="7">
        <f>ROUND(252/E97,3)</f>
        <v>3.1110000000000002</v>
      </c>
      <c r="S97" s="7">
        <f>ROUND(123/E97,3)</f>
        <v>1.5189999999999999</v>
      </c>
      <c r="T97" s="7">
        <f>ROUND(27.48/E97,3)</f>
        <v>0.33900000000000002</v>
      </c>
      <c r="U97" s="7">
        <f>ROUND(92/E97,3)</f>
        <v>1.1359999999999999</v>
      </c>
      <c r="V97" s="7">
        <f>ROUND(30/E97,3)</f>
        <v>0.37</v>
      </c>
      <c r="W97" s="7">
        <f>ROUND(28.44/E97,3)</f>
        <v>0.35099999999999998</v>
      </c>
      <c r="X97" s="7">
        <v>0.61</v>
      </c>
      <c r="Y97" s="7">
        <v>0.64</v>
      </c>
      <c r="Z97" s="7">
        <v>0.63</v>
      </c>
      <c r="AA97" s="7">
        <f>ROUND(74.7/E97,3)</f>
        <v>0.92200000000000004</v>
      </c>
      <c r="AB97" s="7">
        <f>ROUND(41/E97,3)</f>
        <v>0.50600000000000001</v>
      </c>
      <c r="AC97" s="7">
        <v>8482809</v>
      </c>
    </row>
    <row r="98" spans="1:29" ht="15" customHeight="1" x14ac:dyDescent="0.2">
      <c r="A98" s="7" t="s">
        <v>347</v>
      </c>
      <c r="B98" s="7" t="s">
        <v>55</v>
      </c>
      <c r="C98" s="7" t="s">
        <v>131</v>
      </c>
      <c r="D98" s="7">
        <v>32</v>
      </c>
      <c r="E98" s="7">
        <v>68</v>
      </c>
      <c r="F98" s="7">
        <f>ROUND(17/E98,3)</f>
        <v>0.25</v>
      </c>
      <c r="G98" s="7">
        <f>ROUND(36/E98,3)</f>
        <v>0.52900000000000003</v>
      </c>
      <c r="H98" s="7">
        <f>ROUND(144/E98,3)</f>
        <v>2.1179999999999999</v>
      </c>
      <c r="I98" s="7">
        <f>ROUND(123/E98,3)</f>
        <v>1.8089999999999999</v>
      </c>
      <c r="J98" s="7">
        <f>ROUND(34/E98,3)</f>
        <v>0.5</v>
      </c>
      <c r="K98" s="7">
        <f t="shared" si="2"/>
        <v>8.6965000000000003</v>
      </c>
      <c r="L98" s="7">
        <f>ROUND(1369.9/E98,3)</f>
        <v>20.146000000000001</v>
      </c>
      <c r="M98" s="7">
        <f>ROUND(33/E98,3)</f>
        <v>0.48499999999999999</v>
      </c>
      <c r="N98" s="7" t="s">
        <v>1386</v>
      </c>
      <c r="O98" s="7" t="s">
        <v>1387</v>
      </c>
      <c r="P98" s="7">
        <f>ROUND(279/E98,3)</f>
        <v>4.1029999999999998</v>
      </c>
      <c r="Q98" s="7">
        <f>ROUND(232/E98,3)</f>
        <v>3.4119999999999999</v>
      </c>
      <c r="R98" s="7">
        <f>ROUND(191/E98,3)</f>
        <v>2.8090000000000002</v>
      </c>
      <c r="S98" s="7">
        <f>ROUND(115/E98,3)</f>
        <v>1.6910000000000001</v>
      </c>
      <c r="T98" s="7">
        <f>ROUND(24.05/E98,3)</f>
        <v>0.35399999999999998</v>
      </c>
      <c r="U98" s="7">
        <f>ROUND(84/E98,3)</f>
        <v>1.2350000000000001</v>
      </c>
      <c r="V98" s="7">
        <f>ROUND(15/E98,3)</f>
        <v>0.221</v>
      </c>
      <c r="W98" s="7">
        <f>ROUND(22.32/E98,3)</f>
        <v>0.32800000000000001</v>
      </c>
      <c r="X98" s="7">
        <v>0.5</v>
      </c>
      <c r="Y98" s="7">
        <v>0.54</v>
      </c>
      <c r="Z98" s="7">
        <v>0.53</v>
      </c>
      <c r="AA98" s="7">
        <f>ROUND(45.59/E98,3)</f>
        <v>0.67</v>
      </c>
      <c r="AB98" s="7">
        <f>ROUND(29/E98,3)</f>
        <v>0.42599999999999999</v>
      </c>
      <c r="AC98" s="7">
        <v>8476468</v>
      </c>
    </row>
    <row r="99" spans="1:29" ht="15" customHeight="1" x14ac:dyDescent="0.2">
      <c r="A99" s="7" t="s">
        <v>350</v>
      </c>
      <c r="B99" s="7" t="s">
        <v>55</v>
      </c>
      <c r="C99" s="7" t="s">
        <v>131</v>
      </c>
      <c r="D99" s="7">
        <v>32</v>
      </c>
      <c r="E99" s="7">
        <v>67</v>
      </c>
      <c r="F99" s="7">
        <f>ROUND(16/E99,3)</f>
        <v>0.23899999999999999</v>
      </c>
      <c r="G99" s="7">
        <f>ROUND(37/E99,3)</f>
        <v>0.55200000000000005</v>
      </c>
      <c r="H99" s="7">
        <f>ROUND(114/E99,3)</f>
        <v>1.7010000000000001</v>
      </c>
      <c r="I99" s="7">
        <f>ROUND(193/E99,3)</f>
        <v>2.8809999999999998</v>
      </c>
      <c r="J99" s="7">
        <f>ROUND(49/E99,3)</f>
        <v>0.73099999999999998</v>
      </c>
      <c r="K99" s="7">
        <f t="shared" ref="K99:K109" si="3">8*F99+6*G99+1*H99+1*J99+0.5*I99</f>
        <v>9.0965000000000007</v>
      </c>
      <c r="L99" s="7">
        <f>ROUND(1376.9333333333/E99,3)</f>
        <v>20.550999999999998</v>
      </c>
      <c r="M99" s="7">
        <f>ROUND(64/E99,3)</f>
        <v>0.95499999999999996</v>
      </c>
      <c r="N99" s="7" t="s">
        <v>1388</v>
      </c>
      <c r="O99" s="7" t="s">
        <v>1389</v>
      </c>
      <c r="P99" s="7">
        <f>ROUND(256/E99,3)</f>
        <v>3.8210000000000002</v>
      </c>
      <c r="Q99" s="7">
        <f>ROUND(203/E99,3)</f>
        <v>3.03</v>
      </c>
      <c r="R99" s="7">
        <f>ROUND(169/E99,3)</f>
        <v>2.5219999999999998</v>
      </c>
      <c r="S99" s="7">
        <f>ROUND(88/E99,3)</f>
        <v>1.3129999999999999</v>
      </c>
      <c r="T99" s="7">
        <f>ROUND(20.42/E99,3)</f>
        <v>0.30499999999999999</v>
      </c>
      <c r="U99" s="7">
        <f>ROUND(80/E99,3)</f>
        <v>1.194</v>
      </c>
      <c r="V99" s="7">
        <f>ROUND(27/E99,3)</f>
        <v>0.40300000000000002</v>
      </c>
      <c r="W99" s="7">
        <f>ROUND(15.92/E99,3)</f>
        <v>0.23799999999999999</v>
      </c>
      <c r="X99" s="7">
        <v>0.46</v>
      </c>
      <c r="Y99" s="7">
        <v>0.52</v>
      </c>
      <c r="Z99" s="7">
        <v>0.5</v>
      </c>
      <c r="AA99" s="7">
        <f>ROUND(46.06/E99,3)</f>
        <v>0.68700000000000006</v>
      </c>
      <c r="AB99" s="7">
        <f>ROUND(17/E99,3)</f>
        <v>0.254</v>
      </c>
      <c r="AC99" s="7">
        <v>8476389</v>
      </c>
    </row>
    <row r="100" spans="1:29" ht="15" customHeight="1" x14ac:dyDescent="0.2">
      <c r="A100" s="7" t="s">
        <v>352</v>
      </c>
      <c r="B100" s="7" t="s">
        <v>92</v>
      </c>
      <c r="C100" s="7" t="s">
        <v>297</v>
      </c>
      <c r="D100" s="7">
        <v>22</v>
      </c>
      <c r="E100" s="7">
        <v>78</v>
      </c>
      <c r="F100" s="7">
        <f>ROUND(15/E100,3)</f>
        <v>0.192</v>
      </c>
      <c r="G100" s="7">
        <f>ROUND(38/E100,3)</f>
        <v>0.48699999999999999</v>
      </c>
      <c r="H100" s="7">
        <f>ROUND(177/E100,3)</f>
        <v>2.2690000000000001</v>
      </c>
      <c r="I100" s="7">
        <f>ROUND(72/E100,3)</f>
        <v>0.92300000000000004</v>
      </c>
      <c r="J100" s="7">
        <f>ROUND(51/E100,3)</f>
        <v>0.65400000000000003</v>
      </c>
      <c r="K100" s="7">
        <f t="shared" si="3"/>
        <v>7.8425000000000002</v>
      </c>
      <c r="L100" s="7">
        <f>ROUND(1446.1833333333/E100,3)</f>
        <v>18.541</v>
      </c>
      <c r="M100" s="7">
        <f>ROUND(32/E100,3)</f>
        <v>0.41</v>
      </c>
      <c r="N100" s="7" t="s">
        <v>1390</v>
      </c>
      <c r="O100" s="7" t="s">
        <v>1391</v>
      </c>
      <c r="P100" s="7">
        <f>ROUND(334/E100,3)</f>
        <v>4.282</v>
      </c>
      <c r="Q100" s="7">
        <f>ROUND(247/E100,3)</f>
        <v>3.1669999999999998</v>
      </c>
      <c r="R100" s="7">
        <f>ROUND(201/E100,3)</f>
        <v>2.577</v>
      </c>
      <c r="S100" s="7">
        <f>ROUND(102/E100,3)</f>
        <v>1.3080000000000001</v>
      </c>
      <c r="T100" s="7">
        <f>ROUND(23.18/E100,3)</f>
        <v>0.29699999999999999</v>
      </c>
      <c r="U100" s="7">
        <f>ROUND(66/E100,3)</f>
        <v>0.84599999999999997</v>
      </c>
      <c r="V100" s="7">
        <f>ROUND(18/E100,3)</f>
        <v>0.23100000000000001</v>
      </c>
      <c r="W100" s="7">
        <f>ROUND(22.15/E100,3)</f>
        <v>0.28399999999999997</v>
      </c>
      <c r="X100" s="7">
        <v>0.55000000000000004</v>
      </c>
      <c r="Y100" s="7">
        <v>0.56999999999999995</v>
      </c>
      <c r="Z100" s="7">
        <v>0.56000000000000005</v>
      </c>
      <c r="AA100" s="7">
        <f>ROUND(51.13/E100,3)</f>
        <v>0.65600000000000003</v>
      </c>
      <c r="AB100" s="7">
        <f>ROUND(28/E100,3)</f>
        <v>0.35899999999999999</v>
      </c>
      <c r="AC100" s="7">
        <v>8482667</v>
      </c>
    </row>
    <row r="101" spans="1:29" ht="15" customHeight="1" x14ac:dyDescent="0.2">
      <c r="A101" s="7" t="s">
        <v>353</v>
      </c>
      <c r="B101" s="7" t="s">
        <v>92</v>
      </c>
      <c r="C101" s="7" t="s">
        <v>56</v>
      </c>
      <c r="D101" s="7">
        <v>33</v>
      </c>
      <c r="E101" s="7">
        <v>58</v>
      </c>
      <c r="F101" s="7">
        <f>ROUND(31/E101,3)</f>
        <v>0.53400000000000003</v>
      </c>
      <c r="G101" s="7">
        <f>ROUND(21/E101,3)</f>
        <v>0.36199999999999999</v>
      </c>
      <c r="H101" s="7">
        <f>ROUND(159/E101,3)</f>
        <v>2.7410000000000001</v>
      </c>
      <c r="I101" s="7">
        <f>ROUND(56/E101,3)</f>
        <v>0.96599999999999997</v>
      </c>
      <c r="J101" s="7">
        <f>ROUND(18/E101,3)</f>
        <v>0.31</v>
      </c>
      <c r="K101" s="7">
        <f t="shared" si="3"/>
        <v>9.9780000000000015</v>
      </c>
      <c r="L101" s="7">
        <f>ROUND(1159.0666666667/E101,3)</f>
        <v>19.984000000000002</v>
      </c>
      <c r="M101" s="7">
        <f>ROUND(28/E101,3)</f>
        <v>0.48299999999999998</v>
      </c>
      <c r="N101" s="7" t="s">
        <v>1392</v>
      </c>
      <c r="O101" s="7" t="s">
        <v>1393</v>
      </c>
      <c r="P101" s="7">
        <f>ROUND(291/E101,3)</f>
        <v>5.0170000000000003</v>
      </c>
      <c r="Q101" s="7">
        <f>ROUND(245/E101,3)</f>
        <v>4.2240000000000002</v>
      </c>
      <c r="R101" s="7">
        <f>ROUND(244/E101,3)</f>
        <v>4.2069999999999999</v>
      </c>
      <c r="S101" s="7">
        <f>ROUND(181/E101,3)</f>
        <v>3.121</v>
      </c>
      <c r="T101" s="7">
        <f>ROUND(36.01/E101,3)</f>
        <v>0.621</v>
      </c>
      <c r="U101" s="7">
        <f>ROUND(27/E101,3)</f>
        <v>0.46600000000000003</v>
      </c>
      <c r="V101" s="7">
        <f>ROUND(8/E101,3)</f>
        <v>0.13800000000000001</v>
      </c>
      <c r="W101" s="7">
        <f>ROUND(35.24/E101,3)</f>
        <v>0.60799999999999998</v>
      </c>
      <c r="X101" s="7">
        <v>0.64</v>
      </c>
      <c r="Y101" s="7">
        <v>0.59</v>
      </c>
      <c r="Z101" s="7">
        <v>0.6</v>
      </c>
      <c r="AA101" s="7">
        <f>ROUND(54.02/E101,3)</f>
        <v>0.93100000000000005</v>
      </c>
      <c r="AB101" s="7">
        <f>ROUND(48/E101,3)</f>
        <v>0.82799999999999996</v>
      </c>
      <c r="AC101" s="7">
        <v>8475786</v>
      </c>
    </row>
    <row r="102" spans="1:29" ht="15" customHeight="1" x14ac:dyDescent="0.2">
      <c r="A102" s="7" t="s">
        <v>355</v>
      </c>
      <c r="B102" s="7" t="s">
        <v>60</v>
      </c>
      <c r="C102" s="7" t="s">
        <v>138</v>
      </c>
      <c r="D102" s="7">
        <v>23</v>
      </c>
      <c r="E102" s="7">
        <v>82</v>
      </c>
      <c r="F102" s="7">
        <f>ROUND(25/E102,3)</f>
        <v>0.30499999999999999</v>
      </c>
      <c r="G102" s="7">
        <f>ROUND(27/E102,3)</f>
        <v>0.32900000000000001</v>
      </c>
      <c r="H102" s="7">
        <f>ROUND(169/E102,3)</f>
        <v>2.0609999999999999</v>
      </c>
      <c r="I102" s="7">
        <f>ROUND(78/E102,3)</f>
        <v>0.95099999999999996</v>
      </c>
      <c r="J102" s="7">
        <f>ROUND(31/E102,3)</f>
        <v>0.378</v>
      </c>
      <c r="K102" s="7">
        <f t="shared" si="3"/>
        <v>7.3285</v>
      </c>
      <c r="L102" s="7">
        <f>ROUND(1301.05/E102,3)</f>
        <v>15.866</v>
      </c>
      <c r="M102" s="7">
        <f>ROUND(25/E102,3)</f>
        <v>0.30499999999999999</v>
      </c>
      <c r="N102" s="7" t="s">
        <v>857</v>
      </c>
      <c r="O102" s="7" t="s">
        <v>1394</v>
      </c>
      <c r="P102" s="7">
        <f>ROUND(313/E102,3)</f>
        <v>3.8170000000000002</v>
      </c>
      <c r="Q102" s="7">
        <f>ROUND(252/E102,3)</f>
        <v>3.073</v>
      </c>
      <c r="R102" s="7">
        <f>ROUND(206/E102,3)</f>
        <v>2.512</v>
      </c>
      <c r="S102" s="7">
        <f>ROUND(133/E102,3)</f>
        <v>1.6220000000000001</v>
      </c>
      <c r="T102" s="7">
        <f>ROUND(29.5/E102,3)</f>
        <v>0.36</v>
      </c>
      <c r="U102" s="7">
        <f>ROUND(64/E102,3)</f>
        <v>0.78</v>
      </c>
      <c r="V102" s="7">
        <f>ROUND(46/E102,3)</f>
        <v>0.56100000000000005</v>
      </c>
      <c r="W102" s="7">
        <f>ROUND(26.69/E102,3)</f>
        <v>0.32500000000000001</v>
      </c>
      <c r="X102" s="7">
        <v>0.59</v>
      </c>
      <c r="Y102" s="7">
        <v>0.57999999999999996</v>
      </c>
      <c r="Z102" s="7">
        <v>0.57999999999999996</v>
      </c>
      <c r="AA102" s="7">
        <f>ROUND(56.65/E102,3)</f>
        <v>0.69099999999999995</v>
      </c>
      <c r="AB102" s="7">
        <f>ROUND(37/E102,3)</f>
        <v>0.45100000000000001</v>
      </c>
      <c r="AC102" s="7">
        <v>8482659</v>
      </c>
    </row>
    <row r="103" spans="1:29" ht="15" customHeight="1" x14ac:dyDescent="0.2">
      <c r="A103" s="7" t="s">
        <v>356</v>
      </c>
      <c r="B103" s="7" t="s">
        <v>357</v>
      </c>
      <c r="C103" s="7" t="s">
        <v>259</v>
      </c>
      <c r="D103" s="7">
        <v>24</v>
      </c>
      <c r="E103" s="7">
        <v>76</v>
      </c>
      <c r="F103" s="7">
        <f>ROUND(25/E103,3)</f>
        <v>0.32900000000000001</v>
      </c>
      <c r="G103" s="7">
        <f>ROUND(27/E103,3)</f>
        <v>0.35499999999999998</v>
      </c>
      <c r="H103" s="7">
        <f>ROUND(158/E103,3)</f>
        <v>2.0790000000000002</v>
      </c>
      <c r="I103" s="7">
        <f>ROUND(33/E103,3)</f>
        <v>0.434</v>
      </c>
      <c r="J103" s="7">
        <f>ROUND(42/E103,3)</f>
        <v>0.55300000000000005</v>
      </c>
      <c r="K103" s="7">
        <f t="shared" si="3"/>
        <v>7.6110000000000007</v>
      </c>
      <c r="L103" s="7">
        <f>ROUND(1385.95/E103,3)</f>
        <v>18.236000000000001</v>
      </c>
      <c r="M103" s="7">
        <f>ROUND(20/E103,3)</f>
        <v>0.26300000000000001</v>
      </c>
      <c r="N103" s="7" t="s">
        <v>662</v>
      </c>
      <c r="O103" s="7" t="s">
        <v>120</v>
      </c>
      <c r="P103" s="7">
        <f>ROUND(321/E103,3)</f>
        <v>4.2240000000000002</v>
      </c>
      <c r="Q103" s="7">
        <f>ROUND(266/E103,3)</f>
        <v>3.5</v>
      </c>
      <c r="R103" s="7">
        <f>ROUND(180/E103,3)</f>
        <v>2.3679999999999999</v>
      </c>
      <c r="S103" s="7">
        <f>ROUND(92/E103,3)</f>
        <v>1.2110000000000001</v>
      </c>
      <c r="T103" s="7">
        <f>ROUND(25.35/E103,3)</f>
        <v>0.33400000000000002</v>
      </c>
      <c r="U103" s="7">
        <f>ROUND(86/E103,3)</f>
        <v>1.1319999999999999</v>
      </c>
      <c r="V103" s="7">
        <f>ROUND(26/E103,3)</f>
        <v>0.34200000000000003</v>
      </c>
      <c r="W103" s="7">
        <f>ROUND(22.94/E103,3)</f>
        <v>0.30199999999999999</v>
      </c>
      <c r="X103" s="7">
        <v>0.49</v>
      </c>
      <c r="Y103" s="7">
        <v>0.5</v>
      </c>
      <c r="Z103" s="7">
        <v>0.52</v>
      </c>
      <c r="AA103" s="7">
        <f>ROUND(61.76/E103,3)</f>
        <v>0.81299999999999994</v>
      </c>
      <c r="AB103" s="7">
        <f>ROUND(26/E103,3)</f>
        <v>0.34200000000000003</v>
      </c>
      <c r="AC103" s="7">
        <v>8481656</v>
      </c>
    </row>
    <row r="104" spans="1:29" ht="15" customHeight="1" x14ac:dyDescent="0.2">
      <c r="A104" s="7" t="s">
        <v>360</v>
      </c>
      <c r="B104" s="7" t="s">
        <v>55</v>
      </c>
      <c r="C104" s="7" t="s">
        <v>61</v>
      </c>
      <c r="D104" s="7">
        <v>28</v>
      </c>
      <c r="E104" s="7">
        <v>71</v>
      </c>
      <c r="F104" s="7">
        <f>ROUND(23/E104,3)</f>
        <v>0.32400000000000001</v>
      </c>
      <c r="G104" s="7">
        <f>ROUND(29/E104,3)</f>
        <v>0.40799999999999997</v>
      </c>
      <c r="H104" s="7">
        <f>ROUND(125/E104,3)</f>
        <v>1.7609999999999999</v>
      </c>
      <c r="I104" s="7">
        <f>ROUND(50/E104,3)</f>
        <v>0.70399999999999996</v>
      </c>
      <c r="J104" s="7">
        <f>ROUND(47/E104,3)</f>
        <v>0.66200000000000003</v>
      </c>
      <c r="K104" s="7">
        <f t="shared" si="3"/>
        <v>7.8150000000000004</v>
      </c>
      <c r="L104" s="7">
        <f>ROUND(1229.4/E104,3)</f>
        <v>17.315000000000001</v>
      </c>
      <c r="M104" s="7">
        <f>ROUND(48/E104,3)</f>
        <v>0.67600000000000005</v>
      </c>
      <c r="N104" s="7" t="s">
        <v>1395</v>
      </c>
      <c r="O104" s="7" t="s">
        <v>1396</v>
      </c>
      <c r="P104" s="7">
        <f>ROUND(220/E104,3)</f>
        <v>3.0990000000000002</v>
      </c>
      <c r="Q104" s="7">
        <f>ROUND(184/E104,3)</f>
        <v>2.5920000000000001</v>
      </c>
      <c r="R104" s="7">
        <f>ROUND(167/E104,3)</f>
        <v>2.3519999999999999</v>
      </c>
      <c r="S104" s="7">
        <f>ROUND(104/E104,3)</f>
        <v>1.4650000000000001</v>
      </c>
      <c r="T104" s="7">
        <f>ROUND(23.92/E104,3)</f>
        <v>0.33700000000000002</v>
      </c>
      <c r="U104" s="7">
        <f>ROUND(50/E104,3)</f>
        <v>0.70399999999999996</v>
      </c>
      <c r="V104" s="7">
        <f>ROUND(25/E104,3)</f>
        <v>0.35199999999999998</v>
      </c>
      <c r="W104" s="7">
        <f>ROUND(22.87/E104,3)</f>
        <v>0.32200000000000001</v>
      </c>
      <c r="X104" s="7">
        <v>0.54</v>
      </c>
      <c r="Y104" s="7">
        <v>0.52</v>
      </c>
      <c r="Z104" s="7">
        <v>0.51</v>
      </c>
      <c r="AA104" s="7">
        <f>ROUND(62.19/E104,3)</f>
        <v>0.876</v>
      </c>
      <c r="AB104" s="7">
        <f>ROUND(38/E104,3)</f>
        <v>0.53500000000000003</v>
      </c>
      <c r="AC104" s="7">
        <v>8478519</v>
      </c>
    </row>
    <row r="105" spans="1:29" ht="15" customHeight="1" x14ac:dyDescent="0.2">
      <c r="A105" s="7" t="s">
        <v>363</v>
      </c>
      <c r="B105" s="7" t="s">
        <v>60</v>
      </c>
      <c r="C105" s="7" t="s">
        <v>220</v>
      </c>
      <c r="D105" s="7">
        <v>26</v>
      </c>
      <c r="E105" s="7">
        <v>81</v>
      </c>
      <c r="F105" s="7">
        <f>ROUND(28/E105,3)</f>
        <v>0.34599999999999997</v>
      </c>
      <c r="G105" s="7">
        <f>ROUND(23/E105,3)</f>
        <v>0.28399999999999997</v>
      </c>
      <c r="H105" s="7">
        <f>ROUND(221/E105,3)</f>
        <v>2.7280000000000002</v>
      </c>
      <c r="I105" s="7">
        <f>ROUND(166/E105,3)</f>
        <v>2.0489999999999999</v>
      </c>
      <c r="J105" s="7">
        <f>ROUND(50/E105,3)</f>
        <v>0.61699999999999999</v>
      </c>
      <c r="K105" s="7">
        <f t="shared" si="3"/>
        <v>8.8414999999999999</v>
      </c>
      <c r="L105" s="7">
        <f>ROUND(1364.2833333333/E105,3)</f>
        <v>16.843</v>
      </c>
      <c r="M105" s="7">
        <f>ROUND(32/E105,3)</f>
        <v>0.39500000000000002</v>
      </c>
      <c r="N105" s="7" t="s">
        <v>641</v>
      </c>
      <c r="O105" s="7" t="s">
        <v>1397</v>
      </c>
      <c r="P105" s="7">
        <f>ROUND(435/E105,3)</f>
        <v>5.37</v>
      </c>
      <c r="Q105" s="7">
        <f>ROUND(333/E105,3)</f>
        <v>4.1109999999999998</v>
      </c>
      <c r="R105" s="7">
        <f>ROUND(250/E105,3)</f>
        <v>3.0859999999999999</v>
      </c>
      <c r="S105" s="7">
        <f>ROUND(101/E105,3)</f>
        <v>1.2470000000000001</v>
      </c>
      <c r="T105" s="7">
        <f>ROUND(27.5/E105,3)</f>
        <v>0.34</v>
      </c>
      <c r="U105" s="7">
        <f>ROUND(89/E105,3)</f>
        <v>1.099</v>
      </c>
      <c r="V105" s="7">
        <f>ROUND(28/E105,3)</f>
        <v>0.34599999999999997</v>
      </c>
      <c r="W105" s="7">
        <f>ROUND(27.87/E105,3)</f>
        <v>0.34399999999999997</v>
      </c>
      <c r="X105" s="7">
        <v>0.57999999999999996</v>
      </c>
      <c r="Y105" s="7">
        <v>0.54</v>
      </c>
      <c r="Z105" s="7">
        <v>0.55000000000000004</v>
      </c>
      <c r="AA105" s="7">
        <f>ROUND(55/E105,3)</f>
        <v>0.67900000000000005</v>
      </c>
      <c r="AB105" s="7">
        <f>ROUND(29/E105,3)</f>
        <v>0.35799999999999998</v>
      </c>
      <c r="AC105" s="7">
        <v>8480015</v>
      </c>
    </row>
    <row r="106" spans="1:29" ht="15" customHeight="1" x14ac:dyDescent="0.2">
      <c r="A106" s="7" t="s">
        <v>367</v>
      </c>
      <c r="B106" s="7" t="s">
        <v>92</v>
      </c>
      <c r="C106" s="7" t="s">
        <v>180</v>
      </c>
      <c r="D106" s="7">
        <v>24</v>
      </c>
      <c r="E106" s="7">
        <v>59</v>
      </c>
      <c r="F106" s="7">
        <f>ROUND(22/E106,3)</f>
        <v>0.373</v>
      </c>
      <c r="G106" s="7">
        <f>ROUND(29/E106,3)</f>
        <v>0.49199999999999999</v>
      </c>
      <c r="H106" s="7">
        <f>ROUND(162/E106,3)</f>
        <v>2.746</v>
      </c>
      <c r="I106" s="7">
        <f>ROUND(129/E106,3)</f>
        <v>2.1859999999999999</v>
      </c>
      <c r="J106" s="7">
        <f>ROUND(41/E106,3)</f>
        <v>0.69499999999999995</v>
      </c>
      <c r="K106" s="7">
        <f t="shared" si="3"/>
        <v>10.47</v>
      </c>
      <c r="L106" s="7">
        <f>ROUND(1076.9833333333/E106,3)</f>
        <v>18.254000000000001</v>
      </c>
      <c r="M106" s="7">
        <f>ROUND(20/E106,3)</f>
        <v>0.33900000000000002</v>
      </c>
      <c r="N106" s="7" t="s">
        <v>816</v>
      </c>
      <c r="O106" s="7" t="s">
        <v>1398</v>
      </c>
      <c r="P106" s="7">
        <f>ROUND(296/E106,3)</f>
        <v>5.0170000000000003</v>
      </c>
      <c r="Q106" s="7">
        <f>ROUND(218/E106,3)</f>
        <v>3.6949999999999998</v>
      </c>
      <c r="R106" s="7">
        <f>ROUND(174/E106,3)</f>
        <v>2.9489999999999998</v>
      </c>
      <c r="S106" s="7">
        <f>ROUND(61/E106,3)</f>
        <v>1.034</v>
      </c>
      <c r="T106" s="7">
        <f>ROUND(17.98/E106,3)</f>
        <v>0.30499999999999999</v>
      </c>
      <c r="U106" s="7">
        <f>ROUND(42/E106,3)</f>
        <v>0.71199999999999997</v>
      </c>
      <c r="V106" s="7">
        <f>ROUND(13/E106,3)</f>
        <v>0.22</v>
      </c>
      <c r="W106" s="7">
        <f>ROUND(18.61/E106,3)</f>
        <v>0.315</v>
      </c>
      <c r="X106" s="7">
        <v>0.56000000000000005</v>
      </c>
      <c r="Y106" s="7">
        <v>0.54</v>
      </c>
      <c r="Z106" s="7">
        <v>0.53</v>
      </c>
      <c r="AA106" s="7">
        <f>ROUND(51.58/E106,3)</f>
        <v>0.874</v>
      </c>
      <c r="AB106" s="7">
        <f>ROUND(19/E106,3)</f>
        <v>0.32200000000000001</v>
      </c>
      <c r="AC106" s="7">
        <v>8482077</v>
      </c>
    </row>
    <row r="107" spans="1:29" ht="15" customHeight="1" x14ac:dyDescent="0.2">
      <c r="A107" s="7" t="s">
        <v>368</v>
      </c>
      <c r="B107" s="7" t="s">
        <v>60</v>
      </c>
      <c r="C107" s="7" t="s">
        <v>180</v>
      </c>
      <c r="D107" s="7">
        <v>21</v>
      </c>
      <c r="E107" s="7">
        <v>70</v>
      </c>
      <c r="F107" s="7">
        <f>ROUND(21/E107,3)</f>
        <v>0.3</v>
      </c>
      <c r="G107" s="7">
        <f>ROUND(30/E107,3)</f>
        <v>0.42899999999999999</v>
      </c>
      <c r="H107" s="7">
        <f>ROUND(169/E107,3)</f>
        <v>2.4140000000000001</v>
      </c>
      <c r="I107" s="7">
        <f>ROUND(71/E107,3)</f>
        <v>1.014</v>
      </c>
      <c r="J107" s="7">
        <f>ROUND(39/E107,3)</f>
        <v>0.55700000000000005</v>
      </c>
      <c r="K107" s="7">
        <f t="shared" si="3"/>
        <v>8.452</v>
      </c>
      <c r="L107" s="7">
        <f>ROUND(1168.7/E107,3)</f>
        <v>16.696000000000002</v>
      </c>
      <c r="M107" s="7">
        <f>ROUND(18/E107,3)</f>
        <v>0.25700000000000001</v>
      </c>
      <c r="N107" s="7" t="s">
        <v>1399</v>
      </c>
      <c r="O107" s="7" t="s">
        <v>133</v>
      </c>
      <c r="P107" s="7">
        <f>ROUND(335/E107,3)</f>
        <v>4.7859999999999996</v>
      </c>
      <c r="Q107" s="7">
        <f>ROUND(260/E107,3)</f>
        <v>3.714</v>
      </c>
      <c r="R107" s="7">
        <f>ROUND(192/E107,3)</f>
        <v>2.7429999999999999</v>
      </c>
      <c r="S107" s="7">
        <f>ROUND(77/E107,3)</f>
        <v>1.1000000000000001</v>
      </c>
      <c r="T107" s="7">
        <f>ROUND(24.21/E107,3)</f>
        <v>0.34599999999999997</v>
      </c>
      <c r="U107" s="7">
        <f>ROUND(61/E107,3)</f>
        <v>0.871</v>
      </c>
      <c r="V107" s="7">
        <f>ROUND(24/E107,3)</f>
        <v>0.34300000000000003</v>
      </c>
      <c r="W107" s="7">
        <f>ROUND(20.11/E107,3)</f>
        <v>0.28699999999999998</v>
      </c>
      <c r="X107" s="7">
        <v>0.55000000000000004</v>
      </c>
      <c r="Y107" s="7">
        <v>0.52</v>
      </c>
      <c r="Z107" s="7">
        <v>0.52</v>
      </c>
      <c r="AA107" s="7">
        <f>ROUND(47.48/E107,3)</f>
        <v>0.67800000000000005</v>
      </c>
      <c r="AB107" s="7">
        <f>ROUND(20/E107,3)</f>
        <v>0.28599999999999998</v>
      </c>
      <c r="AC107" s="7">
        <v>8483516</v>
      </c>
    </row>
    <row r="108" spans="1:29" ht="15" customHeight="1" x14ac:dyDescent="0.2">
      <c r="A108" s="7" t="s">
        <v>369</v>
      </c>
      <c r="B108" s="7" t="s">
        <v>60</v>
      </c>
      <c r="C108" s="7" t="s">
        <v>138</v>
      </c>
      <c r="D108" s="7">
        <v>24</v>
      </c>
      <c r="E108" s="7">
        <v>82</v>
      </c>
      <c r="F108" s="7">
        <f>ROUND(20/E108,3)</f>
        <v>0.24399999999999999</v>
      </c>
      <c r="G108" s="7">
        <f>ROUND(31/E108,3)</f>
        <v>0.378</v>
      </c>
      <c r="H108" s="7">
        <f>ROUND(191/E108,3)</f>
        <v>2.3290000000000002</v>
      </c>
      <c r="I108" s="7">
        <f>ROUND(52/E108,3)</f>
        <v>0.63400000000000001</v>
      </c>
      <c r="J108" s="7">
        <f>ROUND(25/E108,3)</f>
        <v>0.30499999999999999</v>
      </c>
      <c r="K108" s="7">
        <f t="shared" si="3"/>
        <v>7.1709999999999994</v>
      </c>
      <c r="L108" s="7">
        <f>ROUND(1283.8333333333/E108,3)</f>
        <v>15.657</v>
      </c>
      <c r="M108" s="7">
        <f>ROUND(18/E108,3)</f>
        <v>0.22</v>
      </c>
      <c r="N108" s="7" t="s">
        <v>1399</v>
      </c>
      <c r="O108" s="7" t="s">
        <v>1400</v>
      </c>
      <c r="P108" s="7">
        <f>ROUND(376/E108,3)</f>
        <v>4.585</v>
      </c>
      <c r="Q108" s="7">
        <f>ROUND(295/E108,3)</f>
        <v>3.5979999999999999</v>
      </c>
      <c r="R108" s="7">
        <f>ROUND(210/E108,3)</f>
        <v>2.5609999999999999</v>
      </c>
      <c r="S108" s="7">
        <f>ROUND(66/E108,3)</f>
        <v>0.80500000000000005</v>
      </c>
      <c r="T108" s="7">
        <f>ROUND(20.98/E108,3)</f>
        <v>0.25600000000000001</v>
      </c>
      <c r="U108" s="7">
        <f>ROUND(72/E108,3)</f>
        <v>0.878</v>
      </c>
      <c r="V108" s="7">
        <f>ROUND(14/E108,3)</f>
        <v>0.17100000000000001</v>
      </c>
      <c r="W108" s="7">
        <f>ROUND(20.79/E108,3)</f>
        <v>0.254</v>
      </c>
      <c r="X108" s="7">
        <v>0.52</v>
      </c>
      <c r="Y108" s="7">
        <v>0.53</v>
      </c>
      <c r="Z108" s="7">
        <v>0.53</v>
      </c>
      <c r="AA108" s="7">
        <f>ROUND(49.46/E108,3)</f>
        <v>0.60299999999999998</v>
      </c>
      <c r="AB108" s="7">
        <f>ROUND(16/E108,3)</f>
        <v>0.19500000000000001</v>
      </c>
      <c r="AC108" s="7">
        <v>8482097</v>
      </c>
    </row>
    <row r="109" spans="1:29" ht="15" customHeight="1" x14ac:dyDescent="0.2">
      <c r="A109" s="7" t="s">
        <v>370</v>
      </c>
      <c r="B109" s="7" t="s">
        <v>60</v>
      </c>
      <c r="C109" s="7" t="s">
        <v>220</v>
      </c>
      <c r="D109" s="7">
        <v>20</v>
      </c>
      <c r="E109" s="7">
        <v>81</v>
      </c>
      <c r="F109" s="7">
        <f>ROUND(20/E109,3)</f>
        <v>0.247</v>
      </c>
      <c r="G109" s="7">
        <f>ROUND(31/E109,3)</f>
        <v>0.38300000000000001</v>
      </c>
      <c r="H109" s="7">
        <f>ROUND(163/E109,3)</f>
        <v>2.012</v>
      </c>
      <c r="I109" s="7">
        <f>ROUND(33/E109,3)</f>
        <v>0.40699999999999997</v>
      </c>
      <c r="J109" s="7">
        <f>ROUND(19/E109,3)</f>
        <v>0.23499999999999999</v>
      </c>
      <c r="K109" s="7">
        <f t="shared" si="3"/>
        <v>6.7244999999999999</v>
      </c>
      <c r="L109" s="7">
        <f>ROUND(1202.05/E109,3)</f>
        <v>14.84</v>
      </c>
      <c r="M109" s="7">
        <f>ROUND(71/E109,3)</f>
        <v>0.877</v>
      </c>
      <c r="N109" s="7" t="s">
        <v>1401</v>
      </c>
      <c r="O109" s="7" t="s">
        <v>1402</v>
      </c>
      <c r="P109" s="7">
        <f>ROUND(299/E109,3)</f>
        <v>3.6909999999999998</v>
      </c>
      <c r="Q109" s="7">
        <f>ROUND(232/E109,3)</f>
        <v>2.8639999999999999</v>
      </c>
      <c r="R109" s="7">
        <f>ROUND(165/E109,3)</f>
        <v>2.0369999999999999</v>
      </c>
      <c r="S109" s="7">
        <f>ROUND(84/E109,3)</f>
        <v>1.0369999999999999</v>
      </c>
      <c r="T109" s="7">
        <f>ROUND(20.49/E109,3)</f>
        <v>0.253</v>
      </c>
      <c r="U109" s="7">
        <f>ROUND(87/E109,3)</f>
        <v>1.0740000000000001</v>
      </c>
      <c r="V109" s="7">
        <f>ROUND(22/E109,3)</f>
        <v>0.27200000000000002</v>
      </c>
      <c r="W109" s="7">
        <f>ROUND(17.68/E109,3)</f>
        <v>0.218</v>
      </c>
      <c r="X109" s="7">
        <v>0.57999999999999996</v>
      </c>
      <c r="Y109" s="7">
        <v>0.56999999999999995</v>
      </c>
      <c r="Z109" s="7">
        <v>0.56999999999999995</v>
      </c>
      <c r="AA109" s="7">
        <f>ROUND(46.57/E109,3)</f>
        <v>0.57499999999999996</v>
      </c>
      <c r="AB109" s="7">
        <f>ROUND(21/E109,3)</f>
        <v>0.25900000000000001</v>
      </c>
      <c r="AC109" s="7">
        <v>8484387</v>
      </c>
    </row>
    <row r="110" spans="1:29" ht="15" customHeight="1" x14ac:dyDescent="0.2">
      <c r="A110" s="7" t="s">
        <v>371</v>
      </c>
      <c r="B110" s="7" t="s">
        <v>55</v>
      </c>
      <c r="D110" s="7">
        <v>30</v>
      </c>
      <c r="K110" s="7"/>
      <c r="AC110" s="7">
        <v>8477493</v>
      </c>
    </row>
    <row r="112" spans="1:29" ht="15" customHeight="1" x14ac:dyDescent="0.2">
      <c r="A112" s="4" t="s">
        <v>374</v>
      </c>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spans="1:29" ht="15" customHeight="1" x14ac:dyDescent="0.2">
      <c r="A113" s="6" t="s">
        <v>25</v>
      </c>
      <c r="B113" s="6" t="s">
        <v>26</v>
      </c>
      <c r="C113" s="6" t="s">
        <v>27</v>
      </c>
      <c r="D113" s="6" t="s">
        <v>28</v>
      </c>
      <c r="E113" s="6" t="s">
        <v>29</v>
      </c>
      <c r="F113" s="6" t="s">
        <v>30</v>
      </c>
      <c r="G113" s="6" t="s">
        <v>31</v>
      </c>
      <c r="H113" s="6" t="s">
        <v>32</v>
      </c>
      <c r="I113" s="6" t="s">
        <v>33</v>
      </c>
      <c r="J113" s="6" t="s">
        <v>34</v>
      </c>
      <c r="K113" s="6" t="s">
        <v>35</v>
      </c>
      <c r="L113" s="6" t="s">
        <v>36</v>
      </c>
      <c r="M113" s="6" t="s">
        <v>37</v>
      </c>
      <c r="N113" s="6" t="s">
        <v>38</v>
      </c>
      <c r="O113" s="6" t="s">
        <v>39</v>
      </c>
      <c r="P113" s="6" t="s">
        <v>40</v>
      </c>
      <c r="Q113" s="6" t="s">
        <v>41</v>
      </c>
      <c r="R113" s="6" t="s">
        <v>42</v>
      </c>
      <c r="S113" s="6" t="s">
        <v>43</v>
      </c>
      <c r="T113" s="6" t="s">
        <v>44</v>
      </c>
      <c r="U113" s="6" t="s">
        <v>45</v>
      </c>
      <c r="V113" s="6" t="s">
        <v>46</v>
      </c>
      <c r="W113" s="6" t="s">
        <v>47</v>
      </c>
      <c r="X113" s="6" t="s">
        <v>48</v>
      </c>
      <c r="Y113" s="6" t="s">
        <v>49</v>
      </c>
      <c r="Z113" s="6" t="s">
        <v>50</v>
      </c>
      <c r="AA113" s="6" t="s">
        <v>51</v>
      </c>
      <c r="AB113" s="6" t="s">
        <v>52</v>
      </c>
      <c r="AC113" s="6" t="s">
        <v>53</v>
      </c>
    </row>
    <row r="114" spans="1:29" ht="15" customHeight="1" x14ac:dyDescent="0.2">
      <c r="A114" s="7" t="s">
        <v>375</v>
      </c>
      <c r="B114" s="7" t="s">
        <v>376</v>
      </c>
      <c r="C114" s="7" t="s">
        <v>56</v>
      </c>
      <c r="D114" s="7">
        <v>25</v>
      </c>
      <c r="E114" s="7">
        <v>82</v>
      </c>
      <c r="F114" s="7">
        <f>ROUND(21/E114,3)</f>
        <v>0.25600000000000001</v>
      </c>
      <c r="G114" s="7">
        <f>ROUND(74/E114,3)</f>
        <v>0.90200000000000002</v>
      </c>
      <c r="H114" s="7">
        <f>ROUND(221/E114,3)</f>
        <v>2.6949999999999998</v>
      </c>
      <c r="I114" s="7">
        <f>ROUND(29/E114,3)</f>
        <v>0.35399999999999998</v>
      </c>
      <c r="J114" s="7">
        <f>ROUND(101/E114,3)</f>
        <v>1.232</v>
      </c>
      <c r="K114" s="7">
        <f t="shared" ref="K114:K145" si="4">8*F114+6*G114+1*H114+1*J114+0.5*I114</f>
        <v>11.563999999999998</v>
      </c>
      <c r="L114" s="7">
        <f>ROUND(2023.5833333333/E114,3)</f>
        <v>24.678000000000001</v>
      </c>
      <c r="M114" s="7">
        <f>ROUND(30/E114,3)</f>
        <v>0.36599999999999999</v>
      </c>
      <c r="N114" s="7" t="s">
        <v>1175</v>
      </c>
      <c r="O114" s="7" t="s">
        <v>1403</v>
      </c>
      <c r="P114" s="7">
        <f>ROUND(468/E114,3)</f>
        <v>5.7069999999999999</v>
      </c>
      <c r="Q114" s="7">
        <f>ROUND(312/E114,3)</f>
        <v>3.8050000000000002</v>
      </c>
      <c r="R114" s="7">
        <f>ROUND(171/E114,3)</f>
        <v>2.085</v>
      </c>
      <c r="S114" s="7">
        <f>ROUND(17/E114,3)</f>
        <v>0.20699999999999999</v>
      </c>
      <c r="T114" s="7">
        <f>ROUND(15.24/E114,3)</f>
        <v>0.186</v>
      </c>
      <c r="U114" s="7">
        <f>ROUND(123/E114,3)</f>
        <v>1.5</v>
      </c>
      <c r="V114" s="7">
        <f>ROUND(33/E114,3)</f>
        <v>0.40200000000000002</v>
      </c>
      <c r="W114" s="7">
        <f>ROUND(14.91/E114,3)</f>
        <v>0.182</v>
      </c>
      <c r="X114" s="7">
        <v>0.57999999999999996</v>
      </c>
      <c r="Y114" s="7">
        <v>0.57999999999999996</v>
      </c>
      <c r="Z114" s="7">
        <v>0.57999999999999996</v>
      </c>
      <c r="AA114" s="7">
        <f>ROUND(101.13/E114,3)</f>
        <v>1.2330000000000001</v>
      </c>
      <c r="AB114" s="7">
        <f>ROUND(7/E114,3)</f>
        <v>8.5000000000000006E-2</v>
      </c>
      <c r="AC114" s="7">
        <v>8480803</v>
      </c>
    </row>
    <row r="115" spans="1:29" ht="15" customHeight="1" x14ac:dyDescent="0.2">
      <c r="A115" s="7" t="s">
        <v>379</v>
      </c>
      <c r="B115" s="7" t="s">
        <v>376</v>
      </c>
      <c r="C115" s="7" t="s">
        <v>380</v>
      </c>
      <c r="D115" s="7">
        <v>28</v>
      </c>
      <c r="E115" s="7">
        <v>75</v>
      </c>
      <c r="F115" s="7">
        <f>ROUND(22/E115,3)</f>
        <v>0.29299999999999998</v>
      </c>
      <c r="G115" s="7">
        <f>ROUND(59/E115,3)</f>
        <v>0.78700000000000003</v>
      </c>
      <c r="H115" s="7">
        <f>ROUND(260/E115,3)</f>
        <v>3.4670000000000001</v>
      </c>
      <c r="I115" s="7">
        <f>ROUND(30/E115,3)</f>
        <v>0.4</v>
      </c>
      <c r="J115" s="7">
        <f>ROUND(94/E115,3)</f>
        <v>1.2529999999999999</v>
      </c>
      <c r="K115" s="7">
        <f t="shared" si="4"/>
        <v>11.986000000000001</v>
      </c>
      <c r="L115" s="7">
        <f>ROUND(1996.0666666667/E115,3)</f>
        <v>26.614000000000001</v>
      </c>
      <c r="M115" s="7">
        <f>ROUND(18/E115,3)</f>
        <v>0.24</v>
      </c>
      <c r="N115" s="7" t="s">
        <v>1404</v>
      </c>
      <c r="O115" s="7" t="s">
        <v>1405</v>
      </c>
      <c r="P115" s="7">
        <f>ROUND(590/E115,3)</f>
        <v>7.867</v>
      </c>
      <c r="Q115" s="7">
        <f>ROUND(386/E115,3)</f>
        <v>5.1470000000000002</v>
      </c>
      <c r="R115" s="7">
        <f>ROUND(213/E115,3)</f>
        <v>2.84</v>
      </c>
      <c r="S115" s="7">
        <f>ROUND(22/E115,3)</f>
        <v>0.29299999999999998</v>
      </c>
      <c r="T115" s="7">
        <f>ROUND(15.29/E115,3)</f>
        <v>0.20399999999999999</v>
      </c>
      <c r="U115" s="7">
        <f>ROUND(125/E115,3)</f>
        <v>1.667</v>
      </c>
      <c r="V115" s="7">
        <f>ROUND(35/E115,3)</f>
        <v>0.46700000000000003</v>
      </c>
      <c r="W115" s="7">
        <f>ROUND(15.96/E115,3)</f>
        <v>0.21299999999999999</v>
      </c>
      <c r="X115" s="7">
        <v>0.55000000000000004</v>
      </c>
      <c r="Y115" s="7">
        <v>0.56000000000000005</v>
      </c>
      <c r="Z115" s="7">
        <v>0.55000000000000004</v>
      </c>
      <c r="AA115" s="7">
        <f>ROUND(92.55/E115,3)</f>
        <v>1.234</v>
      </c>
      <c r="AB115" s="7">
        <f>ROUND(11/E115,3)</f>
        <v>0.14699999999999999</v>
      </c>
      <c r="AC115" s="7">
        <v>8478460</v>
      </c>
    </row>
    <row r="116" spans="1:29" ht="15" customHeight="1" x14ac:dyDescent="0.2">
      <c r="A116" s="7" t="s">
        <v>383</v>
      </c>
      <c r="B116" s="7" t="s">
        <v>376</v>
      </c>
      <c r="C116" s="7" t="s">
        <v>66</v>
      </c>
      <c r="D116" s="7">
        <v>26</v>
      </c>
      <c r="E116" s="7">
        <v>75</v>
      </c>
      <c r="F116" s="7">
        <f>ROUND(20/E116,3)</f>
        <v>0.26700000000000002</v>
      </c>
      <c r="G116" s="7">
        <f>ROUND(59/E116,3)</f>
        <v>0.78700000000000003</v>
      </c>
      <c r="H116" s="7">
        <f>ROUND(200/E116,3)</f>
        <v>2.6669999999999998</v>
      </c>
      <c r="I116" s="7">
        <f>ROUND(35/E116,3)</f>
        <v>0.46700000000000003</v>
      </c>
      <c r="J116" s="7">
        <f>ROUND(118/E116,3)</f>
        <v>1.573</v>
      </c>
      <c r="K116" s="7">
        <f t="shared" si="4"/>
        <v>11.3315</v>
      </c>
      <c r="L116" s="7">
        <f>ROUND(1863.5666666667/E116,3)</f>
        <v>24.847999999999999</v>
      </c>
      <c r="M116" s="7">
        <f>ROUND(24/E116,3)</f>
        <v>0.32</v>
      </c>
      <c r="N116" s="7" t="s">
        <v>1406</v>
      </c>
      <c r="O116" s="7" t="s">
        <v>810</v>
      </c>
      <c r="P116" s="7">
        <f>ROUND(547/E116,3)</f>
        <v>7.2930000000000001</v>
      </c>
      <c r="Q116" s="7">
        <f>ROUND(327/E116,3)</f>
        <v>4.3600000000000003</v>
      </c>
      <c r="R116" s="7">
        <f>ROUND(196/E116,3)</f>
        <v>2.613</v>
      </c>
      <c r="S116" s="7">
        <f>ROUND(22/E116,3)</f>
        <v>0.29299999999999998</v>
      </c>
      <c r="T116" s="7">
        <f>ROUND(16.76/E116,3)</f>
        <v>0.223</v>
      </c>
      <c r="U116" s="7">
        <f>ROUND(86/E116,3)</f>
        <v>1.147</v>
      </c>
      <c r="V116" s="7">
        <f>ROUND(40/E116,3)</f>
        <v>0.53300000000000003</v>
      </c>
      <c r="W116" s="7">
        <f>ROUND(18.36/E116,3)</f>
        <v>0.245</v>
      </c>
      <c r="X116" s="7">
        <v>0.6</v>
      </c>
      <c r="Y116" s="7">
        <v>0.57999999999999996</v>
      </c>
      <c r="Z116" s="7">
        <v>0.56999999999999995</v>
      </c>
      <c r="AA116" s="7">
        <f>ROUND(92.98/E116,3)</f>
        <v>1.24</v>
      </c>
      <c r="AB116" s="7">
        <f>ROUND(16/E116,3)</f>
        <v>0.21299999999999999</v>
      </c>
      <c r="AC116" s="7">
        <v>8480069</v>
      </c>
    </row>
    <row r="117" spans="1:29" ht="15" customHeight="1" x14ac:dyDescent="0.2">
      <c r="A117" s="7" t="s">
        <v>386</v>
      </c>
      <c r="B117" s="7" t="s">
        <v>376</v>
      </c>
      <c r="C117" s="7" t="s">
        <v>76</v>
      </c>
      <c r="D117" s="7">
        <v>21</v>
      </c>
      <c r="E117" s="7">
        <v>82</v>
      </c>
      <c r="F117" s="7">
        <f>ROUND(12/E117,3)</f>
        <v>0.14599999999999999</v>
      </c>
      <c r="G117" s="7">
        <f>ROUND(66/E117,3)</f>
        <v>0.80500000000000005</v>
      </c>
      <c r="H117" s="7">
        <f>ROUND(124/E117,3)</f>
        <v>1.512</v>
      </c>
      <c r="I117" s="7">
        <f>ROUND(31/E117,3)</f>
        <v>0.378</v>
      </c>
      <c r="J117" s="7">
        <f>ROUND(137/E117,3)</f>
        <v>1.671</v>
      </c>
      <c r="K117" s="7">
        <f t="shared" si="4"/>
        <v>9.3699999999999992</v>
      </c>
      <c r="L117" s="7">
        <f>ROUND(1949.3166666667/E117,3)</f>
        <v>23.771999999999998</v>
      </c>
      <c r="M117" s="7">
        <f>ROUND(34/E117,3)</f>
        <v>0.41499999999999998</v>
      </c>
      <c r="N117" s="7" t="s">
        <v>1407</v>
      </c>
      <c r="O117" s="7" t="s">
        <v>991</v>
      </c>
      <c r="P117" s="7">
        <f>ROUND(301/E117,3)</f>
        <v>3.6709999999999998</v>
      </c>
      <c r="Q117" s="7">
        <f>ROUND(175/E117,3)</f>
        <v>2.1339999999999999</v>
      </c>
      <c r="R117" s="7">
        <f>ROUND(124/E117,3)</f>
        <v>1.512</v>
      </c>
      <c r="S117" s="7">
        <f>ROUND(28/E117,3)</f>
        <v>0.34100000000000003</v>
      </c>
      <c r="T117" s="7">
        <f>ROUND(10.75/E117,3)</f>
        <v>0.13100000000000001</v>
      </c>
      <c r="U117" s="7">
        <f>ROUND(93/E117,3)</f>
        <v>1.1339999999999999</v>
      </c>
      <c r="V117" s="7">
        <f>ROUND(43/E117,3)</f>
        <v>0.52400000000000002</v>
      </c>
      <c r="W117" s="7">
        <f>ROUND(10.67/E117,3)</f>
        <v>0.13</v>
      </c>
      <c r="X117" s="7">
        <v>0.6</v>
      </c>
      <c r="Y117" s="7">
        <v>0.56999999999999995</v>
      </c>
      <c r="Z117" s="7">
        <v>0.57999999999999996</v>
      </c>
      <c r="AA117" s="7">
        <f>ROUND(80.7/E117,3)</f>
        <v>0.98399999999999999</v>
      </c>
      <c r="AB117" s="7">
        <f>ROUND(11/E117,3)</f>
        <v>0.13400000000000001</v>
      </c>
      <c r="AC117" s="7">
        <v>8483457</v>
      </c>
    </row>
    <row r="118" spans="1:29" ht="15" customHeight="1" x14ac:dyDescent="0.2">
      <c r="A118" s="7" t="s">
        <v>387</v>
      </c>
      <c r="B118" s="7" t="s">
        <v>376</v>
      </c>
      <c r="C118" s="7" t="s">
        <v>1408</v>
      </c>
      <c r="D118" s="7">
        <v>25</v>
      </c>
      <c r="E118" s="7">
        <v>74</v>
      </c>
      <c r="F118" s="7">
        <f>ROUND(7/E118,3)</f>
        <v>9.5000000000000001E-2</v>
      </c>
      <c r="G118" s="7">
        <f>ROUND(69/E118,3)</f>
        <v>0.93200000000000005</v>
      </c>
      <c r="H118" s="7">
        <f>ROUND(187/E118,3)</f>
        <v>2.5270000000000001</v>
      </c>
      <c r="I118" s="7">
        <f>ROUND(7/E118,3)</f>
        <v>9.5000000000000001E-2</v>
      </c>
      <c r="J118" s="7">
        <f>ROUND(87/E118,3)</f>
        <v>1.1759999999999999</v>
      </c>
      <c r="K118" s="7">
        <f t="shared" si="4"/>
        <v>10.102500000000001</v>
      </c>
      <c r="L118" s="7">
        <f>ROUND(2052.5833333333/E118,3)</f>
        <v>27.738</v>
      </c>
      <c r="M118" s="7">
        <f>ROUND(32/E118,3)</f>
        <v>0.432</v>
      </c>
      <c r="N118" s="7" t="s">
        <v>962</v>
      </c>
      <c r="O118" s="7" t="s">
        <v>410</v>
      </c>
      <c r="P118" s="7">
        <f>ROUND(477/E118,3)</f>
        <v>6.4459999999999997</v>
      </c>
      <c r="Q118" s="7">
        <f>ROUND(287/E118,3)</f>
        <v>3.8780000000000001</v>
      </c>
      <c r="R118" s="7">
        <f>ROUND(181/E118,3)</f>
        <v>2.4460000000000002</v>
      </c>
      <c r="S118" s="7">
        <f>ROUND(15/E118,3)</f>
        <v>0.20300000000000001</v>
      </c>
      <c r="T118" s="7">
        <f>ROUND(12.36/E118,3)</f>
        <v>0.16700000000000001</v>
      </c>
      <c r="U118" s="7">
        <f>ROUND(116/E118,3)</f>
        <v>1.5680000000000001</v>
      </c>
      <c r="V118" s="7">
        <f>ROUND(34/E118,3)</f>
        <v>0.45900000000000002</v>
      </c>
      <c r="W118" s="7">
        <f>ROUND(11.22/E118,3)</f>
        <v>0.152</v>
      </c>
      <c r="X118" s="7">
        <v>0.6</v>
      </c>
      <c r="Y118" s="7">
        <v>0.6</v>
      </c>
      <c r="Z118" s="7">
        <v>0.6</v>
      </c>
      <c r="AA118" s="7">
        <f>ROUND(79.17/E118,3)</f>
        <v>1.07</v>
      </c>
      <c r="AB118" s="7">
        <f>ROUND(7/E118,3)</f>
        <v>9.5000000000000001E-2</v>
      </c>
      <c r="AC118" s="7">
        <v>8480800</v>
      </c>
    </row>
    <row r="119" spans="1:29" ht="15" customHeight="1" x14ac:dyDescent="0.2">
      <c r="A119" s="7" t="s">
        <v>390</v>
      </c>
      <c r="B119" s="7" t="s">
        <v>376</v>
      </c>
      <c r="C119" s="7" t="s">
        <v>138</v>
      </c>
      <c r="D119" s="7">
        <v>25</v>
      </c>
      <c r="E119" s="7">
        <v>77</v>
      </c>
      <c r="F119" s="7">
        <f>ROUND(19/E119,3)</f>
        <v>0.247</v>
      </c>
      <c r="G119" s="7">
        <f>ROUND(55/E119,3)</f>
        <v>0.71399999999999997</v>
      </c>
      <c r="H119" s="7">
        <f>ROUND(195/E119,3)</f>
        <v>2.532</v>
      </c>
      <c r="I119" s="7">
        <f>ROUND(67/E119,3)</f>
        <v>0.87</v>
      </c>
      <c r="J119" s="7">
        <f>ROUND(79/E119,3)</f>
        <v>1.026</v>
      </c>
      <c r="K119" s="7">
        <f t="shared" si="4"/>
        <v>10.253</v>
      </c>
      <c r="L119" s="7">
        <f>ROUND(1862.3/E119,3)</f>
        <v>24.186</v>
      </c>
      <c r="M119" s="7">
        <f>ROUND(76/E119,3)</f>
        <v>0.98699999999999999</v>
      </c>
      <c r="N119" s="7" t="s">
        <v>1409</v>
      </c>
      <c r="O119" s="7" t="s">
        <v>1410</v>
      </c>
      <c r="P119" s="7">
        <f>ROUND(437/E119,3)</f>
        <v>5.6749999999999998</v>
      </c>
      <c r="Q119" s="7">
        <f>ROUND(284/E119,3)</f>
        <v>3.6880000000000002</v>
      </c>
      <c r="R119" s="7">
        <f>ROUND(154/E119,3)</f>
        <v>2</v>
      </c>
      <c r="S119" s="7">
        <f>ROUND(34/E119,3)</f>
        <v>0.442</v>
      </c>
      <c r="T119" s="7">
        <f>ROUND(16.15/E119,3)</f>
        <v>0.21</v>
      </c>
      <c r="U119" s="7">
        <f>ROUND(115/E119,3)</f>
        <v>1.494</v>
      </c>
      <c r="V119" s="7">
        <f>ROUND(32/E119,3)</f>
        <v>0.41599999999999998</v>
      </c>
      <c r="W119" s="7">
        <f>ROUND(14.75/E119,3)</f>
        <v>0.192</v>
      </c>
      <c r="X119" s="7">
        <v>0.56999999999999995</v>
      </c>
      <c r="Y119" s="7">
        <v>0.56000000000000005</v>
      </c>
      <c r="Z119" s="7">
        <v>0.56000000000000005</v>
      </c>
      <c r="AA119" s="7">
        <f>ROUND(74.57/E119,3)</f>
        <v>0.96799999999999997</v>
      </c>
      <c r="AB119" s="7">
        <f>ROUND(10/E119,3)</f>
        <v>0.13</v>
      </c>
      <c r="AC119" s="7">
        <v>8480839</v>
      </c>
    </row>
    <row r="120" spans="1:29" ht="15" customHeight="1" x14ac:dyDescent="0.2">
      <c r="A120" s="7" t="s">
        <v>393</v>
      </c>
      <c r="B120" s="7" t="s">
        <v>376</v>
      </c>
      <c r="C120" s="7" t="s">
        <v>61</v>
      </c>
      <c r="D120" s="7">
        <v>29</v>
      </c>
      <c r="E120" s="7">
        <v>73</v>
      </c>
      <c r="F120" s="7">
        <f>ROUND(22/E120,3)</f>
        <v>0.30099999999999999</v>
      </c>
      <c r="G120" s="7">
        <f>ROUND(48/E120,3)</f>
        <v>0.65800000000000003</v>
      </c>
      <c r="H120" s="7">
        <f>ROUND(212/E120,3)</f>
        <v>2.9039999999999999</v>
      </c>
      <c r="I120" s="7">
        <f>ROUND(67/E120,3)</f>
        <v>0.91800000000000004</v>
      </c>
      <c r="J120" s="7">
        <f>ROUND(69/E120,3)</f>
        <v>0.94499999999999995</v>
      </c>
      <c r="K120" s="7">
        <f t="shared" si="4"/>
        <v>10.664</v>
      </c>
      <c r="L120" s="7">
        <f>ROUND(1656.5/E120,3)</f>
        <v>22.692</v>
      </c>
      <c r="M120" s="7">
        <f>ROUND(62/E120,3)</f>
        <v>0.84899999999999998</v>
      </c>
      <c r="N120" s="7" t="s">
        <v>437</v>
      </c>
      <c r="O120" s="7" t="s">
        <v>1283</v>
      </c>
      <c r="P120" s="7">
        <f>ROUND(460/E120,3)</f>
        <v>6.3010000000000002</v>
      </c>
      <c r="Q120" s="7">
        <f>ROUND(323/E120,3)</f>
        <v>4.4249999999999998</v>
      </c>
      <c r="R120" s="7">
        <f>ROUND(118/E120,3)</f>
        <v>1.6160000000000001</v>
      </c>
      <c r="S120" s="7">
        <f>ROUND(18/E120,3)</f>
        <v>0.247</v>
      </c>
      <c r="T120" s="7">
        <f>ROUND(12.52/E120,3)</f>
        <v>0.17199999999999999</v>
      </c>
      <c r="U120" s="7">
        <f>ROUND(73/E120,3)</f>
        <v>1</v>
      </c>
      <c r="V120" s="7">
        <f>ROUND(14/E120,3)</f>
        <v>0.192</v>
      </c>
      <c r="W120" s="7">
        <f>ROUND(13.75/E120,3)</f>
        <v>0.188</v>
      </c>
      <c r="X120" s="7">
        <v>0.62</v>
      </c>
      <c r="Y120" s="7">
        <v>0.61</v>
      </c>
      <c r="Z120" s="7">
        <v>0.61</v>
      </c>
      <c r="AA120" s="7">
        <f>ROUND(84.5/E120,3)</f>
        <v>1.1579999999999999</v>
      </c>
      <c r="AB120" s="7">
        <f>ROUND(10/E120,3)</f>
        <v>0.13700000000000001</v>
      </c>
      <c r="AC120" s="7">
        <v>8478178</v>
      </c>
    </row>
    <row r="121" spans="1:29" ht="15" customHeight="1" x14ac:dyDescent="0.2">
      <c r="A121" s="7" t="s">
        <v>394</v>
      </c>
      <c r="B121" s="7" t="s">
        <v>376</v>
      </c>
      <c r="C121" s="7" t="s">
        <v>114</v>
      </c>
      <c r="D121" s="7">
        <v>35</v>
      </c>
      <c r="E121" s="7">
        <v>75</v>
      </c>
      <c r="F121" s="7">
        <f>ROUND(15/E121,3)</f>
        <v>0.2</v>
      </c>
      <c r="G121" s="7">
        <f>ROUND(51/E121,3)</f>
        <v>0.68</v>
      </c>
      <c r="H121" s="7">
        <f>ROUND(176/E121,3)</f>
        <v>2.347</v>
      </c>
      <c r="I121" s="7">
        <f>ROUND(20/E121,3)</f>
        <v>0.26700000000000002</v>
      </c>
      <c r="J121" s="7">
        <f>ROUND(64/E121,3)</f>
        <v>0.85299999999999998</v>
      </c>
      <c r="K121" s="7">
        <f t="shared" si="4"/>
        <v>9.0134999999999987</v>
      </c>
      <c r="L121" s="7">
        <f>ROUND(1770.0333333333/E121,3)</f>
        <v>23.6</v>
      </c>
      <c r="M121" s="7">
        <f>ROUND(22/E121,3)</f>
        <v>0.29299999999999998</v>
      </c>
      <c r="N121" s="7" t="s">
        <v>1411</v>
      </c>
      <c r="O121" s="7" t="s">
        <v>1412</v>
      </c>
      <c r="P121" s="7">
        <f>ROUND(471/E121,3)</f>
        <v>6.28</v>
      </c>
      <c r="Q121" s="7">
        <f>ROUND(291/E121,3)</f>
        <v>3.88</v>
      </c>
      <c r="R121" s="7">
        <f>ROUND(140/E121,3)</f>
        <v>1.867</v>
      </c>
      <c r="S121" s="7">
        <f>ROUND(16/E121,3)</f>
        <v>0.21299999999999999</v>
      </c>
      <c r="T121" s="7">
        <f>ROUND(11.53/E121,3)</f>
        <v>0.154</v>
      </c>
      <c r="U121" s="7">
        <f>ROUND(102/E121,3)</f>
        <v>1.36</v>
      </c>
      <c r="V121" s="7">
        <f>ROUND(37/E121,3)</f>
        <v>0.49299999999999999</v>
      </c>
      <c r="W121" s="7">
        <f>ROUND(11.41/E121,3)</f>
        <v>0.152</v>
      </c>
      <c r="X121" s="7">
        <v>0.55000000000000004</v>
      </c>
      <c r="Y121" s="7">
        <v>0.56000000000000005</v>
      </c>
      <c r="Z121" s="7">
        <v>0.55000000000000004</v>
      </c>
      <c r="AA121" s="7">
        <f>ROUND(71.65/E121,3)</f>
        <v>0.95499999999999996</v>
      </c>
      <c r="AB121" s="7">
        <f>ROUND(7/E121,3)</f>
        <v>9.2999999999999999E-2</v>
      </c>
      <c r="AC121" s="7">
        <v>8474578</v>
      </c>
    </row>
    <row r="122" spans="1:29" ht="15" customHeight="1" x14ac:dyDescent="0.2">
      <c r="A122" s="7" t="s">
        <v>397</v>
      </c>
      <c r="B122" s="7" t="s">
        <v>376</v>
      </c>
      <c r="C122" s="7" t="s">
        <v>93</v>
      </c>
      <c r="D122" s="7">
        <v>26</v>
      </c>
      <c r="E122" s="7">
        <v>77</v>
      </c>
      <c r="F122" s="7">
        <f>ROUND(9/E122,3)</f>
        <v>0.11700000000000001</v>
      </c>
      <c r="G122" s="7">
        <f>ROUND(54/E122,3)</f>
        <v>0.70099999999999996</v>
      </c>
      <c r="H122" s="7">
        <f>ROUND(148/E122,3)</f>
        <v>1.9219999999999999</v>
      </c>
      <c r="I122" s="7">
        <f>ROUND(21/E122,3)</f>
        <v>0.27300000000000002</v>
      </c>
      <c r="J122" s="7">
        <f>ROUND(132/E122,3)</f>
        <v>1.714</v>
      </c>
      <c r="K122" s="7">
        <f t="shared" si="4"/>
        <v>8.9144999999999985</v>
      </c>
      <c r="L122" s="7">
        <f>ROUND(1961.4166666667/E122,3)</f>
        <v>25.472999999999999</v>
      </c>
      <c r="M122" s="7">
        <f>ROUND(30/E122,3)</f>
        <v>0.39</v>
      </c>
      <c r="N122" s="7" t="s">
        <v>1413</v>
      </c>
      <c r="O122" s="7" t="s">
        <v>1414</v>
      </c>
      <c r="P122" s="7">
        <f>ROUND(336/E122,3)</f>
        <v>4.3639999999999999</v>
      </c>
      <c r="Q122" s="7">
        <f>ROUND(223/E122,3)</f>
        <v>2.8959999999999999</v>
      </c>
      <c r="R122" s="7">
        <f>ROUND(111/E122,3)</f>
        <v>1.4419999999999999</v>
      </c>
      <c r="S122" s="7">
        <f>ROUND(14/E122,3)</f>
        <v>0.182</v>
      </c>
      <c r="T122" s="7">
        <f>ROUND(9.97/E122,3)</f>
        <v>0.129</v>
      </c>
      <c r="U122" s="7">
        <f>ROUND(93/E122,3)</f>
        <v>1.208</v>
      </c>
      <c r="V122" s="7">
        <f>ROUND(39/E122,3)</f>
        <v>0.50600000000000001</v>
      </c>
      <c r="W122" s="7">
        <f>ROUND(9.87/E122,3)</f>
        <v>0.128</v>
      </c>
      <c r="X122" s="7">
        <v>0.56000000000000005</v>
      </c>
      <c r="Y122" s="7">
        <v>0.51</v>
      </c>
      <c r="Z122" s="7">
        <v>0.52</v>
      </c>
      <c r="AA122" s="7">
        <f>ROUND(58.05/E122,3)</f>
        <v>0.754</v>
      </c>
      <c r="AB122" s="7">
        <f>ROUND(9/E122,3)</f>
        <v>0.11700000000000001</v>
      </c>
      <c r="AC122" s="7">
        <v>8480036</v>
      </c>
    </row>
    <row r="123" spans="1:29" ht="15" customHeight="1" x14ac:dyDescent="0.2">
      <c r="A123" s="7" t="s">
        <v>400</v>
      </c>
      <c r="B123" s="7" t="s">
        <v>376</v>
      </c>
      <c r="C123" s="7" t="s">
        <v>84</v>
      </c>
      <c r="D123" s="7">
        <v>27</v>
      </c>
      <c r="E123" s="7">
        <v>69</v>
      </c>
      <c r="F123" s="7">
        <f>ROUND(11/E123,3)</f>
        <v>0.159</v>
      </c>
      <c r="G123" s="7">
        <f>ROUND(50/E123,3)</f>
        <v>0.72499999999999998</v>
      </c>
      <c r="H123" s="7">
        <f>ROUND(111/E123,3)</f>
        <v>1.609</v>
      </c>
      <c r="I123" s="7">
        <f>ROUND(79/E123,3)</f>
        <v>1.145</v>
      </c>
      <c r="J123" s="7">
        <f>ROUND(129/E123,3)</f>
        <v>1.87</v>
      </c>
      <c r="K123" s="7">
        <f t="shared" si="4"/>
        <v>9.6734999999999989</v>
      </c>
      <c r="L123" s="7">
        <f>ROUND(1682.8833333333/E123,3)</f>
        <v>24.39</v>
      </c>
      <c r="M123" s="7">
        <f>ROUND(62/E123,3)</f>
        <v>0.89900000000000002</v>
      </c>
      <c r="N123" s="7" t="s">
        <v>1415</v>
      </c>
      <c r="O123" s="7" t="s">
        <v>682</v>
      </c>
      <c r="P123" s="7">
        <f>ROUND(271/E123,3)</f>
        <v>3.9279999999999999</v>
      </c>
      <c r="Q123" s="7">
        <f>ROUND(187/E123,3)</f>
        <v>2.71</v>
      </c>
      <c r="R123" s="7">
        <f>ROUND(97/E123,3)</f>
        <v>1.4059999999999999</v>
      </c>
      <c r="S123" s="7">
        <f>ROUND(29/E123,3)</f>
        <v>0.42</v>
      </c>
      <c r="T123" s="7">
        <f>ROUND(9.44/E123,3)</f>
        <v>0.13700000000000001</v>
      </c>
      <c r="U123" s="7">
        <f>ROUND(88/E123,3)</f>
        <v>1.2749999999999999</v>
      </c>
      <c r="V123" s="7">
        <f>ROUND(29/E123,3)</f>
        <v>0.42</v>
      </c>
      <c r="W123" s="7">
        <f>ROUND(9.96/E123,3)</f>
        <v>0.14399999999999999</v>
      </c>
      <c r="X123" s="7">
        <v>0.49</v>
      </c>
      <c r="Y123" s="7">
        <v>0.5</v>
      </c>
      <c r="Z123" s="7">
        <v>0.5</v>
      </c>
      <c r="AA123" s="7">
        <f>ROUND(53.87/E123,3)</f>
        <v>0.78100000000000003</v>
      </c>
      <c r="AB123" s="7">
        <f>ROUND(11/E123,3)</f>
        <v>0.159</v>
      </c>
      <c r="AC123" s="7">
        <v>8479325</v>
      </c>
    </row>
    <row r="124" spans="1:29" ht="15" customHeight="1" x14ac:dyDescent="0.2">
      <c r="A124" s="7" t="s">
        <v>403</v>
      </c>
      <c r="B124" s="7" t="s">
        <v>376</v>
      </c>
      <c r="C124" s="7" t="s">
        <v>259</v>
      </c>
      <c r="D124" s="7">
        <v>27</v>
      </c>
      <c r="E124" s="7">
        <v>80</v>
      </c>
      <c r="F124" s="7">
        <f>ROUND(26/E124,3)</f>
        <v>0.32500000000000001</v>
      </c>
      <c r="G124" s="7">
        <f>ROUND(34/E124,3)</f>
        <v>0.42499999999999999</v>
      </c>
      <c r="H124" s="7">
        <f>ROUND(221/E124,3)</f>
        <v>2.7629999999999999</v>
      </c>
      <c r="I124" s="7">
        <f>ROUND(58/E124,3)</f>
        <v>0.72499999999999998</v>
      </c>
      <c r="J124" s="7">
        <f>ROUND(114/E124,3)</f>
        <v>1.425</v>
      </c>
      <c r="K124" s="7">
        <f t="shared" si="4"/>
        <v>9.7005000000000017</v>
      </c>
      <c r="L124" s="7">
        <f>ROUND(1867.2666666667/E124,3)</f>
        <v>23.341000000000001</v>
      </c>
      <c r="M124" s="7">
        <f>ROUND(62/E124,3)</f>
        <v>0.77500000000000002</v>
      </c>
      <c r="N124" s="7" t="s">
        <v>112</v>
      </c>
      <c r="O124" s="7" t="s">
        <v>820</v>
      </c>
      <c r="P124" s="7">
        <f>ROUND(528/E124,3)</f>
        <v>6.6</v>
      </c>
      <c r="Q124" s="7">
        <f>ROUND(356/E124,3)</f>
        <v>4.45</v>
      </c>
      <c r="R124" s="7">
        <f>ROUND(190/E124,3)</f>
        <v>2.375</v>
      </c>
      <c r="S124" s="7">
        <f>ROUND(40/E124,3)</f>
        <v>0.5</v>
      </c>
      <c r="T124" s="7">
        <f>ROUND(18.06/E124,3)</f>
        <v>0.22600000000000001</v>
      </c>
      <c r="U124" s="7">
        <f>ROUND(105/E124,3)</f>
        <v>1.3129999999999999</v>
      </c>
      <c r="V124" s="7">
        <f>ROUND(40/E124,3)</f>
        <v>0.5</v>
      </c>
      <c r="W124" s="7">
        <f>ROUND(18.79/E124,3)</f>
        <v>0.23499999999999999</v>
      </c>
      <c r="X124" s="7">
        <v>0.56999999999999995</v>
      </c>
      <c r="Y124" s="7">
        <v>0.56999999999999995</v>
      </c>
      <c r="Z124" s="7">
        <v>0.56999999999999995</v>
      </c>
      <c r="AA124" s="7">
        <f>ROUND(71.63/E124,3)</f>
        <v>0.89500000000000002</v>
      </c>
      <c r="AB124" s="7">
        <f>ROUND(14/E124,3)</f>
        <v>0.17499999999999999</v>
      </c>
      <c r="AC124" s="7">
        <v>8479345</v>
      </c>
    </row>
    <row r="125" spans="1:29" ht="15" customHeight="1" x14ac:dyDescent="0.2">
      <c r="A125" s="7" t="s">
        <v>405</v>
      </c>
      <c r="B125" s="7" t="s">
        <v>376</v>
      </c>
      <c r="C125" s="7" t="s">
        <v>1416</v>
      </c>
      <c r="D125" s="7">
        <v>35</v>
      </c>
      <c r="E125" s="7">
        <v>71</v>
      </c>
      <c r="F125" s="7">
        <f>ROUND(14/E125,3)</f>
        <v>0.19700000000000001</v>
      </c>
      <c r="G125" s="7">
        <f>ROUND(46/E125,3)</f>
        <v>0.64800000000000002</v>
      </c>
      <c r="H125" s="7">
        <f>ROUND(154/E125,3)</f>
        <v>2.169</v>
      </c>
      <c r="I125" s="7">
        <f>ROUND(26/E125,3)</f>
        <v>0.36599999999999999</v>
      </c>
      <c r="J125" s="7">
        <f>ROUND(106/E125,3)</f>
        <v>1.4930000000000001</v>
      </c>
      <c r="K125" s="7">
        <f t="shared" si="4"/>
        <v>9.3090000000000011</v>
      </c>
      <c r="L125" s="7">
        <f>ROUND(1644.3833333333/E125,3)</f>
        <v>23.16</v>
      </c>
      <c r="M125" s="7">
        <f>ROUND(32/E125,3)</f>
        <v>0.45100000000000001</v>
      </c>
      <c r="N125" s="7" t="s">
        <v>1085</v>
      </c>
      <c r="O125" s="7" t="s">
        <v>600</v>
      </c>
      <c r="P125" s="7">
        <f>ROUND(355/E125,3)</f>
        <v>5</v>
      </c>
      <c r="Q125" s="7">
        <f>ROUND(244/E125,3)</f>
        <v>3.4369999999999998</v>
      </c>
      <c r="R125" s="7">
        <f>ROUND(107/E125,3)</f>
        <v>1.5069999999999999</v>
      </c>
      <c r="S125" s="7">
        <f>ROUND(27/E125,3)</f>
        <v>0.38</v>
      </c>
      <c r="T125" s="7">
        <f>ROUND(11.93/E125,3)</f>
        <v>0.16800000000000001</v>
      </c>
      <c r="U125" s="7">
        <f>ROUND(118/E125,3)</f>
        <v>1.6619999999999999</v>
      </c>
      <c r="V125" s="7">
        <f>ROUND(45/E125,3)</f>
        <v>0.63400000000000001</v>
      </c>
      <c r="W125" s="7">
        <f>ROUND(11.47/E125,3)</f>
        <v>0.16200000000000001</v>
      </c>
      <c r="X125" s="7">
        <v>0.54</v>
      </c>
      <c r="Y125" s="7">
        <v>0.54</v>
      </c>
      <c r="Z125" s="7">
        <v>0.54</v>
      </c>
      <c r="AA125" s="7">
        <f>ROUND(67.49/E125,3)</f>
        <v>0.95099999999999996</v>
      </c>
      <c r="AB125" s="7">
        <f>ROUND(7/E125,3)</f>
        <v>9.9000000000000005E-2</v>
      </c>
      <c r="AC125" s="7">
        <v>8474590</v>
      </c>
    </row>
    <row r="126" spans="1:29" ht="15" customHeight="1" x14ac:dyDescent="0.2">
      <c r="A126" s="7" t="s">
        <v>408</v>
      </c>
      <c r="B126" s="7" t="s">
        <v>376</v>
      </c>
      <c r="C126" s="7" t="s">
        <v>160</v>
      </c>
      <c r="D126" s="7">
        <v>24</v>
      </c>
      <c r="E126" s="7">
        <v>82</v>
      </c>
      <c r="F126" s="7">
        <f>ROUND(10/E126,3)</f>
        <v>0.122</v>
      </c>
      <c r="G126" s="7">
        <f>ROUND(50/E126,3)</f>
        <v>0.61</v>
      </c>
      <c r="H126" s="7">
        <f>ROUND(187/E126,3)</f>
        <v>2.2799999999999998</v>
      </c>
      <c r="I126" s="7">
        <f>ROUND(128/E126,3)</f>
        <v>1.5609999999999999</v>
      </c>
      <c r="J126" s="7">
        <f>ROUND(180/E126,3)</f>
        <v>2.1949999999999998</v>
      </c>
      <c r="K126" s="7">
        <f t="shared" si="4"/>
        <v>9.8915000000000006</v>
      </c>
      <c r="L126" s="7">
        <f>ROUND(2104.65/E126,3)</f>
        <v>25.666</v>
      </c>
      <c r="M126" s="7">
        <f>ROUND(57/E126,3)</f>
        <v>0.69499999999999995</v>
      </c>
      <c r="N126" s="7" t="s">
        <v>1276</v>
      </c>
      <c r="O126" s="7" t="s">
        <v>1417</v>
      </c>
      <c r="P126" s="7">
        <f>ROUND(409/E126,3)</f>
        <v>4.9880000000000004</v>
      </c>
      <c r="Q126" s="7">
        <f>ROUND(286/E126,3)</f>
        <v>3.488</v>
      </c>
      <c r="R126" s="7">
        <f>ROUND(113/E126,3)</f>
        <v>1.3779999999999999</v>
      </c>
      <c r="S126" s="7">
        <f>ROUND(7/E126,3)</f>
        <v>8.5000000000000006E-2</v>
      </c>
      <c r="T126" s="7">
        <f>ROUND(10.21/E126,3)</f>
        <v>0.125</v>
      </c>
      <c r="U126" s="7">
        <f>ROUND(99/E126,3)</f>
        <v>1.2070000000000001</v>
      </c>
      <c r="V126" s="7">
        <f>ROUND(29/E126,3)</f>
        <v>0.35399999999999998</v>
      </c>
      <c r="W126" s="7">
        <f>ROUND(7.5/E126,3)</f>
        <v>9.0999999999999998E-2</v>
      </c>
      <c r="X126" s="7">
        <v>0.59</v>
      </c>
      <c r="Y126" s="7">
        <v>0.55000000000000004</v>
      </c>
      <c r="Z126" s="7">
        <v>0.56999999999999995</v>
      </c>
      <c r="AA126" s="7">
        <f>ROUND(71.63/E126,3)</f>
        <v>0.874</v>
      </c>
      <c r="AB126" s="7">
        <f>ROUND(3/E126,3)</f>
        <v>3.6999999999999998E-2</v>
      </c>
      <c r="AC126" s="7">
        <v>8481542</v>
      </c>
    </row>
    <row r="127" spans="1:29" ht="15" customHeight="1" x14ac:dyDescent="0.2">
      <c r="A127" s="7" t="s">
        <v>411</v>
      </c>
      <c r="B127" s="7" t="s">
        <v>376</v>
      </c>
      <c r="C127" s="7" t="s">
        <v>191</v>
      </c>
      <c r="D127" s="7">
        <v>18</v>
      </c>
      <c r="E127" s="7">
        <v>82</v>
      </c>
      <c r="F127" s="7">
        <f>ROUND(23/E127,3)</f>
        <v>0.28000000000000003</v>
      </c>
      <c r="G127" s="7">
        <f>ROUND(36/E127,3)</f>
        <v>0.439</v>
      </c>
      <c r="H127" s="7">
        <f>ROUND(222/E127,3)</f>
        <v>2.7069999999999999</v>
      </c>
      <c r="I127" s="7">
        <f>ROUND(40/E127,3)</f>
        <v>0.48799999999999999</v>
      </c>
      <c r="J127" s="7">
        <f>ROUND(111/E127,3)</f>
        <v>1.3540000000000001</v>
      </c>
      <c r="K127" s="7">
        <f t="shared" si="4"/>
        <v>9.1790000000000003</v>
      </c>
      <c r="L127" s="7">
        <f>ROUND(2024/E127,3)</f>
        <v>24.683</v>
      </c>
      <c r="M127" s="7">
        <f>ROUND(38/E127,3)</f>
        <v>0.46300000000000002</v>
      </c>
      <c r="N127" s="7" t="s">
        <v>1418</v>
      </c>
      <c r="O127" s="7" t="s">
        <v>898</v>
      </c>
      <c r="P127" s="7">
        <f>ROUND(527/E127,3)</f>
        <v>6.4269999999999996</v>
      </c>
      <c r="Q127" s="7">
        <f>ROUND(306/E127,3)</f>
        <v>3.7320000000000002</v>
      </c>
      <c r="R127" s="7">
        <f>ROUND(191/E127,3)</f>
        <v>2.3290000000000002</v>
      </c>
      <c r="S127" s="7">
        <f>ROUND(42/E127,3)</f>
        <v>0.51200000000000001</v>
      </c>
      <c r="T127" s="7">
        <f>ROUND(15.37/E127,3)</f>
        <v>0.187</v>
      </c>
      <c r="U127" s="7">
        <f>ROUND(90/E127,3)</f>
        <v>1.0980000000000001</v>
      </c>
      <c r="V127" s="7">
        <f>ROUND(38/E127,3)</f>
        <v>0.46300000000000002</v>
      </c>
      <c r="W127" s="7">
        <f>ROUND(16.67/E127,3)</f>
        <v>0.20300000000000001</v>
      </c>
      <c r="X127" s="7">
        <v>0.54</v>
      </c>
      <c r="Y127" s="7">
        <v>0.54</v>
      </c>
      <c r="Z127" s="7">
        <v>0.55000000000000004</v>
      </c>
      <c r="AA127" s="7">
        <f>ROUND(66.32/E127,3)</f>
        <v>0.80900000000000005</v>
      </c>
      <c r="AB127" s="7">
        <f>ROUND(15/E127,3)</f>
        <v>0.183</v>
      </c>
      <c r="AC127" s="7">
        <v>8485366</v>
      </c>
    </row>
    <row r="128" spans="1:29" ht="15" customHeight="1" x14ac:dyDescent="0.2">
      <c r="A128" s="7" t="s">
        <v>412</v>
      </c>
      <c r="B128" s="7" t="s">
        <v>376</v>
      </c>
      <c r="C128" s="7" t="s">
        <v>1049</v>
      </c>
      <c r="D128" s="7">
        <v>27</v>
      </c>
      <c r="E128" s="7">
        <v>78</v>
      </c>
      <c r="F128" s="7">
        <f>ROUND(10/E128,3)</f>
        <v>0.128</v>
      </c>
      <c r="G128" s="7">
        <f>ROUND(49/E128,3)</f>
        <v>0.628</v>
      </c>
      <c r="H128" s="7">
        <f>ROUND(159/E128,3)</f>
        <v>2.0379999999999998</v>
      </c>
      <c r="I128" s="7">
        <f>ROUND(38/E128,3)</f>
        <v>0.48699999999999999</v>
      </c>
      <c r="J128" s="7">
        <f>ROUND(125/E128,3)</f>
        <v>1.603</v>
      </c>
      <c r="K128" s="7">
        <f t="shared" si="4"/>
        <v>8.676499999999999</v>
      </c>
      <c r="L128" s="7">
        <f>ROUND(1895.0666666667/E128,3)</f>
        <v>24.295999999999999</v>
      </c>
      <c r="M128" s="7">
        <f>ROUND(44/E128,3)</f>
        <v>0.56399999999999995</v>
      </c>
      <c r="N128" s="7" t="s">
        <v>112</v>
      </c>
      <c r="O128" s="7" t="s">
        <v>1223</v>
      </c>
      <c r="P128" s="7">
        <f>ROUND(367/E128,3)</f>
        <v>4.7050000000000001</v>
      </c>
      <c r="Q128" s="7">
        <f>ROUND(216/E128,3)</f>
        <v>2.7690000000000001</v>
      </c>
      <c r="R128" s="7">
        <f>ROUND(108/E128,3)</f>
        <v>1.385</v>
      </c>
      <c r="S128" s="7">
        <f>ROUND(18/E128,3)</f>
        <v>0.23100000000000001</v>
      </c>
      <c r="T128" s="7">
        <f>ROUND(8.21/E128,3)</f>
        <v>0.105</v>
      </c>
      <c r="U128" s="7">
        <f>ROUND(108/E128,3)</f>
        <v>1.385</v>
      </c>
      <c r="V128" s="7">
        <f>ROUND(32/E128,3)</f>
        <v>0.41</v>
      </c>
      <c r="W128" s="7">
        <f>ROUND(9.38/E128,3)</f>
        <v>0.12</v>
      </c>
      <c r="X128" s="7">
        <v>0.5</v>
      </c>
      <c r="Y128" s="7">
        <v>0.52</v>
      </c>
      <c r="Z128" s="7">
        <v>0.52</v>
      </c>
      <c r="AA128" s="7">
        <f>ROUND(60.22/E128,3)</f>
        <v>0.77200000000000002</v>
      </c>
      <c r="AB128" s="7">
        <f>ROUND(7/E128,3)</f>
        <v>0.09</v>
      </c>
      <c r="AC128" s="7">
        <v>8479410</v>
      </c>
    </row>
    <row r="129" spans="1:29" ht="15" customHeight="1" x14ac:dyDescent="0.2">
      <c r="A129" s="7" t="s">
        <v>414</v>
      </c>
      <c r="B129" s="7" t="s">
        <v>376</v>
      </c>
      <c r="C129" s="7" t="s">
        <v>230</v>
      </c>
      <c r="D129" s="7">
        <v>24</v>
      </c>
      <c r="E129" s="7">
        <v>82</v>
      </c>
      <c r="F129" s="7">
        <f>ROUND(10/E129,3)</f>
        <v>0.122</v>
      </c>
      <c r="G129" s="7">
        <f>ROUND(48/E129,3)</f>
        <v>0.58499999999999996</v>
      </c>
      <c r="H129" s="7">
        <f>ROUND(156/E129,3)</f>
        <v>1.9019999999999999</v>
      </c>
      <c r="I129" s="7">
        <f>ROUND(74/E129,3)</f>
        <v>0.90200000000000002</v>
      </c>
      <c r="J129" s="7">
        <f>ROUND(128/E129,3)</f>
        <v>1.5609999999999999</v>
      </c>
      <c r="K129" s="7">
        <f t="shared" si="4"/>
        <v>8.4</v>
      </c>
      <c r="L129" s="7">
        <f>ROUND(1988.3333333333/E129,3)</f>
        <v>24.248000000000001</v>
      </c>
      <c r="M129" s="7">
        <f>ROUND(19/E129,3)</f>
        <v>0.23200000000000001</v>
      </c>
      <c r="N129" s="7" t="s">
        <v>1249</v>
      </c>
      <c r="O129" s="7" t="s">
        <v>714</v>
      </c>
      <c r="P129" s="7">
        <f>ROUND(349/E129,3)</f>
        <v>4.2560000000000002</v>
      </c>
      <c r="Q129" s="7">
        <f>ROUND(237/E129,3)</f>
        <v>2.89</v>
      </c>
      <c r="R129" s="7">
        <f>ROUND(129/E129,3)</f>
        <v>1.573</v>
      </c>
      <c r="S129" s="7">
        <f>ROUND(38/E129,3)</f>
        <v>0.46300000000000002</v>
      </c>
      <c r="T129" s="7">
        <f>ROUND(14.75/E129,3)</f>
        <v>0.18</v>
      </c>
      <c r="U129" s="7">
        <f>ROUND(110/E129,3)</f>
        <v>1.341</v>
      </c>
      <c r="V129" s="7">
        <f>ROUND(52/E129,3)</f>
        <v>0.63400000000000001</v>
      </c>
      <c r="W129" s="7">
        <f>ROUND(13.78/E129,3)</f>
        <v>0.16800000000000001</v>
      </c>
      <c r="X129" s="7">
        <v>0.54</v>
      </c>
      <c r="Y129" s="7">
        <v>0.56000000000000005</v>
      </c>
      <c r="Z129" s="7">
        <v>0.56000000000000005</v>
      </c>
      <c r="AA129" s="7">
        <f>ROUND(67.52/E129,3)</f>
        <v>0.82299999999999995</v>
      </c>
      <c r="AB129" s="7">
        <f>ROUND(13/E129,3)</f>
        <v>0.159</v>
      </c>
      <c r="AC129" s="7">
        <v>8481605</v>
      </c>
    </row>
    <row r="130" spans="1:29" ht="15" customHeight="1" x14ac:dyDescent="0.2">
      <c r="A130" s="7" t="s">
        <v>415</v>
      </c>
      <c r="B130" s="7" t="s">
        <v>376</v>
      </c>
      <c r="C130" s="7" t="s">
        <v>72</v>
      </c>
      <c r="D130" s="7">
        <v>30</v>
      </c>
      <c r="E130" s="7">
        <v>77</v>
      </c>
      <c r="F130" s="7">
        <f>ROUND(14/E130,3)</f>
        <v>0.182</v>
      </c>
      <c r="G130" s="7">
        <f>ROUND(41/E130,3)</f>
        <v>0.53200000000000003</v>
      </c>
      <c r="H130" s="7">
        <f>ROUND(145/E130,3)</f>
        <v>1.883</v>
      </c>
      <c r="I130" s="7">
        <f>ROUND(36/E130,3)</f>
        <v>0.46800000000000003</v>
      </c>
      <c r="J130" s="7">
        <f>ROUND(118/E130,3)</f>
        <v>1.532</v>
      </c>
      <c r="K130" s="7">
        <f t="shared" si="4"/>
        <v>8.2969999999999988</v>
      </c>
      <c r="L130" s="7">
        <f>ROUND(1903.45/E130,3)</f>
        <v>24.72</v>
      </c>
      <c r="M130" s="7">
        <f>ROUND(30/E130,3)</f>
        <v>0.39</v>
      </c>
      <c r="N130" s="7" t="s">
        <v>1419</v>
      </c>
      <c r="O130" s="7" t="s">
        <v>695</v>
      </c>
      <c r="P130" s="7">
        <f>ROUND(339/E130,3)</f>
        <v>4.4029999999999996</v>
      </c>
      <c r="Q130" s="7">
        <f>ROUND(225/E130,3)</f>
        <v>2.9220000000000002</v>
      </c>
      <c r="R130" s="7">
        <f>ROUND(101/E130,3)</f>
        <v>1.3120000000000001</v>
      </c>
      <c r="S130" s="7">
        <f>ROUND(14/E130,3)</f>
        <v>0.182</v>
      </c>
      <c r="T130" s="7">
        <f>ROUND(9.25/E130,3)</f>
        <v>0.12</v>
      </c>
      <c r="U130" s="7">
        <f>ROUND(98/E130,3)</f>
        <v>1.2729999999999999</v>
      </c>
      <c r="V130" s="7">
        <f>ROUND(17/E130,3)</f>
        <v>0.221</v>
      </c>
      <c r="W130" s="7">
        <f>ROUND(8.31/E130,3)</f>
        <v>0.108</v>
      </c>
      <c r="X130" s="7">
        <v>0.54</v>
      </c>
      <c r="Y130" s="7">
        <v>0.53</v>
      </c>
      <c r="Z130" s="7">
        <v>0.53</v>
      </c>
      <c r="AA130" s="7">
        <f>ROUND(54.1/E130,3)</f>
        <v>0.70299999999999996</v>
      </c>
      <c r="AB130" s="7">
        <f>ROUND(6/E130,3)</f>
        <v>7.8E-2</v>
      </c>
      <c r="AC130" s="7">
        <v>8477504</v>
      </c>
    </row>
    <row r="131" spans="1:29" ht="15" customHeight="1" x14ac:dyDescent="0.2">
      <c r="A131" s="7" t="s">
        <v>418</v>
      </c>
      <c r="B131" s="7" t="s">
        <v>376</v>
      </c>
      <c r="C131" s="7" t="s">
        <v>164</v>
      </c>
      <c r="D131" s="7">
        <v>35</v>
      </c>
      <c r="E131" s="7">
        <v>68</v>
      </c>
      <c r="F131" s="7">
        <f>ROUND(13/E131,3)</f>
        <v>0.191</v>
      </c>
      <c r="G131" s="7">
        <f>ROUND(42/E131,3)</f>
        <v>0.61799999999999999</v>
      </c>
      <c r="H131" s="7">
        <f>ROUND(181/E131,3)</f>
        <v>2.6619999999999999</v>
      </c>
      <c r="I131" s="7">
        <f>ROUND(24/E131,3)</f>
        <v>0.35299999999999998</v>
      </c>
      <c r="J131" s="7">
        <f>ROUND(101/E131,3)</f>
        <v>1.4850000000000001</v>
      </c>
      <c r="K131" s="7">
        <f t="shared" si="4"/>
        <v>9.5595000000000017</v>
      </c>
      <c r="L131" s="7">
        <f>ROUND(1691.6666666667/E131,3)</f>
        <v>24.876999999999999</v>
      </c>
      <c r="M131" s="7">
        <f>ROUND(30/E131,3)</f>
        <v>0.441</v>
      </c>
      <c r="N131" s="7" t="s">
        <v>1420</v>
      </c>
      <c r="O131" s="7" t="s">
        <v>1421</v>
      </c>
      <c r="P131" s="7">
        <f>ROUND(385/E131,3)</f>
        <v>5.6619999999999999</v>
      </c>
      <c r="Q131" s="7">
        <f>ROUND(251/E131,3)</f>
        <v>3.6909999999999998</v>
      </c>
      <c r="R131" s="7">
        <f>ROUND(140/E131,3)</f>
        <v>2.0590000000000002</v>
      </c>
      <c r="S131" s="7">
        <f>ROUND(21/E131,3)</f>
        <v>0.309</v>
      </c>
      <c r="T131" s="7">
        <f>ROUND(10.96/E131,3)</f>
        <v>0.161</v>
      </c>
      <c r="U131" s="7">
        <f>ROUND(77/E131,3)</f>
        <v>1.1319999999999999</v>
      </c>
      <c r="V131" s="7">
        <f>ROUND(23/E131,3)</f>
        <v>0.33800000000000002</v>
      </c>
      <c r="W131" s="7">
        <f>ROUND(12.58/E131,3)</f>
        <v>0.185</v>
      </c>
      <c r="X131" s="7">
        <v>0.54</v>
      </c>
      <c r="Y131" s="7">
        <v>0.54</v>
      </c>
      <c r="Z131" s="7">
        <v>0.53</v>
      </c>
      <c r="AA131" s="7">
        <f>ROUND(54.53/E131,3)</f>
        <v>0.80200000000000005</v>
      </c>
      <c r="AB131" s="7">
        <f>ROUND(10/E131,3)</f>
        <v>0.14699999999999999</v>
      </c>
      <c r="AC131" s="7">
        <v>8474600</v>
      </c>
    </row>
    <row r="132" spans="1:29" ht="15" customHeight="1" x14ac:dyDescent="0.2">
      <c r="A132" s="7" t="s">
        <v>421</v>
      </c>
      <c r="B132" s="7" t="s">
        <v>376</v>
      </c>
      <c r="C132" s="7" t="s">
        <v>135</v>
      </c>
      <c r="D132" s="7">
        <v>23</v>
      </c>
      <c r="E132" s="7">
        <v>67</v>
      </c>
      <c r="F132" s="7">
        <f>ROUND(14/E132,3)</f>
        <v>0.20899999999999999</v>
      </c>
      <c r="G132" s="7">
        <f>ROUND(40/E132,3)</f>
        <v>0.59699999999999998</v>
      </c>
      <c r="H132" s="7">
        <f>ROUND(147/E132,3)</f>
        <v>2.194</v>
      </c>
      <c r="I132" s="7">
        <f>ROUND(29/E132,3)</f>
        <v>0.433</v>
      </c>
      <c r="J132" s="7">
        <f>ROUND(128/E132,3)</f>
        <v>1.91</v>
      </c>
      <c r="K132" s="7">
        <f t="shared" si="4"/>
        <v>9.5744999999999987</v>
      </c>
      <c r="L132" s="7">
        <f>ROUND(1664.2333333333/E132,3)</f>
        <v>24.838999999999999</v>
      </c>
      <c r="M132" s="7">
        <f>ROUND(8/E132,3)</f>
        <v>0.11899999999999999</v>
      </c>
      <c r="N132" s="7" t="s">
        <v>1059</v>
      </c>
      <c r="O132" s="7" t="s">
        <v>590</v>
      </c>
      <c r="P132" s="7">
        <f>ROUND(374/E132,3)</f>
        <v>5.5819999999999999</v>
      </c>
      <c r="Q132" s="7">
        <f>ROUND(240/E132,3)</f>
        <v>3.5819999999999999</v>
      </c>
      <c r="R132" s="7">
        <f>ROUND(110/E132,3)</f>
        <v>1.6419999999999999</v>
      </c>
      <c r="S132" s="7">
        <f>ROUND(18/E132,3)</f>
        <v>0.26900000000000002</v>
      </c>
      <c r="T132" s="7">
        <f>ROUND(12.38/E132,3)</f>
        <v>0.185</v>
      </c>
      <c r="U132" s="7">
        <f>ROUND(81/E132,3)</f>
        <v>1.2090000000000001</v>
      </c>
      <c r="V132" s="7">
        <f>ROUND(31/E132,3)</f>
        <v>0.46300000000000002</v>
      </c>
      <c r="W132" s="7">
        <f>ROUND(10.86/E132,3)</f>
        <v>0.16200000000000001</v>
      </c>
      <c r="X132" s="7">
        <v>0.56999999999999995</v>
      </c>
      <c r="Y132" s="7">
        <v>0.55000000000000004</v>
      </c>
      <c r="Z132" s="7">
        <v>0.56999999999999995</v>
      </c>
      <c r="AA132" s="7">
        <f>ROUND(67.08/E132,3)</f>
        <v>1.0009999999999999</v>
      </c>
      <c r="AB132" s="7">
        <f>ROUND(6/E132,3)</f>
        <v>0.09</v>
      </c>
      <c r="AC132" s="7">
        <v>8482105</v>
      </c>
    </row>
    <row r="133" spans="1:29" ht="15" customHeight="1" x14ac:dyDescent="0.2">
      <c r="A133" s="7" t="s">
        <v>422</v>
      </c>
      <c r="B133" s="7" t="s">
        <v>376</v>
      </c>
      <c r="C133" s="7" t="s">
        <v>131</v>
      </c>
      <c r="D133" s="7">
        <v>27</v>
      </c>
      <c r="E133" s="7">
        <v>55</v>
      </c>
      <c r="F133" s="7">
        <f>ROUND(9/E133,3)</f>
        <v>0.16400000000000001</v>
      </c>
      <c r="G133" s="7">
        <f>ROUND(44/E133,3)</f>
        <v>0.8</v>
      </c>
      <c r="H133" s="7">
        <f>ROUND(91/E133,3)</f>
        <v>1.655</v>
      </c>
      <c r="I133" s="7">
        <f>ROUND(24/E133,3)</f>
        <v>0.436</v>
      </c>
      <c r="J133" s="7">
        <f>ROUND(74/E133,3)</f>
        <v>1.345</v>
      </c>
      <c r="K133" s="7">
        <f t="shared" si="4"/>
        <v>9.3300000000000018</v>
      </c>
      <c r="L133" s="7">
        <f>ROUND(1299.5833333333/E133,3)</f>
        <v>23.629000000000001</v>
      </c>
      <c r="M133" s="7">
        <f>ROUND(20/E133,3)</f>
        <v>0.36399999999999999</v>
      </c>
      <c r="N133" s="7" t="s">
        <v>1422</v>
      </c>
      <c r="O133" s="7" t="s">
        <v>1423</v>
      </c>
      <c r="P133" s="7">
        <f>ROUND(274/E133,3)</f>
        <v>4.9820000000000002</v>
      </c>
      <c r="Q133" s="7">
        <f>ROUND(156/E133,3)</f>
        <v>2.8359999999999999</v>
      </c>
      <c r="R133" s="7">
        <f>ROUND(89/E133,3)</f>
        <v>1.6180000000000001</v>
      </c>
      <c r="S133" s="7">
        <f>ROUND(15/E133,3)</f>
        <v>0.27300000000000002</v>
      </c>
      <c r="T133" s="7">
        <f>ROUND(9.23/E133,3)</f>
        <v>0.16800000000000001</v>
      </c>
      <c r="U133" s="7">
        <f>ROUND(65/E133,3)</f>
        <v>1.1819999999999999</v>
      </c>
      <c r="V133" s="7">
        <f>ROUND(36/E133,3)</f>
        <v>0.65500000000000003</v>
      </c>
      <c r="W133" s="7">
        <f>ROUND(7.78/E133,3)</f>
        <v>0.14099999999999999</v>
      </c>
      <c r="X133" s="7">
        <v>0.6</v>
      </c>
      <c r="Y133" s="7">
        <v>0.6</v>
      </c>
      <c r="Z133" s="7">
        <v>0.59</v>
      </c>
      <c r="AA133" s="7">
        <f>ROUND(56.08/E133,3)</f>
        <v>1.02</v>
      </c>
      <c r="AB133" s="7">
        <f>ROUND(11/E133,3)</f>
        <v>0.2</v>
      </c>
      <c r="AC133" s="7">
        <v>8479323</v>
      </c>
    </row>
    <row r="134" spans="1:29" ht="15" customHeight="1" x14ac:dyDescent="0.2">
      <c r="A134" s="7" t="s">
        <v>425</v>
      </c>
      <c r="B134" s="7" t="s">
        <v>376</v>
      </c>
      <c r="C134" s="7" t="s">
        <v>106</v>
      </c>
      <c r="D134" s="7">
        <v>23</v>
      </c>
      <c r="E134" s="7">
        <v>80</v>
      </c>
      <c r="F134" s="7">
        <f>ROUND(15/E134,3)</f>
        <v>0.188</v>
      </c>
      <c r="G134" s="7">
        <f>ROUND(36/E134,3)</f>
        <v>0.45</v>
      </c>
      <c r="H134" s="7">
        <f>ROUND(173/E134,3)</f>
        <v>2.1629999999999998</v>
      </c>
      <c r="I134" s="7">
        <f>ROUND(33/E134,3)</f>
        <v>0.41299999999999998</v>
      </c>
      <c r="J134" s="7">
        <f>ROUND(148/E134,3)</f>
        <v>1.85</v>
      </c>
      <c r="K134" s="7">
        <f t="shared" si="4"/>
        <v>8.4235000000000007</v>
      </c>
      <c r="L134" s="7">
        <f>ROUND(1974.1666666667/E134,3)</f>
        <v>24.677</v>
      </c>
      <c r="M134" s="7">
        <f>ROUND(39/E134,3)</f>
        <v>0.48799999999999999</v>
      </c>
      <c r="N134" s="7" t="s">
        <v>1291</v>
      </c>
      <c r="O134" s="7" t="s">
        <v>1424</v>
      </c>
      <c r="P134" s="7">
        <f>ROUND(361/E134,3)</f>
        <v>4.5129999999999999</v>
      </c>
      <c r="Q134" s="7">
        <f>ROUND(256/E134,3)</f>
        <v>3.2</v>
      </c>
      <c r="R134" s="7">
        <f>ROUND(103/E134,3)</f>
        <v>1.288</v>
      </c>
      <c r="S134" s="7">
        <f>ROUND(21/E134,3)</f>
        <v>0.26300000000000001</v>
      </c>
      <c r="T134" s="7">
        <f>ROUND(8.32/E134,3)</f>
        <v>0.104</v>
      </c>
      <c r="U134" s="7">
        <f>ROUND(92/E134,3)</f>
        <v>1.1499999999999999</v>
      </c>
      <c r="V134" s="7">
        <f>ROUND(36/E134,3)</f>
        <v>0.45</v>
      </c>
      <c r="W134" s="7">
        <f>ROUND(8.72/E134,3)</f>
        <v>0.109</v>
      </c>
      <c r="X134" s="7">
        <v>0.51</v>
      </c>
      <c r="Y134" s="7">
        <v>0.47</v>
      </c>
      <c r="Z134" s="7">
        <v>0.48</v>
      </c>
      <c r="AA134" s="7">
        <f>ROUND(54.67/E134,3)</f>
        <v>0.68300000000000005</v>
      </c>
      <c r="AB134" s="7">
        <f>ROUND(5/E134,3)</f>
        <v>6.3E-2</v>
      </c>
      <c r="AC134" s="7">
        <v>8482122</v>
      </c>
    </row>
    <row r="135" spans="1:29" ht="15" customHeight="1" x14ac:dyDescent="0.2">
      <c r="A135" s="7" t="s">
        <v>426</v>
      </c>
      <c r="B135" s="7" t="s">
        <v>376</v>
      </c>
      <c r="C135" s="7" t="s">
        <v>80</v>
      </c>
      <c r="D135" s="7">
        <v>32</v>
      </c>
      <c r="E135" s="7">
        <v>55</v>
      </c>
      <c r="F135" s="7">
        <f>ROUND(13/E135,3)</f>
        <v>0.23599999999999999</v>
      </c>
      <c r="G135" s="7">
        <f>ROUND(37/E135,3)</f>
        <v>0.67300000000000004</v>
      </c>
      <c r="H135" s="7">
        <f>ROUND(117/E135,3)</f>
        <v>2.1269999999999998</v>
      </c>
      <c r="I135" s="7">
        <f>ROUND(29/E135,3)</f>
        <v>0.52700000000000002</v>
      </c>
      <c r="J135" s="7">
        <f>ROUND(63/E135,3)</f>
        <v>1.145</v>
      </c>
      <c r="K135" s="7">
        <f t="shared" si="4"/>
        <v>9.4615000000000009</v>
      </c>
      <c r="L135" s="7">
        <f>ROUND(1057.7666666667/E135,3)</f>
        <v>19.231999999999999</v>
      </c>
      <c r="M135" s="7">
        <f>ROUND(22/E135,3)</f>
        <v>0.4</v>
      </c>
      <c r="N135" s="7" t="s">
        <v>1425</v>
      </c>
      <c r="O135" s="7" t="s">
        <v>316</v>
      </c>
      <c r="P135" s="7">
        <f>ROUND(282/E135,3)</f>
        <v>5.1269999999999998</v>
      </c>
      <c r="Q135" s="7">
        <f>ROUND(200/E135,3)</f>
        <v>3.6360000000000001</v>
      </c>
      <c r="R135" s="7">
        <f>ROUND(69/E135,3)</f>
        <v>1.2549999999999999</v>
      </c>
      <c r="S135" s="7">
        <f>ROUND(8/E135,3)</f>
        <v>0.14499999999999999</v>
      </c>
      <c r="T135" s="7">
        <f>ROUND(8.07/E135,3)</f>
        <v>0.14699999999999999</v>
      </c>
      <c r="U135" s="7">
        <f>ROUND(54/E135,3)</f>
        <v>0.98199999999999998</v>
      </c>
      <c r="V135" s="7">
        <f>ROUND(19/E135,3)</f>
        <v>0.34499999999999997</v>
      </c>
      <c r="W135" s="7">
        <f>ROUND(9.24/E135,3)</f>
        <v>0.16800000000000001</v>
      </c>
      <c r="X135" s="7">
        <v>0.62</v>
      </c>
      <c r="Y135" s="7">
        <v>0.65</v>
      </c>
      <c r="Z135" s="7">
        <v>0.65</v>
      </c>
      <c r="AA135" s="7">
        <f>ROUND(62.4/E135,3)</f>
        <v>1.135</v>
      </c>
      <c r="AB135" s="7">
        <f>ROUND(5/E135,3)</f>
        <v>9.0999999999999998E-2</v>
      </c>
      <c r="AC135" s="7">
        <v>8476906</v>
      </c>
    </row>
    <row r="136" spans="1:29" ht="15" customHeight="1" x14ac:dyDescent="0.2">
      <c r="A136" s="7" t="s">
        <v>429</v>
      </c>
      <c r="B136" s="7" t="s">
        <v>376</v>
      </c>
      <c r="C136" s="7" t="s">
        <v>307</v>
      </c>
      <c r="D136" s="7">
        <v>27</v>
      </c>
      <c r="E136" s="7">
        <v>82</v>
      </c>
      <c r="F136" s="7">
        <f>ROUND(8/E136,3)</f>
        <v>9.8000000000000004E-2</v>
      </c>
      <c r="G136" s="7">
        <f>ROUND(41/E136,3)</f>
        <v>0.5</v>
      </c>
      <c r="H136" s="7">
        <f>ROUND(137/E136,3)</f>
        <v>1.671</v>
      </c>
      <c r="I136" s="7">
        <f>ROUND(133/E136,3)</f>
        <v>1.6220000000000001</v>
      </c>
      <c r="J136" s="7">
        <f>ROUND(100/E136,3)</f>
        <v>1.22</v>
      </c>
      <c r="K136" s="7">
        <f t="shared" si="4"/>
        <v>7.4859999999999998</v>
      </c>
      <c r="L136" s="7">
        <f>ROUND(2050.4666666667/E136,3)</f>
        <v>25.006</v>
      </c>
      <c r="M136" s="7">
        <f>ROUND(33/E136,3)</f>
        <v>0.40200000000000002</v>
      </c>
      <c r="N136" s="7" t="s">
        <v>1426</v>
      </c>
      <c r="O136" s="7" t="s">
        <v>1427</v>
      </c>
      <c r="P136" s="7">
        <f>ROUND(317/E136,3)</f>
        <v>3.8660000000000001</v>
      </c>
      <c r="Q136" s="7">
        <f>ROUND(208/E136,3)</f>
        <v>2.5369999999999999</v>
      </c>
      <c r="R136" s="7">
        <f>ROUND(67/E136,3)</f>
        <v>0.81699999999999995</v>
      </c>
      <c r="S136" s="7">
        <f>ROUND(8/E136,3)</f>
        <v>9.8000000000000004E-2</v>
      </c>
      <c r="T136" s="7">
        <f>ROUND(7.09/E136,3)</f>
        <v>8.5999999999999993E-2</v>
      </c>
      <c r="U136" s="7">
        <f>ROUND(108/E136,3)</f>
        <v>1.3169999999999999</v>
      </c>
      <c r="V136" s="7">
        <f>ROUND(34/E136,3)</f>
        <v>0.41499999999999998</v>
      </c>
      <c r="W136" s="7">
        <f>ROUND(7.64/E136,3)</f>
        <v>9.2999999999999999E-2</v>
      </c>
      <c r="X136" s="7">
        <v>0.45</v>
      </c>
      <c r="Y136" s="7">
        <v>0.5</v>
      </c>
      <c r="Z136" s="7">
        <v>0.49</v>
      </c>
      <c r="AA136" s="7">
        <f>ROUND(43.18/E136,3)</f>
        <v>0.52700000000000002</v>
      </c>
      <c r="AB136" s="7">
        <f>ROUND(3/E136,3)</f>
        <v>3.6999999999999998E-2</v>
      </c>
      <c r="AC136" s="7">
        <v>8479425</v>
      </c>
    </row>
    <row r="137" spans="1:29" ht="15" customHeight="1" x14ac:dyDescent="0.2">
      <c r="A137" s="7" t="s">
        <v>432</v>
      </c>
      <c r="B137" s="7" t="s">
        <v>376</v>
      </c>
      <c r="C137" s="7" t="s">
        <v>1428</v>
      </c>
      <c r="D137" s="7">
        <v>28</v>
      </c>
      <c r="E137" s="7">
        <v>81</v>
      </c>
      <c r="F137" s="7">
        <f>ROUND(17/E137,3)</f>
        <v>0.21</v>
      </c>
      <c r="G137" s="7">
        <f>ROUND(30/E137,3)</f>
        <v>0.37</v>
      </c>
      <c r="H137" s="7">
        <f>ROUND(177/E137,3)</f>
        <v>2.1850000000000001</v>
      </c>
      <c r="I137" s="7">
        <f>ROUND(37/E137,3)</f>
        <v>0.45700000000000002</v>
      </c>
      <c r="J137" s="7">
        <f>ROUND(150/E137,3)</f>
        <v>1.8520000000000001</v>
      </c>
      <c r="K137" s="7">
        <f t="shared" si="4"/>
        <v>8.1654999999999998</v>
      </c>
      <c r="L137" s="7">
        <f>ROUND(1879.3333333333/E137,3)</f>
        <v>23.202000000000002</v>
      </c>
      <c r="M137" s="7">
        <f>ROUND(71/E137,3)</f>
        <v>0.877</v>
      </c>
      <c r="N137" s="7" t="s">
        <v>1429</v>
      </c>
      <c r="O137" s="7" t="s">
        <v>1430</v>
      </c>
      <c r="P137" s="7">
        <f>ROUND(402/E137,3)</f>
        <v>4.9630000000000001</v>
      </c>
      <c r="Q137" s="7">
        <f>ROUND(276/E137,3)</f>
        <v>3.407</v>
      </c>
      <c r="R137" s="7">
        <f>ROUND(117/E137,3)</f>
        <v>1.444</v>
      </c>
      <c r="S137" s="7">
        <f>ROUND(29/E137,3)</f>
        <v>0.35799999999999998</v>
      </c>
      <c r="T137" s="7">
        <f>ROUND(13.34/E137,3)</f>
        <v>0.16500000000000001</v>
      </c>
      <c r="U137" s="7">
        <f>ROUND(102/E137,3)</f>
        <v>1.2589999999999999</v>
      </c>
      <c r="V137" s="7">
        <f>ROUND(27/E137,3)</f>
        <v>0.33300000000000002</v>
      </c>
      <c r="W137" s="7">
        <f>ROUND(12.87/E137,3)</f>
        <v>0.159</v>
      </c>
      <c r="X137" s="7">
        <v>0.48</v>
      </c>
      <c r="Y137" s="7">
        <v>0.49</v>
      </c>
      <c r="Z137" s="7">
        <v>0.48</v>
      </c>
      <c r="AA137" s="7">
        <f>ROUND(51.8/E137,3)</f>
        <v>0.64</v>
      </c>
      <c r="AB137" s="7">
        <f>ROUND(12/E137,3)</f>
        <v>0.14799999999999999</v>
      </c>
      <c r="AC137" s="7">
        <v>8478397</v>
      </c>
    </row>
    <row r="138" spans="1:29" ht="15" customHeight="1" x14ac:dyDescent="0.2">
      <c r="A138" s="7" t="s">
        <v>436</v>
      </c>
      <c r="B138" s="7" t="s">
        <v>376</v>
      </c>
      <c r="C138" s="7" t="s">
        <v>76</v>
      </c>
      <c r="D138" s="7">
        <v>25</v>
      </c>
      <c r="E138" s="7">
        <v>80</v>
      </c>
      <c r="F138" s="7">
        <f>ROUND(12/E138,3)</f>
        <v>0.15</v>
      </c>
      <c r="G138" s="7">
        <f>ROUND(35/E138,3)</f>
        <v>0.438</v>
      </c>
      <c r="H138" s="7">
        <f>ROUND(158/E138,3)</f>
        <v>1.9750000000000001</v>
      </c>
      <c r="I138" s="7">
        <f>ROUND(62/E138,3)</f>
        <v>0.77500000000000002</v>
      </c>
      <c r="J138" s="7">
        <f>ROUND(188/E138,3)</f>
        <v>2.35</v>
      </c>
      <c r="K138" s="7">
        <f t="shared" si="4"/>
        <v>8.5404999999999998</v>
      </c>
      <c r="L138" s="7">
        <f>ROUND(1798.7333333333/E138,3)</f>
        <v>22.484000000000002</v>
      </c>
      <c r="M138" s="7">
        <f>ROUND(34/E138,3)</f>
        <v>0.42499999999999999</v>
      </c>
      <c r="N138" s="7" t="s">
        <v>1431</v>
      </c>
      <c r="O138" s="7" t="s">
        <v>1432</v>
      </c>
      <c r="P138" s="7">
        <f>ROUND(357/E138,3)</f>
        <v>4.4630000000000001</v>
      </c>
      <c r="Q138" s="7">
        <f>ROUND(249/E138,3)</f>
        <v>3.113</v>
      </c>
      <c r="R138" s="7">
        <f>ROUND(83/E138,3)</f>
        <v>1.038</v>
      </c>
      <c r="S138" s="7">
        <f>ROUND(17/E138,3)</f>
        <v>0.21299999999999999</v>
      </c>
      <c r="T138" s="7">
        <f>ROUND(9.59/E138,3)</f>
        <v>0.12</v>
      </c>
      <c r="U138" s="7">
        <f>ROUND(95/E138,3)</f>
        <v>1.1879999999999999</v>
      </c>
      <c r="V138" s="7">
        <f>ROUND(36/E138,3)</f>
        <v>0.45</v>
      </c>
      <c r="W138" s="7">
        <f>ROUND(9.33/E138,3)</f>
        <v>0.11700000000000001</v>
      </c>
      <c r="X138" s="7">
        <v>0.48</v>
      </c>
      <c r="Y138" s="7">
        <v>0.47</v>
      </c>
      <c r="Z138" s="7">
        <v>0.49</v>
      </c>
      <c r="AA138" s="7">
        <f>ROUND(45.4/E138,3)</f>
        <v>0.56799999999999995</v>
      </c>
      <c r="AB138" s="7">
        <f>ROUND(4/E138,3)</f>
        <v>0.05</v>
      </c>
      <c r="AC138" s="7">
        <v>8480865</v>
      </c>
    </row>
    <row r="139" spans="1:29" ht="15" customHeight="1" x14ac:dyDescent="0.2">
      <c r="A139" s="7" t="s">
        <v>439</v>
      </c>
      <c r="B139" s="7" t="s">
        <v>376</v>
      </c>
      <c r="C139" s="7" t="s">
        <v>213</v>
      </c>
      <c r="D139" s="7">
        <v>28</v>
      </c>
      <c r="E139" s="7">
        <v>81</v>
      </c>
      <c r="F139" s="7">
        <f>ROUND(11/E139,3)</f>
        <v>0.13600000000000001</v>
      </c>
      <c r="G139" s="7">
        <f>ROUND(33/E139,3)</f>
        <v>0.40699999999999997</v>
      </c>
      <c r="H139" s="7">
        <f>ROUND(179/E139,3)</f>
        <v>2.21</v>
      </c>
      <c r="I139" s="7">
        <f>ROUND(27/E139,3)</f>
        <v>0.33300000000000002</v>
      </c>
      <c r="J139" s="7">
        <f>ROUND(86/E139,3)</f>
        <v>1.0620000000000001</v>
      </c>
      <c r="K139" s="7">
        <f t="shared" si="4"/>
        <v>6.9685000000000006</v>
      </c>
      <c r="L139" s="7">
        <f>ROUND(1754.65/E139,3)</f>
        <v>21.661999999999999</v>
      </c>
      <c r="M139" s="7">
        <f>ROUND(54/E139,3)</f>
        <v>0.66700000000000004</v>
      </c>
      <c r="N139" s="7" t="s">
        <v>1433</v>
      </c>
      <c r="O139" s="7" t="s">
        <v>1434</v>
      </c>
      <c r="P139" s="7">
        <f>ROUND(380/E139,3)</f>
        <v>4.6909999999999998</v>
      </c>
      <c r="Q139" s="7">
        <f>ROUND(243/E139,3)</f>
        <v>3</v>
      </c>
      <c r="R139" s="7">
        <f>ROUND(101/E139,3)</f>
        <v>1.2470000000000001</v>
      </c>
      <c r="S139" s="7">
        <f>ROUND(15/E139,3)</f>
        <v>0.185</v>
      </c>
      <c r="T139" s="7">
        <f>ROUND(9.14/E139,3)</f>
        <v>0.113</v>
      </c>
      <c r="U139" s="7">
        <f>ROUND(88/E139,3)</f>
        <v>1.0860000000000001</v>
      </c>
      <c r="V139" s="7">
        <f>ROUND(29/E139,3)</f>
        <v>0.35799999999999998</v>
      </c>
      <c r="W139" s="7">
        <f>ROUND(9.68/E139,3)</f>
        <v>0.12</v>
      </c>
      <c r="X139" s="7">
        <v>0.5</v>
      </c>
      <c r="Y139" s="7">
        <v>0.52</v>
      </c>
      <c r="Z139" s="7">
        <v>0.52</v>
      </c>
      <c r="AA139" s="7">
        <f>ROUND(33.73/E139,3)</f>
        <v>0.41599999999999998</v>
      </c>
      <c r="AB139" s="7">
        <f>ROUND(6/E139,3)</f>
        <v>7.3999999999999996E-2</v>
      </c>
      <c r="AC139" s="7">
        <v>8478407</v>
      </c>
    </row>
    <row r="140" spans="1:29" ht="15" customHeight="1" x14ac:dyDescent="0.2">
      <c r="A140" s="7" t="s">
        <v>442</v>
      </c>
      <c r="B140" s="7" t="s">
        <v>376</v>
      </c>
      <c r="C140" s="7" t="s">
        <v>138</v>
      </c>
      <c r="D140" s="7">
        <v>24</v>
      </c>
      <c r="E140" s="7">
        <v>82</v>
      </c>
      <c r="F140" s="7">
        <f>ROUND(11/E140,3)</f>
        <v>0.13400000000000001</v>
      </c>
      <c r="G140" s="7">
        <f>ROUND(31/E140,3)</f>
        <v>0.378</v>
      </c>
      <c r="H140" s="7">
        <f>ROUND(109/E140,3)</f>
        <v>1.329</v>
      </c>
      <c r="I140" s="7">
        <f>ROUND(50/E140,3)</f>
        <v>0.61</v>
      </c>
      <c r="J140" s="7">
        <f>ROUND(93/E140,3)</f>
        <v>1.1339999999999999</v>
      </c>
      <c r="K140" s="7">
        <f t="shared" si="4"/>
        <v>6.1079999999999988</v>
      </c>
      <c r="L140" s="7">
        <f>ROUND(1831.9333333333/E140,3)</f>
        <v>22.341000000000001</v>
      </c>
      <c r="M140" s="7">
        <f>ROUND(48/E140,3)</f>
        <v>0.58499999999999996</v>
      </c>
      <c r="N140" s="7" t="s">
        <v>521</v>
      </c>
      <c r="O140" s="7" t="s">
        <v>644</v>
      </c>
      <c r="P140" s="7">
        <f>ROUND(243/E140,3)</f>
        <v>2.9630000000000001</v>
      </c>
      <c r="Q140" s="7">
        <f>ROUND(195/E140,3)</f>
        <v>2.3780000000000001</v>
      </c>
      <c r="R140" s="7">
        <f>ROUND(89/E140,3)</f>
        <v>1.085</v>
      </c>
      <c r="S140" s="7">
        <f>ROUND(25/E140,3)</f>
        <v>0.30499999999999999</v>
      </c>
      <c r="T140" s="7">
        <f>ROUND(11.69/E140,3)</f>
        <v>0.14299999999999999</v>
      </c>
      <c r="U140" s="7">
        <f>ROUND(84/E140,3)</f>
        <v>1.024</v>
      </c>
      <c r="V140" s="7">
        <f>ROUND(22/E140,3)</f>
        <v>0.26800000000000002</v>
      </c>
      <c r="W140" s="7">
        <f>ROUND(11.16/E140,3)</f>
        <v>0.13600000000000001</v>
      </c>
      <c r="X140" s="7">
        <v>0.49</v>
      </c>
      <c r="Y140" s="7">
        <v>0.48</v>
      </c>
      <c r="Z140" s="7">
        <v>0.49</v>
      </c>
      <c r="AA140" s="7">
        <f>ROUND(38.27/E140,3)</f>
        <v>0.46700000000000003</v>
      </c>
      <c r="AB140" s="7">
        <f>ROUND(12/E140,3)</f>
        <v>0.14599999999999999</v>
      </c>
      <c r="AC140" s="7">
        <v>8481524</v>
      </c>
    </row>
    <row r="141" spans="1:29" ht="15" customHeight="1" x14ac:dyDescent="0.2">
      <c r="A141" s="7" t="s">
        <v>445</v>
      </c>
      <c r="B141" s="7" t="s">
        <v>376</v>
      </c>
      <c r="C141" s="7" t="s">
        <v>138</v>
      </c>
      <c r="D141" s="7">
        <v>25</v>
      </c>
      <c r="E141" s="7">
        <v>78</v>
      </c>
      <c r="F141" s="7">
        <f>ROUND(13/E141,3)</f>
        <v>0.16700000000000001</v>
      </c>
      <c r="G141" s="7">
        <f>ROUND(28/E141,3)</f>
        <v>0.35899999999999999</v>
      </c>
      <c r="H141" s="7">
        <f>ROUND(109/E141,3)</f>
        <v>1.397</v>
      </c>
      <c r="I141" s="7">
        <f>ROUND(132/E141,3)</f>
        <v>1.6919999999999999</v>
      </c>
      <c r="J141" s="7">
        <f>ROUND(154/E141,3)</f>
        <v>1.974</v>
      </c>
      <c r="K141" s="7">
        <f t="shared" si="4"/>
        <v>7.7070000000000007</v>
      </c>
      <c r="L141" s="7">
        <f>ROUND(1780.6666666667/E141,3)</f>
        <v>22.829000000000001</v>
      </c>
      <c r="M141" s="7">
        <f>ROUND(28/E141,3)</f>
        <v>0.35899999999999999</v>
      </c>
      <c r="N141" s="7" t="s">
        <v>1435</v>
      </c>
      <c r="O141" s="7" t="s">
        <v>1436</v>
      </c>
      <c r="P141" s="7">
        <f>ROUND(245/E141,3)</f>
        <v>3.141</v>
      </c>
      <c r="Q141" s="7">
        <f>ROUND(163/E141,3)</f>
        <v>2.09</v>
      </c>
      <c r="R141" s="7">
        <f>ROUND(77/E141,3)</f>
        <v>0.98699999999999999</v>
      </c>
      <c r="S141" s="7">
        <f>ROUND(14/E141,3)</f>
        <v>0.17899999999999999</v>
      </c>
      <c r="T141" s="7">
        <f>ROUND(7.44/E141,3)</f>
        <v>9.5000000000000001E-2</v>
      </c>
      <c r="U141" s="7">
        <f>ROUND(80/E141,3)</f>
        <v>1.026</v>
      </c>
      <c r="V141" s="7">
        <f>ROUND(17/E141,3)</f>
        <v>0.218</v>
      </c>
      <c r="W141" s="7">
        <f>ROUND(7.92/E141,3)</f>
        <v>0.10199999999999999</v>
      </c>
      <c r="X141" s="7">
        <v>0.43</v>
      </c>
      <c r="Y141" s="7">
        <v>0.41</v>
      </c>
      <c r="Z141" s="7">
        <v>0.42</v>
      </c>
      <c r="AA141" s="7">
        <f>ROUND(39.37/E141,3)</f>
        <v>0.505</v>
      </c>
      <c r="AB141" s="7">
        <f>ROUND(5/E141,3)</f>
        <v>6.4000000000000001E-2</v>
      </c>
      <c r="AC141" s="7">
        <v>8480807</v>
      </c>
    </row>
    <row r="142" spans="1:29" ht="15" customHeight="1" x14ac:dyDescent="0.2">
      <c r="A142" s="7" t="s">
        <v>447</v>
      </c>
      <c r="B142" s="7" t="s">
        <v>376</v>
      </c>
      <c r="C142" s="7" t="s">
        <v>56</v>
      </c>
      <c r="D142" s="7">
        <v>35</v>
      </c>
      <c r="E142" s="7">
        <v>82</v>
      </c>
      <c r="F142" s="7">
        <f>ROUND(6/E142,3)</f>
        <v>7.2999999999999995E-2</v>
      </c>
      <c r="G142" s="7">
        <f>ROUND(35/E142,3)</f>
        <v>0.42699999999999999</v>
      </c>
      <c r="H142" s="7">
        <f>ROUND(131/E142,3)</f>
        <v>1.5980000000000001</v>
      </c>
      <c r="I142" s="7">
        <f>ROUND(65/E142,3)</f>
        <v>0.79300000000000004</v>
      </c>
      <c r="J142" s="7">
        <f>ROUND(125/E142,3)</f>
        <v>1.524</v>
      </c>
      <c r="K142" s="7">
        <f t="shared" si="4"/>
        <v>6.6644999999999994</v>
      </c>
      <c r="L142" s="7">
        <f>ROUND(1686.9333333333/E142,3)</f>
        <v>20.571999999999999</v>
      </c>
      <c r="M142" s="7">
        <f>ROUND(30/E142,3)</f>
        <v>0.36599999999999999</v>
      </c>
      <c r="N142" s="7" t="s">
        <v>1437</v>
      </c>
      <c r="O142" s="7" t="s">
        <v>1438</v>
      </c>
      <c r="P142" s="7">
        <f>ROUND(309/E142,3)</f>
        <v>3.7679999999999998</v>
      </c>
      <c r="Q142" s="7">
        <f>ROUND(205/E142,3)</f>
        <v>2.5</v>
      </c>
      <c r="R142" s="7">
        <f>ROUND(98/E142,3)</f>
        <v>1.1950000000000001</v>
      </c>
      <c r="S142" s="7">
        <f>ROUND(32/E142,3)</f>
        <v>0.39</v>
      </c>
      <c r="T142" s="7">
        <f>ROUND(8.23/E142,3)</f>
        <v>0.1</v>
      </c>
      <c r="U142" s="7">
        <f>ROUND(101/E142,3)</f>
        <v>1.232</v>
      </c>
      <c r="V142" s="7">
        <f>ROUND(25/E142,3)</f>
        <v>0.30499999999999999</v>
      </c>
      <c r="W142" s="7">
        <f>ROUND(7.37/E142,3)</f>
        <v>0.09</v>
      </c>
      <c r="X142" s="7">
        <v>0.51</v>
      </c>
      <c r="Y142" s="7">
        <v>0.53</v>
      </c>
      <c r="Z142" s="7">
        <v>0.53</v>
      </c>
      <c r="AA142" s="7">
        <f>ROUND(59.77/E142,3)</f>
        <v>0.72899999999999998</v>
      </c>
      <c r="AB142" s="7">
        <f>ROUND(2/E142,3)</f>
        <v>2.4E-2</v>
      </c>
      <c r="AC142" s="7">
        <v>8475218</v>
      </c>
    </row>
    <row r="143" spans="1:29" ht="15" customHeight="1" x14ac:dyDescent="0.2">
      <c r="A143" s="7" t="s">
        <v>450</v>
      </c>
      <c r="B143" s="7" t="s">
        <v>376</v>
      </c>
      <c r="C143" s="7" t="s">
        <v>1439</v>
      </c>
      <c r="D143" s="7">
        <v>33</v>
      </c>
      <c r="E143" s="7">
        <v>78</v>
      </c>
      <c r="F143" s="7">
        <f>ROUND(16/E143,3)</f>
        <v>0.20499999999999999</v>
      </c>
      <c r="G143" s="7">
        <f>ROUND(24/E143,3)</f>
        <v>0.308</v>
      </c>
      <c r="H143" s="7">
        <f>ROUND(148/E143,3)</f>
        <v>1.897</v>
      </c>
      <c r="I143" s="7">
        <f>ROUND(70/E143,3)</f>
        <v>0.89700000000000002</v>
      </c>
      <c r="J143" s="7">
        <f>ROUND(132/E143,3)</f>
        <v>1.6919999999999999</v>
      </c>
      <c r="K143" s="7">
        <f t="shared" si="4"/>
        <v>7.5255000000000001</v>
      </c>
      <c r="L143" s="7">
        <f>ROUND(1716.8166666667/E143,3)</f>
        <v>22.01</v>
      </c>
      <c r="M143" s="7">
        <f>ROUND(42/E143,3)</f>
        <v>0.53800000000000003</v>
      </c>
      <c r="N143" s="7" t="s">
        <v>112</v>
      </c>
      <c r="O143" s="7" t="s">
        <v>1440</v>
      </c>
      <c r="P143" s="7">
        <f>ROUND(305/E143,3)</f>
        <v>3.91</v>
      </c>
      <c r="Q143" s="7">
        <f>ROUND(205/E143,3)</f>
        <v>2.6280000000000001</v>
      </c>
      <c r="R143" s="7">
        <f>ROUND(81/E143,3)</f>
        <v>1.038</v>
      </c>
      <c r="S143" s="7">
        <f>ROUND(18/E143,3)</f>
        <v>0.23100000000000001</v>
      </c>
      <c r="T143" s="7">
        <f>ROUND(8.94/E143,3)</f>
        <v>0.115</v>
      </c>
      <c r="U143" s="7">
        <f>ROUND(64/E143,3)</f>
        <v>0.82099999999999995</v>
      </c>
      <c r="V143" s="7">
        <f>ROUND(27/E143,3)</f>
        <v>0.34599999999999997</v>
      </c>
      <c r="W143" s="7">
        <f>ROUND(7.85/E143,3)</f>
        <v>0.10100000000000001</v>
      </c>
      <c r="X143" s="7">
        <v>0.43</v>
      </c>
      <c r="Y143" s="7">
        <v>0.47</v>
      </c>
      <c r="Z143" s="7">
        <v>0.47</v>
      </c>
      <c r="AA143" s="7">
        <f>ROUND(33.55/E143,3)</f>
        <v>0.43</v>
      </c>
      <c r="AB143" s="7">
        <f>ROUND(2/E143,3)</f>
        <v>2.5999999999999999E-2</v>
      </c>
      <c r="AC143" s="7">
        <v>8475753</v>
      </c>
    </row>
    <row r="144" spans="1:29" ht="15" customHeight="1" x14ac:dyDescent="0.2">
      <c r="A144" s="7" t="s">
        <v>453</v>
      </c>
      <c r="B144" s="7" t="s">
        <v>376</v>
      </c>
      <c r="C144" s="7" t="s">
        <v>66</v>
      </c>
      <c r="D144" s="7">
        <v>27</v>
      </c>
      <c r="E144" s="7">
        <v>82</v>
      </c>
      <c r="F144" s="7">
        <f>ROUND(8/E144,3)</f>
        <v>9.8000000000000004E-2</v>
      </c>
      <c r="G144" s="7">
        <f>ROUND(32/E144,3)</f>
        <v>0.39</v>
      </c>
      <c r="H144" s="7">
        <f>ROUND(164/E144,3)</f>
        <v>2</v>
      </c>
      <c r="I144" s="7">
        <f>ROUND(46/E144,3)</f>
        <v>0.56100000000000005</v>
      </c>
      <c r="J144" s="7">
        <f>ROUND(95/E144,3)</f>
        <v>1.159</v>
      </c>
      <c r="K144" s="7">
        <f t="shared" si="4"/>
        <v>6.5634999999999994</v>
      </c>
      <c r="L144" s="7">
        <f>ROUND(1444.5333333333/E144,3)</f>
        <v>17.616</v>
      </c>
      <c r="M144" s="7">
        <f>ROUND(22/E144,3)</f>
        <v>0.26800000000000002</v>
      </c>
      <c r="N144" s="7" t="s">
        <v>557</v>
      </c>
      <c r="O144" s="7" t="s">
        <v>522</v>
      </c>
      <c r="P144" s="7">
        <f>ROUND(414/E144,3)</f>
        <v>5.0490000000000004</v>
      </c>
      <c r="Q144" s="7">
        <f>ROUND(252/E144,3)</f>
        <v>3.073</v>
      </c>
      <c r="R144" s="7">
        <f>ROUND(99/E144,3)</f>
        <v>1.2070000000000001</v>
      </c>
      <c r="S144" s="7">
        <f>ROUND(8/E144,3)</f>
        <v>9.8000000000000004E-2</v>
      </c>
      <c r="T144" s="7">
        <f>ROUND(6.09/E144,3)</f>
        <v>7.3999999999999996E-2</v>
      </c>
      <c r="U144" s="7">
        <f>ROUND(76/E144,3)</f>
        <v>0.92700000000000005</v>
      </c>
      <c r="V144" s="7">
        <f>ROUND(23/E144,3)</f>
        <v>0.28000000000000003</v>
      </c>
      <c r="W144" s="7">
        <f>ROUND(6.41/E144,3)</f>
        <v>7.8E-2</v>
      </c>
      <c r="X144" s="7">
        <v>0.57999999999999996</v>
      </c>
      <c r="Y144" s="7">
        <v>0.56999999999999995</v>
      </c>
      <c r="Z144" s="7">
        <v>0.56999999999999995</v>
      </c>
      <c r="AA144" s="7">
        <f>ROUND(73.45/E144,3)</f>
        <v>0.89600000000000002</v>
      </c>
      <c r="AB144" s="7">
        <f>ROUND(2/E144,3)</f>
        <v>2.4E-2</v>
      </c>
      <c r="AC144" s="7">
        <v>8484258</v>
      </c>
    </row>
    <row r="145" spans="1:29" ht="15" customHeight="1" x14ac:dyDescent="0.2">
      <c r="A145" s="7" t="s">
        <v>454</v>
      </c>
      <c r="B145" s="7" t="s">
        <v>376</v>
      </c>
      <c r="C145" s="7" t="s">
        <v>184</v>
      </c>
      <c r="D145" s="7">
        <v>22</v>
      </c>
      <c r="E145" s="7">
        <v>82</v>
      </c>
      <c r="F145" s="7">
        <f>ROUND(8/E145,3)</f>
        <v>9.8000000000000004E-2</v>
      </c>
      <c r="G145" s="7">
        <f>ROUND(32/E145,3)</f>
        <v>0.39</v>
      </c>
      <c r="H145" s="7">
        <f>ROUND(159/E145,3)</f>
        <v>1.9390000000000001</v>
      </c>
      <c r="I145" s="7">
        <f>ROUND(31/E145,3)</f>
        <v>0.378</v>
      </c>
      <c r="J145" s="7">
        <f>ROUND(185/E145,3)</f>
        <v>2.2559999999999998</v>
      </c>
      <c r="K145" s="7">
        <f t="shared" si="4"/>
        <v>7.5079999999999991</v>
      </c>
      <c r="L145" s="7">
        <f>ROUND(1623.7833333333/E145,3)</f>
        <v>19.802</v>
      </c>
      <c r="M145" s="7">
        <f>ROUND(63/E145,3)</f>
        <v>0.76800000000000002</v>
      </c>
      <c r="N145" s="7" t="s">
        <v>604</v>
      </c>
      <c r="O145" s="7" t="s">
        <v>1441</v>
      </c>
      <c r="P145" s="7">
        <f>ROUND(329/E145,3)</f>
        <v>4.0119999999999996</v>
      </c>
      <c r="Q145" s="7">
        <f>ROUND(224/E145,3)</f>
        <v>2.7320000000000002</v>
      </c>
      <c r="R145" s="7">
        <f>ROUND(106/E145,3)</f>
        <v>1.2929999999999999</v>
      </c>
      <c r="S145" s="7">
        <f>ROUND(24/E145,3)</f>
        <v>0.29299999999999998</v>
      </c>
      <c r="T145" s="7">
        <f>ROUND(9.3/E145,3)</f>
        <v>0.113</v>
      </c>
      <c r="U145" s="7">
        <f>ROUND(93/E145,3)</f>
        <v>1.1339999999999999</v>
      </c>
      <c r="V145" s="7">
        <f>ROUND(26/E145,3)</f>
        <v>0.317</v>
      </c>
      <c r="W145" s="7">
        <f>ROUND(8.08/E145,3)</f>
        <v>9.9000000000000005E-2</v>
      </c>
      <c r="X145" s="7">
        <v>0.56999999999999995</v>
      </c>
      <c r="Y145" s="7">
        <v>0.57999999999999996</v>
      </c>
      <c r="Z145" s="7">
        <v>0.57999999999999996</v>
      </c>
      <c r="AA145" s="7">
        <f>ROUND(62.47/E145,3)</f>
        <v>0.76200000000000001</v>
      </c>
      <c r="AB145" s="7">
        <f>ROUND(5/E145,3)</f>
        <v>6.0999999999999999E-2</v>
      </c>
      <c r="AC145" s="7">
        <v>8482730</v>
      </c>
    </row>
    <row r="146" spans="1:29" ht="15" customHeight="1" x14ac:dyDescent="0.2">
      <c r="A146" s="7" t="s">
        <v>455</v>
      </c>
      <c r="B146" s="7" t="s">
        <v>376</v>
      </c>
      <c r="C146" s="7" t="s">
        <v>102</v>
      </c>
      <c r="D146" s="7">
        <v>30</v>
      </c>
      <c r="E146" s="7">
        <v>70</v>
      </c>
      <c r="F146" s="7">
        <f>ROUND(10/E146,3)</f>
        <v>0.14299999999999999</v>
      </c>
      <c r="G146" s="7">
        <f>ROUND(29/E146,3)</f>
        <v>0.41399999999999998</v>
      </c>
      <c r="H146" s="7">
        <f>ROUND(129/E146,3)</f>
        <v>1.843</v>
      </c>
      <c r="I146" s="7">
        <f>ROUND(2/E146,3)</f>
        <v>2.9000000000000001E-2</v>
      </c>
      <c r="J146" s="7">
        <f>ROUND(87/E146,3)</f>
        <v>1.2430000000000001</v>
      </c>
      <c r="K146" s="7">
        <f t="shared" ref="K146:K173" si="5">8*F146+6*G146+1*H146+1*J146+0.5*I146</f>
        <v>6.7285000000000004</v>
      </c>
      <c r="L146" s="7">
        <f>ROUND(1598.55/E146,3)</f>
        <v>22.835999999999999</v>
      </c>
      <c r="M146" s="7">
        <f>ROUND(24/E146,3)</f>
        <v>0.34300000000000003</v>
      </c>
      <c r="N146" s="7" t="s">
        <v>490</v>
      </c>
      <c r="O146" s="7" t="s">
        <v>1442</v>
      </c>
      <c r="P146" s="7">
        <f>ROUND(322/E146,3)</f>
        <v>4.5999999999999996</v>
      </c>
      <c r="Q146" s="7">
        <f>ROUND(198/E146,3)</f>
        <v>2.8290000000000002</v>
      </c>
      <c r="R146" s="7">
        <f>ROUND(91/E146,3)</f>
        <v>1.3</v>
      </c>
      <c r="S146" s="7">
        <f>ROUND(14/E146,3)</f>
        <v>0.2</v>
      </c>
      <c r="T146" s="7">
        <f>ROUND(8.66/E146,3)</f>
        <v>0.124</v>
      </c>
      <c r="U146" s="7">
        <f>ROUND(90/E146,3)</f>
        <v>1.286</v>
      </c>
      <c r="V146" s="7">
        <f>ROUND(23/E146,3)</f>
        <v>0.32900000000000001</v>
      </c>
      <c r="W146" s="7">
        <f>ROUND(8.06/E146,3)</f>
        <v>0.115</v>
      </c>
      <c r="X146" s="7">
        <v>0.53</v>
      </c>
      <c r="Y146" s="7">
        <v>0.53</v>
      </c>
      <c r="Z146" s="7">
        <v>0.53</v>
      </c>
      <c r="AA146" s="7">
        <f>ROUND(52.1/E146,3)</f>
        <v>0.74399999999999999</v>
      </c>
      <c r="AB146" s="7">
        <f>ROUND(4/E146,3)</f>
        <v>5.7000000000000002E-2</v>
      </c>
      <c r="AC146" s="7">
        <v>8477447</v>
      </c>
    </row>
    <row r="147" spans="1:29" ht="15" customHeight="1" x14ac:dyDescent="0.2">
      <c r="A147" s="7" t="s">
        <v>458</v>
      </c>
      <c r="B147" s="7" t="s">
        <v>376</v>
      </c>
      <c r="C147" s="7" t="s">
        <v>146</v>
      </c>
      <c r="D147" s="7">
        <v>34</v>
      </c>
      <c r="E147" s="7">
        <v>78</v>
      </c>
      <c r="F147" s="7">
        <f>ROUND(8/E147,3)</f>
        <v>0.10299999999999999</v>
      </c>
      <c r="G147" s="7">
        <f>ROUND(31/E147,3)</f>
        <v>0.39700000000000002</v>
      </c>
      <c r="H147" s="7">
        <f>ROUND(108/E147,3)</f>
        <v>1.385</v>
      </c>
      <c r="I147" s="7">
        <f>ROUND(86/E147,3)</f>
        <v>1.103</v>
      </c>
      <c r="J147" s="7">
        <f>ROUND(72/E147,3)</f>
        <v>0.92300000000000004</v>
      </c>
      <c r="K147" s="7">
        <f t="shared" si="5"/>
        <v>6.0655000000000001</v>
      </c>
      <c r="L147" s="7">
        <f>ROUND(1606.4833333333/E147,3)</f>
        <v>20.596</v>
      </c>
      <c r="M147" s="7">
        <f>ROUND(70/E147,3)</f>
        <v>0.89700000000000002</v>
      </c>
      <c r="N147" s="7" t="s">
        <v>1443</v>
      </c>
      <c r="O147" s="7" t="s">
        <v>1214</v>
      </c>
      <c r="P147" s="7">
        <f>ROUND(269/E147,3)</f>
        <v>3.4489999999999998</v>
      </c>
      <c r="Q147" s="7">
        <f>ROUND(161/E147,3)</f>
        <v>2.0640000000000001</v>
      </c>
      <c r="R147" s="7">
        <f>ROUND(81/E147,3)</f>
        <v>1.038</v>
      </c>
      <c r="S147" s="7">
        <f>ROUND(14/E147,3)</f>
        <v>0.17899999999999999</v>
      </c>
      <c r="T147" s="7">
        <f>ROUND(5.64/E147,3)</f>
        <v>7.1999999999999995E-2</v>
      </c>
      <c r="U147" s="7">
        <f>ROUND(109/E147,3)</f>
        <v>1.397</v>
      </c>
      <c r="V147" s="7">
        <f>ROUND(16/E147,3)</f>
        <v>0.20499999999999999</v>
      </c>
      <c r="W147" s="7">
        <f>ROUND(5.49/E147,3)</f>
        <v>7.0000000000000007E-2</v>
      </c>
      <c r="X147" s="7">
        <v>0.48</v>
      </c>
      <c r="Y147" s="7">
        <v>0.5</v>
      </c>
      <c r="Z147" s="7">
        <v>0.49</v>
      </c>
      <c r="AA147" s="7">
        <f>ROUND(25.95/E147,3)</f>
        <v>0.33300000000000002</v>
      </c>
      <c r="AB147" s="7">
        <f>ROUND(3/E147,3)</f>
        <v>3.7999999999999999E-2</v>
      </c>
      <c r="AC147" s="7">
        <v>8475171</v>
      </c>
    </row>
    <row r="148" spans="1:29" ht="15" customHeight="1" x14ac:dyDescent="0.2">
      <c r="A148" s="7" t="s">
        <v>461</v>
      </c>
      <c r="B148" s="7" t="s">
        <v>376</v>
      </c>
      <c r="C148" s="7" t="s">
        <v>153</v>
      </c>
      <c r="D148" s="7">
        <v>32</v>
      </c>
      <c r="E148" s="7">
        <v>77</v>
      </c>
      <c r="F148" s="7">
        <f>ROUND(12/E148,3)</f>
        <v>0.156</v>
      </c>
      <c r="G148" s="7">
        <f>ROUND(26/E148,3)</f>
        <v>0.33800000000000002</v>
      </c>
      <c r="H148" s="7">
        <f>ROUND(203/E148,3)</f>
        <v>2.6360000000000001</v>
      </c>
      <c r="I148" s="7">
        <f>ROUND(87/E148,3)</f>
        <v>1.1299999999999999</v>
      </c>
      <c r="J148" s="7">
        <f>ROUND(77/E148,3)</f>
        <v>1</v>
      </c>
      <c r="K148" s="7">
        <f t="shared" si="5"/>
        <v>7.4770000000000003</v>
      </c>
      <c r="L148" s="7">
        <f>ROUND(1658.5833333333/E148,3)</f>
        <v>21.54</v>
      </c>
      <c r="M148" s="7">
        <f>ROUND(50/E148,3)</f>
        <v>0.64900000000000002</v>
      </c>
      <c r="N148" s="7" t="s">
        <v>1444</v>
      </c>
      <c r="O148" s="7" t="s">
        <v>1445</v>
      </c>
      <c r="P148" s="7">
        <f>ROUND(457/E148,3)</f>
        <v>5.9349999999999996</v>
      </c>
      <c r="Q148" s="7">
        <f>ROUND(299/E148,3)</f>
        <v>3.883</v>
      </c>
      <c r="R148" s="7">
        <f>ROUND(123/E148,3)</f>
        <v>1.597</v>
      </c>
      <c r="S148" s="7">
        <f>ROUND(16/E148,3)</f>
        <v>0.20799999999999999</v>
      </c>
      <c r="T148" s="7">
        <f>ROUND(11.58/E148,3)</f>
        <v>0.15</v>
      </c>
      <c r="U148" s="7">
        <f>ROUND(119/E148,3)</f>
        <v>1.5449999999999999</v>
      </c>
      <c r="V148" s="7">
        <f>ROUND(14/E148,3)</f>
        <v>0.182</v>
      </c>
      <c r="W148" s="7">
        <f>ROUND(11.42/E148,3)</f>
        <v>0.14799999999999999</v>
      </c>
      <c r="X148" s="7">
        <v>0.55000000000000004</v>
      </c>
      <c r="Y148" s="7">
        <v>0.56000000000000005</v>
      </c>
      <c r="Z148" s="7">
        <v>0.56000000000000005</v>
      </c>
      <c r="AA148" s="7">
        <f>ROUND(51.52/E148,3)</f>
        <v>0.66900000000000004</v>
      </c>
      <c r="AB148" s="7">
        <f>ROUND(9/E148,3)</f>
        <v>0.11700000000000001</v>
      </c>
      <c r="AC148" s="7">
        <v>8476462</v>
      </c>
    </row>
    <row r="149" spans="1:29" ht="15" customHeight="1" x14ac:dyDescent="0.2">
      <c r="A149" s="7" t="s">
        <v>463</v>
      </c>
      <c r="B149" s="7" t="s">
        <v>376</v>
      </c>
      <c r="C149" s="7" t="s">
        <v>220</v>
      </c>
      <c r="D149" s="7">
        <v>29</v>
      </c>
      <c r="E149" s="7">
        <v>81</v>
      </c>
      <c r="F149" s="7">
        <f>ROUND(11/E149,3)</f>
        <v>0.13600000000000001</v>
      </c>
      <c r="G149" s="7">
        <f>ROUND(26/E149,3)</f>
        <v>0.32100000000000001</v>
      </c>
      <c r="H149" s="7">
        <f>ROUND(95/E149,3)</f>
        <v>1.173</v>
      </c>
      <c r="I149" s="7">
        <f>ROUND(46/E149,3)</f>
        <v>0.56799999999999995</v>
      </c>
      <c r="J149" s="7">
        <f>ROUND(151/E149,3)</f>
        <v>1.8640000000000001</v>
      </c>
      <c r="K149" s="7">
        <f t="shared" si="5"/>
        <v>6.335</v>
      </c>
      <c r="L149" s="7">
        <f>ROUND(1962.0333333333/E149,3)</f>
        <v>24.222999999999999</v>
      </c>
      <c r="M149" s="7">
        <f>ROUND(20/E149,3)</f>
        <v>0.247</v>
      </c>
      <c r="N149" s="7" t="s">
        <v>1446</v>
      </c>
      <c r="O149" s="7" t="s">
        <v>1447</v>
      </c>
      <c r="P149" s="7">
        <f>ROUND(245/E149,3)</f>
        <v>3.0249999999999999</v>
      </c>
      <c r="Q149" s="7">
        <f>ROUND(163/E149,3)</f>
        <v>2.012</v>
      </c>
      <c r="R149" s="7">
        <f>ROUND(85/E149,3)</f>
        <v>1.0489999999999999</v>
      </c>
      <c r="S149" s="7">
        <f>ROUND(19/E149,3)</f>
        <v>0.23499999999999999</v>
      </c>
      <c r="T149" s="7">
        <f>ROUND(8.49/E149,3)</f>
        <v>0.105</v>
      </c>
      <c r="U149" s="7">
        <f>ROUND(105/E149,3)</f>
        <v>1.296</v>
      </c>
      <c r="V149" s="7">
        <f>ROUND(26/E149,3)</f>
        <v>0.32100000000000001</v>
      </c>
      <c r="W149" s="7">
        <f>ROUND(8.38/E149,3)</f>
        <v>0.10299999999999999</v>
      </c>
      <c r="X149" s="7">
        <v>0.48</v>
      </c>
      <c r="Y149" s="7">
        <v>0.45</v>
      </c>
      <c r="Z149" s="7">
        <v>0.46</v>
      </c>
      <c r="AA149" s="7">
        <f>ROUND(35.87/E149,3)</f>
        <v>0.443</v>
      </c>
      <c r="AB149" s="7">
        <f>ROUND(7/E149,3)</f>
        <v>8.5999999999999993E-2</v>
      </c>
      <c r="AC149" s="7">
        <v>8477948</v>
      </c>
    </row>
    <row r="150" spans="1:29" ht="15" customHeight="1" x14ac:dyDescent="0.2">
      <c r="A150" s="7" t="s">
        <v>466</v>
      </c>
      <c r="B150" s="7" t="s">
        <v>376</v>
      </c>
      <c r="C150" s="7" t="s">
        <v>80</v>
      </c>
      <c r="D150" s="7">
        <v>25</v>
      </c>
      <c r="E150" s="7">
        <v>72</v>
      </c>
      <c r="F150" s="7">
        <f>ROUND(8/E150,3)</f>
        <v>0.111</v>
      </c>
      <c r="G150" s="7">
        <f>ROUND(29/E150,3)</f>
        <v>0.40300000000000002</v>
      </c>
      <c r="H150" s="7">
        <f>ROUND(123/E150,3)</f>
        <v>1.708</v>
      </c>
      <c r="I150" s="7">
        <f>ROUND(101/E150,3)</f>
        <v>1.403</v>
      </c>
      <c r="J150" s="7">
        <f>ROUND(79/E150,3)</f>
        <v>1.097</v>
      </c>
      <c r="K150" s="7">
        <f t="shared" si="5"/>
        <v>6.8125000000000009</v>
      </c>
      <c r="L150" s="7">
        <f>ROUND(1612.2833333333/E150,3)</f>
        <v>22.393000000000001</v>
      </c>
      <c r="M150" s="7">
        <f>ROUND(56/E150,3)</f>
        <v>0.77800000000000002</v>
      </c>
      <c r="N150" s="7" t="s">
        <v>1448</v>
      </c>
      <c r="O150" s="7" t="s">
        <v>1449</v>
      </c>
      <c r="P150" s="7">
        <f>ROUND(309/E150,3)</f>
        <v>4.2919999999999998</v>
      </c>
      <c r="Q150" s="7">
        <f>ROUND(196/E150,3)</f>
        <v>2.722</v>
      </c>
      <c r="R150" s="7">
        <f>ROUND(85/E150,3)</f>
        <v>1.181</v>
      </c>
      <c r="S150" s="7">
        <f>ROUND(15/E150,3)</f>
        <v>0.20799999999999999</v>
      </c>
      <c r="T150" s="7">
        <f>ROUND(5.71/E150,3)</f>
        <v>7.9000000000000001E-2</v>
      </c>
      <c r="U150" s="7">
        <f>ROUND(80/E150,3)</f>
        <v>1.111</v>
      </c>
      <c r="V150" s="7">
        <f>ROUND(44/E150,3)</f>
        <v>0.61099999999999999</v>
      </c>
      <c r="W150" s="7">
        <f>ROUND(5.92/E150,3)</f>
        <v>8.2000000000000003E-2</v>
      </c>
      <c r="X150" s="7">
        <v>0.56000000000000005</v>
      </c>
      <c r="Y150" s="7">
        <v>0.6</v>
      </c>
      <c r="Z150" s="7">
        <v>0.6</v>
      </c>
      <c r="AA150" s="7">
        <f>ROUND(65.16/E150,3)</f>
        <v>0.90500000000000003</v>
      </c>
      <c r="AB150" s="7">
        <f>ROUND(3/E150,3)</f>
        <v>4.2000000000000003E-2</v>
      </c>
      <c r="AC150" s="7">
        <v>8480817</v>
      </c>
    </row>
    <row r="151" spans="1:29" ht="15" customHeight="1" x14ac:dyDescent="0.2">
      <c r="A151" s="7" t="s">
        <v>469</v>
      </c>
      <c r="B151" s="7" t="s">
        <v>376</v>
      </c>
      <c r="C151" s="7" t="s">
        <v>76</v>
      </c>
      <c r="D151" s="7">
        <v>31</v>
      </c>
      <c r="E151" s="7">
        <v>78</v>
      </c>
      <c r="F151" s="7">
        <f>ROUND(7/E151,3)</f>
        <v>0.09</v>
      </c>
      <c r="G151" s="7">
        <f>ROUND(30/E151,3)</f>
        <v>0.38500000000000001</v>
      </c>
      <c r="H151" s="7">
        <f>ROUND(114/E151,3)</f>
        <v>1.462</v>
      </c>
      <c r="I151" s="7">
        <f>ROUND(59/E151,3)</f>
        <v>0.75600000000000001</v>
      </c>
      <c r="J151" s="7">
        <f>ROUND(150/E151,3)</f>
        <v>1.923</v>
      </c>
      <c r="K151" s="7">
        <f t="shared" si="5"/>
        <v>6.7930000000000001</v>
      </c>
      <c r="L151" s="7">
        <f>ROUND(1884.7166666667/E151,3)</f>
        <v>24.163</v>
      </c>
      <c r="M151" s="7">
        <f>ROUND(34/E151,3)</f>
        <v>0.436</v>
      </c>
      <c r="N151" s="7" t="s">
        <v>1450</v>
      </c>
      <c r="O151" s="7" t="s">
        <v>1451</v>
      </c>
      <c r="P151" s="7">
        <f>ROUND(267/E151,3)</f>
        <v>3.423</v>
      </c>
      <c r="Q151" s="7">
        <f>ROUND(166/E151,3)</f>
        <v>2.1280000000000001</v>
      </c>
      <c r="R151" s="7">
        <f>ROUND(79/E151,3)</f>
        <v>1.0129999999999999</v>
      </c>
      <c r="S151" s="7">
        <f>ROUND(12/E151,3)</f>
        <v>0.154</v>
      </c>
      <c r="T151" s="7">
        <f>ROUND(7.26/E151,3)</f>
        <v>9.2999999999999999E-2</v>
      </c>
      <c r="U151" s="7">
        <f>ROUND(94/E151,3)</f>
        <v>1.2050000000000001</v>
      </c>
      <c r="V151" s="7">
        <f>ROUND(24/E151,3)</f>
        <v>0.308</v>
      </c>
      <c r="W151" s="7">
        <f>ROUND(7.72/E151,3)</f>
        <v>9.9000000000000005E-2</v>
      </c>
      <c r="X151" s="7">
        <v>0.42</v>
      </c>
      <c r="Y151" s="7">
        <v>0.4</v>
      </c>
      <c r="Z151" s="7">
        <v>0.41</v>
      </c>
      <c r="AA151" s="7">
        <f>ROUND(29.25/E151,3)</f>
        <v>0.375</v>
      </c>
      <c r="AB151" s="7">
        <f>ROUND(6/E151,3)</f>
        <v>7.6999999999999999E-2</v>
      </c>
      <c r="AC151" s="7">
        <v>8476875</v>
      </c>
    </row>
    <row r="152" spans="1:29" ht="15" customHeight="1" x14ac:dyDescent="0.2">
      <c r="A152" s="7" t="s">
        <v>472</v>
      </c>
      <c r="B152" s="7" t="s">
        <v>376</v>
      </c>
      <c r="C152" s="7" t="s">
        <v>297</v>
      </c>
      <c r="D152" s="7">
        <v>34</v>
      </c>
      <c r="E152" s="7">
        <v>82</v>
      </c>
      <c r="F152" s="7">
        <f>ROUND(3/E152,3)</f>
        <v>3.6999999999999998E-2</v>
      </c>
      <c r="G152" s="7">
        <f>ROUND(34/E152,3)</f>
        <v>0.41499999999999998</v>
      </c>
      <c r="H152" s="7">
        <f>ROUND(91/E152,3)</f>
        <v>1.1100000000000001</v>
      </c>
      <c r="I152" s="7">
        <f>ROUND(123/E152,3)</f>
        <v>1.5</v>
      </c>
      <c r="J152" s="7">
        <f>ROUND(77/E152,3)</f>
        <v>0.93899999999999995</v>
      </c>
      <c r="K152" s="7">
        <f t="shared" si="5"/>
        <v>5.585</v>
      </c>
      <c r="L152" s="7">
        <f>ROUND(1738.05/E152,3)</f>
        <v>21.196000000000002</v>
      </c>
      <c r="M152" s="7">
        <f>ROUND(48/E152,3)</f>
        <v>0.58499999999999996</v>
      </c>
      <c r="N152" s="7" t="s">
        <v>1452</v>
      </c>
      <c r="O152" s="7" t="s">
        <v>1453</v>
      </c>
      <c r="P152" s="7">
        <f>ROUND(237/E152,3)</f>
        <v>2.89</v>
      </c>
      <c r="Q152" s="7">
        <f>ROUND(149/E152,3)</f>
        <v>1.8169999999999999</v>
      </c>
      <c r="R152" s="7">
        <f>ROUND(60/E152,3)</f>
        <v>0.73199999999999998</v>
      </c>
      <c r="S152" s="7">
        <f>ROUND(10/E152,3)</f>
        <v>0.122</v>
      </c>
      <c r="T152" s="7">
        <f>ROUND(4.96/E152,3)</f>
        <v>0.06</v>
      </c>
      <c r="U152" s="7">
        <f>ROUND(105/E152,3)</f>
        <v>1.28</v>
      </c>
      <c r="V152" s="7">
        <f>ROUND(22/E152,3)</f>
        <v>0.26800000000000002</v>
      </c>
      <c r="W152" s="7">
        <f>ROUND(4.59/E152,3)</f>
        <v>5.6000000000000001E-2</v>
      </c>
      <c r="X152" s="7">
        <v>0.53</v>
      </c>
      <c r="Y152" s="7">
        <v>0.53</v>
      </c>
      <c r="Z152" s="7">
        <v>0.51</v>
      </c>
      <c r="AA152" s="7">
        <f>ROUND(31.47/E152,3)</f>
        <v>0.38400000000000001</v>
      </c>
      <c r="AB152" s="7">
        <f>ROUND(0/E152,3)</f>
        <v>0</v>
      </c>
      <c r="AC152" s="7">
        <v>8475200</v>
      </c>
    </row>
    <row r="153" spans="1:29" ht="15" customHeight="1" x14ac:dyDescent="0.2">
      <c r="A153" s="7" t="s">
        <v>475</v>
      </c>
      <c r="B153" s="7" t="s">
        <v>376</v>
      </c>
      <c r="C153" s="7" t="s">
        <v>146</v>
      </c>
      <c r="D153" s="7">
        <v>31</v>
      </c>
      <c r="E153" s="7">
        <v>78</v>
      </c>
      <c r="F153" s="7">
        <f>ROUND(11/E153,3)</f>
        <v>0.14099999999999999</v>
      </c>
      <c r="G153" s="7">
        <f>ROUND(25/E153,3)</f>
        <v>0.32100000000000001</v>
      </c>
      <c r="H153" s="7">
        <f>ROUND(141/E153,3)</f>
        <v>1.8080000000000001</v>
      </c>
      <c r="I153" s="7">
        <f>ROUND(35/E153,3)</f>
        <v>0.44900000000000001</v>
      </c>
      <c r="J153" s="7">
        <f>ROUND(114/E153,3)</f>
        <v>1.462</v>
      </c>
      <c r="K153" s="7">
        <f t="shared" si="5"/>
        <v>6.5484999999999998</v>
      </c>
      <c r="L153" s="7">
        <f>ROUND(1648.6666666667/E153,3)</f>
        <v>21.137</v>
      </c>
      <c r="M153" s="7">
        <f>ROUND(29/E153,3)</f>
        <v>0.372</v>
      </c>
      <c r="N153" s="7" t="s">
        <v>1454</v>
      </c>
      <c r="O153" s="7" t="s">
        <v>1455</v>
      </c>
      <c r="P153" s="7">
        <f>ROUND(330/E153,3)</f>
        <v>4.2309999999999999</v>
      </c>
      <c r="Q153" s="7">
        <f>ROUND(222/E153,3)</f>
        <v>2.8460000000000001</v>
      </c>
      <c r="R153" s="7">
        <f>ROUND(104/E153,3)</f>
        <v>1.333</v>
      </c>
      <c r="S153" s="7">
        <f>ROUND(13/E153,3)</f>
        <v>0.16700000000000001</v>
      </c>
      <c r="T153" s="7">
        <f>ROUND(8.43/E153,3)</f>
        <v>0.108</v>
      </c>
      <c r="U153" s="7">
        <f>ROUND(87/E153,3)</f>
        <v>1.115</v>
      </c>
      <c r="V153" s="7">
        <f>ROUND(22/E153,3)</f>
        <v>0.28199999999999997</v>
      </c>
      <c r="W153" s="7">
        <f>ROUND(8.39/E153,3)</f>
        <v>0.108</v>
      </c>
      <c r="X153" s="7">
        <v>0.52</v>
      </c>
      <c r="Y153" s="7">
        <v>0.51</v>
      </c>
      <c r="Z153" s="7">
        <v>0.51</v>
      </c>
      <c r="AA153" s="7">
        <f>ROUND(32.43/E153,3)</f>
        <v>0.41599999999999998</v>
      </c>
      <c r="AB153" s="7">
        <f>ROUND(6/E153,3)</f>
        <v>7.6999999999999999E-2</v>
      </c>
      <c r="AC153" s="7">
        <v>8476853</v>
      </c>
    </row>
    <row r="154" spans="1:29" ht="15" customHeight="1" x14ac:dyDescent="0.2">
      <c r="A154" s="7" t="s">
        <v>478</v>
      </c>
      <c r="B154" s="7" t="s">
        <v>376</v>
      </c>
      <c r="C154" s="7" t="s">
        <v>93</v>
      </c>
      <c r="D154" s="7">
        <v>24</v>
      </c>
      <c r="E154" s="7">
        <v>70</v>
      </c>
      <c r="F154" s="7">
        <f>ROUND(6/E154,3)</f>
        <v>8.5999999999999993E-2</v>
      </c>
      <c r="G154" s="7">
        <f>ROUND(30/E154,3)</f>
        <v>0.42899999999999999</v>
      </c>
      <c r="H154" s="7">
        <f>ROUND(113/E154,3)</f>
        <v>1.6140000000000001</v>
      </c>
      <c r="I154" s="7">
        <f>ROUND(39/E154,3)</f>
        <v>0.55700000000000005</v>
      </c>
      <c r="J154" s="7">
        <f>ROUND(148/E154,3)</f>
        <v>2.1139999999999999</v>
      </c>
      <c r="K154" s="7">
        <f t="shared" si="5"/>
        <v>7.2684999999999995</v>
      </c>
      <c r="L154" s="7">
        <f>ROUND(1613.95/E154,3)</f>
        <v>23.056000000000001</v>
      </c>
      <c r="M154" s="7">
        <f>ROUND(26/E154,3)</f>
        <v>0.371</v>
      </c>
      <c r="N154" s="7" t="s">
        <v>1256</v>
      </c>
      <c r="O154" s="7" t="s">
        <v>935</v>
      </c>
      <c r="P154" s="7">
        <f>ROUND(289/E154,3)</f>
        <v>4.1289999999999996</v>
      </c>
      <c r="Q154" s="7">
        <f>ROUND(173/E154,3)</f>
        <v>2.4710000000000001</v>
      </c>
      <c r="R154" s="7">
        <f>ROUND(88/E154,3)</f>
        <v>1.2569999999999999</v>
      </c>
      <c r="S154" s="7">
        <f>ROUND(9/E154,3)</f>
        <v>0.129</v>
      </c>
      <c r="T154" s="7">
        <f>ROUND(7.71/E154,3)</f>
        <v>0.11</v>
      </c>
      <c r="U154" s="7">
        <f>ROUND(84/E154,3)</f>
        <v>1.2</v>
      </c>
      <c r="V154" s="7">
        <f>ROUND(36/E154,3)</f>
        <v>0.51400000000000001</v>
      </c>
      <c r="W154" s="7">
        <f>ROUND(8.12/E154,3)</f>
        <v>0.11600000000000001</v>
      </c>
      <c r="X154" s="7">
        <v>0.5</v>
      </c>
      <c r="Y154" s="7">
        <v>0.48</v>
      </c>
      <c r="Z154" s="7">
        <v>0.48</v>
      </c>
      <c r="AA154" s="7">
        <f>ROUND(32.77/E154,3)</f>
        <v>0.46800000000000003</v>
      </c>
      <c r="AB154" s="7">
        <f>ROUND(5/E154,3)</f>
        <v>7.0999999999999994E-2</v>
      </c>
      <c r="AC154" s="7">
        <v>8481581</v>
      </c>
    </row>
    <row r="155" spans="1:29" ht="15" customHeight="1" x14ac:dyDescent="0.2">
      <c r="A155" s="7" t="s">
        <v>481</v>
      </c>
      <c r="B155" s="7" t="s">
        <v>376</v>
      </c>
      <c r="C155" s="7" t="s">
        <v>1049</v>
      </c>
      <c r="D155" s="7">
        <v>28</v>
      </c>
      <c r="E155" s="7">
        <v>80</v>
      </c>
      <c r="F155" s="7">
        <f>ROUND(4/E155,3)</f>
        <v>0.05</v>
      </c>
      <c r="G155" s="7">
        <f>ROUND(32/E155,3)</f>
        <v>0.4</v>
      </c>
      <c r="H155" s="7">
        <f>ROUND(55/E155,3)</f>
        <v>0.68799999999999994</v>
      </c>
      <c r="I155" s="7">
        <f>ROUND(28/E155,3)</f>
        <v>0.35</v>
      </c>
      <c r="J155" s="7">
        <f>ROUND(67/E155,3)</f>
        <v>0.83799999999999997</v>
      </c>
      <c r="K155" s="7">
        <f t="shared" si="5"/>
        <v>4.5010000000000003</v>
      </c>
      <c r="L155" s="7">
        <f>ROUND(1616.1666666667/E155,3)</f>
        <v>20.202000000000002</v>
      </c>
      <c r="M155" s="7">
        <f>ROUND(16/E155,3)</f>
        <v>0.2</v>
      </c>
      <c r="N155" s="7" t="s">
        <v>1456</v>
      </c>
      <c r="O155" s="7" t="s">
        <v>222</v>
      </c>
      <c r="P155" s="7">
        <f>ROUND(169/E155,3)</f>
        <v>2.113</v>
      </c>
      <c r="Q155" s="7">
        <f>ROUND(92/E155,3)</f>
        <v>1.1499999999999999</v>
      </c>
      <c r="R155" s="7">
        <f>ROUND(45/E155,3)</f>
        <v>0.56299999999999994</v>
      </c>
      <c r="S155" s="7">
        <f>ROUND(12/E155,3)</f>
        <v>0.15</v>
      </c>
      <c r="T155" s="7">
        <f>ROUND(4.52/E155,3)</f>
        <v>5.7000000000000002E-2</v>
      </c>
      <c r="U155" s="7">
        <f>ROUND(89/E155,3)</f>
        <v>1.113</v>
      </c>
      <c r="V155" s="7">
        <f>ROUND(23/E155,3)</f>
        <v>0.28799999999999998</v>
      </c>
      <c r="W155" s="7">
        <f>ROUND(4.81/E155,3)</f>
        <v>0.06</v>
      </c>
      <c r="X155" s="7">
        <v>0.5</v>
      </c>
      <c r="Y155" s="7">
        <v>0.51</v>
      </c>
      <c r="Z155" s="7">
        <v>0.5</v>
      </c>
      <c r="AA155" s="7">
        <f>ROUND(46.22/E155,3)</f>
        <v>0.57799999999999996</v>
      </c>
      <c r="AB155" s="7">
        <f>ROUND(6/E155,3)</f>
        <v>7.4999999999999997E-2</v>
      </c>
      <c r="AC155" s="7">
        <v>8478507</v>
      </c>
    </row>
    <row r="156" spans="1:29" ht="15" customHeight="1" x14ac:dyDescent="0.2">
      <c r="A156" s="7" t="s">
        <v>484</v>
      </c>
      <c r="B156" s="7" t="s">
        <v>376</v>
      </c>
      <c r="C156" s="7" t="s">
        <v>131</v>
      </c>
      <c r="D156" s="7">
        <v>29</v>
      </c>
      <c r="E156" s="7">
        <v>82</v>
      </c>
      <c r="F156" s="7">
        <f>ROUND(14/E156,3)</f>
        <v>0.17100000000000001</v>
      </c>
      <c r="G156" s="7">
        <f>ROUND(21/E156,3)</f>
        <v>0.25600000000000001</v>
      </c>
      <c r="H156" s="7">
        <f>ROUND(120/E156,3)</f>
        <v>1.4630000000000001</v>
      </c>
      <c r="I156" s="7">
        <f>ROUND(50/E156,3)</f>
        <v>0.61</v>
      </c>
      <c r="J156" s="7">
        <f>ROUND(105/E156,3)</f>
        <v>1.28</v>
      </c>
      <c r="K156" s="7">
        <f t="shared" si="5"/>
        <v>5.952</v>
      </c>
      <c r="L156" s="7">
        <f>ROUND(1945.4666666667/E156,3)</f>
        <v>23.725000000000001</v>
      </c>
      <c r="M156" s="7">
        <f>ROUND(50/E156,3)</f>
        <v>0.61</v>
      </c>
      <c r="N156" s="7" t="s">
        <v>798</v>
      </c>
      <c r="O156" s="7" t="s">
        <v>385</v>
      </c>
      <c r="P156" s="7">
        <f>ROUND(320/E156,3)</f>
        <v>3.9020000000000001</v>
      </c>
      <c r="Q156" s="7">
        <f>ROUND(194/E156,3)</f>
        <v>2.3660000000000001</v>
      </c>
      <c r="R156" s="7">
        <f>ROUND(94/E156,3)</f>
        <v>1.1459999999999999</v>
      </c>
      <c r="S156" s="7">
        <f>ROUND(24/E156,3)</f>
        <v>0.29299999999999998</v>
      </c>
      <c r="T156" s="7">
        <f>ROUND(8.11/E156,3)</f>
        <v>9.9000000000000005E-2</v>
      </c>
      <c r="U156" s="7">
        <f>ROUND(103/E156,3)</f>
        <v>1.256</v>
      </c>
      <c r="V156" s="7">
        <f>ROUND(22/E156,3)</f>
        <v>0.26800000000000002</v>
      </c>
      <c r="W156" s="7">
        <f>ROUND(8.13/E156,3)</f>
        <v>9.9000000000000005E-2</v>
      </c>
      <c r="X156" s="7">
        <v>0.45</v>
      </c>
      <c r="Y156" s="7">
        <v>0.47</v>
      </c>
      <c r="Z156" s="7">
        <v>0.45</v>
      </c>
      <c r="AA156" s="7">
        <f>ROUND(34.72/E156,3)</f>
        <v>0.42299999999999999</v>
      </c>
      <c r="AB156" s="7">
        <f>ROUND(6/E156,3)</f>
        <v>7.2999999999999995E-2</v>
      </c>
      <c r="AC156" s="7">
        <v>8478882</v>
      </c>
    </row>
    <row r="157" spans="1:29" ht="15" customHeight="1" x14ac:dyDescent="0.2">
      <c r="A157" s="7" t="s">
        <v>486</v>
      </c>
      <c r="B157" s="7" t="s">
        <v>376</v>
      </c>
      <c r="C157" s="7" t="s">
        <v>66</v>
      </c>
      <c r="D157" s="7">
        <v>40</v>
      </c>
      <c r="E157" s="7">
        <v>82</v>
      </c>
      <c r="F157" s="7">
        <f>ROUND(12/E157,3)</f>
        <v>0.14599999999999999</v>
      </c>
      <c r="G157" s="7">
        <f>ROUND(23/E157,3)</f>
        <v>0.28000000000000003</v>
      </c>
      <c r="H157" s="7">
        <f>ROUND(172/E157,3)</f>
        <v>2.0979999999999999</v>
      </c>
      <c r="I157" s="7">
        <f>ROUND(20/E157,3)</f>
        <v>0.24399999999999999</v>
      </c>
      <c r="J157" s="7">
        <f>ROUND(91/E157,3)</f>
        <v>1.1100000000000001</v>
      </c>
      <c r="K157" s="7">
        <f t="shared" si="5"/>
        <v>6.1779999999999999</v>
      </c>
      <c r="L157" s="7">
        <f>ROUND(1547.85/E157,3)</f>
        <v>18.876000000000001</v>
      </c>
      <c r="M157" s="7">
        <f>ROUND(32/E157,3)</f>
        <v>0.39</v>
      </c>
      <c r="N157" s="7" t="s">
        <v>1457</v>
      </c>
      <c r="O157" s="7" t="s">
        <v>1257</v>
      </c>
      <c r="P157" s="7">
        <f>ROUND(410/E157,3)</f>
        <v>5</v>
      </c>
      <c r="Q157" s="7">
        <f>ROUND(264/E157,3)</f>
        <v>3.22</v>
      </c>
      <c r="R157" s="7">
        <f>ROUND(79/E157,3)</f>
        <v>0.96299999999999997</v>
      </c>
      <c r="S157" s="7">
        <f>ROUND(10/E157,3)</f>
        <v>0.122</v>
      </c>
      <c r="T157" s="7">
        <f>ROUND(6.37/E157,3)</f>
        <v>7.8E-2</v>
      </c>
      <c r="U157" s="7">
        <f>ROUND(102/E157,3)</f>
        <v>1.244</v>
      </c>
      <c r="V157" s="7">
        <f>ROUND(18/E157,3)</f>
        <v>0.22</v>
      </c>
      <c r="W157" s="7">
        <f>ROUND(6.92/E157,3)</f>
        <v>8.4000000000000005E-2</v>
      </c>
      <c r="X157" s="7">
        <v>0.52</v>
      </c>
      <c r="Y157" s="7">
        <v>0.52</v>
      </c>
      <c r="Z157" s="7">
        <v>0.51</v>
      </c>
      <c r="AA157" s="7">
        <f>ROUND(59.7/E157,3)</f>
        <v>0.72799999999999998</v>
      </c>
      <c r="AB157" s="7">
        <f>ROUND(2/E157,3)</f>
        <v>2.4E-2</v>
      </c>
      <c r="AC157" s="7">
        <v>8470613</v>
      </c>
    </row>
    <row r="158" spans="1:29" ht="15" customHeight="1" x14ac:dyDescent="0.2">
      <c r="A158" s="7" t="s">
        <v>489</v>
      </c>
      <c r="B158" s="7" t="s">
        <v>376</v>
      </c>
      <c r="C158" s="7" t="s">
        <v>230</v>
      </c>
      <c r="D158" s="7">
        <v>31</v>
      </c>
      <c r="E158" s="7">
        <v>81</v>
      </c>
      <c r="F158" s="7">
        <f>ROUND(10/E158,3)</f>
        <v>0.123</v>
      </c>
      <c r="G158" s="7">
        <f>ROUND(25/E158,3)</f>
        <v>0.309</v>
      </c>
      <c r="H158" s="7">
        <f>ROUND(166/E158,3)</f>
        <v>2.0489999999999999</v>
      </c>
      <c r="I158" s="7">
        <f>ROUND(143/E158,3)</f>
        <v>1.7649999999999999</v>
      </c>
      <c r="J158" s="7">
        <f>ROUND(150/E158,3)</f>
        <v>1.8520000000000001</v>
      </c>
      <c r="K158" s="7">
        <f t="shared" si="5"/>
        <v>7.6215000000000011</v>
      </c>
      <c r="L158" s="7">
        <f>ROUND(1849/E158,3)</f>
        <v>22.827000000000002</v>
      </c>
      <c r="M158" s="7">
        <f>ROUND(31/E158,3)</f>
        <v>0.38300000000000001</v>
      </c>
      <c r="N158" s="7" t="s">
        <v>1458</v>
      </c>
      <c r="O158" s="7" t="s">
        <v>402</v>
      </c>
      <c r="P158" s="7">
        <f>ROUND(345/E158,3)</f>
        <v>4.2590000000000003</v>
      </c>
      <c r="Q158" s="7">
        <f>ROUND(238/E158,3)</f>
        <v>2.9380000000000002</v>
      </c>
      <c r="R158" s="7">
        <f>ROUND(72/E158,3)</f>
        <v>0.88900000000000001</v>
      </c>
      <c r="S158" s="7">
        <f>ROUND(17/E158,3)</f>
        <v>0.21</v>
      </c>
      <c r="T158" s="7">
        <f>ROUND(7.48/E158,3)</f>
        <v>9.1999999999999998E-2</v>
      </c>
      <c r="U158" s="7">
        <f>ROUND(89/E158,3)</f>
        <v>1.099</v>
      </c>
      <c r="V158" s="7">
        <f>ROUND(22/E158,3)</f>
        <v>0.27200000000000002</v>
      </c>
      <c r="W158" s="7">
        <f>ROUND(7.64/E158,3)</f>
        <v>9.4E-2</v>
      </c>
      <c r="X158" s="7">
        <v>0.44</v>
      </c>
      <c r="Y158" s="7">
        <v>0.47</v>
      </c>
      <c r="Z158" s="7">
        <v>0.48</v>
      </c>
      <c r="AA158" s="7">
        <f>ROUND(47.25/E158,3)</f>
        <v>0.58299999999999996</v>
      </c>
      <c r="AB158" s="7">
        <f>ROUND(5/E158,3)</f>
        <v>6.2E-2</v>
      </c>
      <c r="AC158" s="7">
        <v>8476885</v>
      </c>
    </row>
    <row r="159" spans="1:29" ht="15" customHeight="1" x14ac:dyDescent="0.2">
      <c r="A159" s="7" t="s">
        <v>492</v>
      </c>
      <c r="B159" s="7" t="s">
        <v>376</v>
      </c>
      <c r="C159" s="7" t="s">
        <v>153</v>
      </c>
      <c r="D159" s="7">
        <v>22</v>
      </c>
      <c r="E159" s="7">
        <v>68</v>
      </c>
      <c r="F159" s="7">
        <f>ROUND(6/E159,3)</f>
        <v>8.7999999999999995E-2</v>
      </c>
      <c r="G159" s="7">
        <f>ROUND(29/E159,3)</f>
        <v>0.42599999999999999</v>
      </c>
      <c r="H159" s="7">
        <f>ROUND(149/E159,3)</f>
        <v>2.1909999999999998</v>
      </c>
      <c r="I159" s="7">
        <f>ROUND(19/E159,3)</f>
        <v>0.27900000000000003</v>
      </c>
      <c r="J159" s="7">
        <f>ROUND(52/E159,3)</f>
        <v>0.76500000000000001</v>
      </c>
      <c r="K159" s="7">
        <f t="shared" si="5"/>
        <v>6.3554999999999993</v>
      </c>
      <c r="L159" s="7">
        <f>ROUND(1564.7666666667/E159,3)</f>
        <v>23.010999999999999</v>
      </c>
      <c r="M159" s="7">
        <f>ROUND(32/E159,3)</f>
        <v>0.47099999999999997</v>
      </c>
      <c r="N159" s="7" t="s">
        <v>1459</v>
      </c>
      <c r="O159" s="7" t="s">
        <v>1238</v>
      </c>
      <c r="P159" s="7">
        <f>ROUND(375/E159,3)</f>
        <v>5.5149999999999997</v>
      </c>
      <c r="Q159" s="7">
        <f>ROUND(213/E159,3)</f>
        <v>3.1320000000000001</v>
      </c>
      <c r="R159" s="7">
        <f>ROUND(112/E159,3)</f>
        <v>1.647</v>
      </c>
      <c r="S159" s="7">
        <f>ROUND(18/E159,3)</f>
        <v>0.26500000000000001</v>
      </c>
      <c r="T159" s="7">
        <f>ROUND(9.18/E159,3)</f>
        <v>0.13500000000000001</v>
      </c>
      <c r="U159" s="7">
        <f>ROUND(108/E159,3)</f>
        <v>1.5880000000000001</v>
      </c>
      <c r="V159" s="7">
        <f>ROUND(29/E159,3)</f>
        <v>0.42599999999999999</v>
      </c>
      <c r="W159" s="7">
        <f>ROUND(8.95/E159,3)</f>
        <v>0.13200000000000001</v>
      </c>
      <c r="X159" s="7">
        <v>0.54</v>
      </c>
      <c r="Y159" s="7">
        <v>0.56000000000000005</v>
      </c>
      <c r="Z159" s="7">
        <v>0.55000000000000004</v>
      </c>
      <c r="AA159" s="7">
        <f>ROUND(43.6/E159,3)</f>
        <v>0.64100000000000001</v>
      </c>
      <c r="AB159" s="7">
        <f>ROUND(6/E159,3)</f>
        <v>8.7999999999999995E-2</v>
      </c>
      <c r="AC159" s="7">
        <v>8482684</v>
      </c>
    </row>
    <row r="160" spans="1:29" ht="15" customHeight="1" x14ac:dyDescent="0.2">
      <c r="A160" s="7" t="s">
        <v>493</v>
      </c>
      <c r="B160" s="7" t="s">
        <v>376</v>
      </c>
      <c r="C160" s="7" t="s">
        <v>114</v>
      </c>
      <c r="D160" s="7">
        <v>28</v>
      </c>
      <c r="E160" s="7">
        <v>80</v>
      </c>
      <c r="F160" s="7">
        <f>ROUND(6/E160,3)</f>
        <v>7.4999999999999997E-2</v>
      </c>
      <c r="G160" s="7">
        <f>ROUND(29/E160,3)</f>
        <v>0.36299999999999999</v>
      </c>
      <c r="H160" s="7">
        <f>ROUND(72/E160,3)</f>
        <v>0.9</v>
      </c>
      <c r="I160" s="7">
        <f>ROUND(38/E160,3)</f>
        <v>0.47499999999999998</v>
      </c>
      <c r="J160" s="7">
        <f>ROUND(92/E160,3)</f>
        <v>1.1499999999999999</v>
      </c>
      <c r="K160" s="7">
        <f t="shared" si="5"/>
        <v>5.0654999999999992</v>
      </c>
      <c r="L160" s="7">
        <f>ROUND(1510.9166666667/E160,3)</f>
        <v>18.885999999999999</v>
      </c>
      <c r="M160" s="7">
        <f>ROUND(22/E160,3)</f>
        <v>0.27500000000000002</v>
      </c>
      <c r="N160" s="7" t="s">
        <v>1460</v>
      </c>
      <c r="O160" s="7" t="s">
        <v>1000</v>
      </c>
      <c r="P160" s="7">
        <f>ROUND(191/E160,3)</f>
        <v>2.3879999999999999</v>
      </c>
      <c r="Q160" s="7">
        <f>ROUND(125/E160,3)</f>
        <v>1.5629999999999999</v>
      </c>
      <c r="R160" s="7">
        <f>ROUND(53/E160,3)</f>
        <v>0.66300000000000003</v>
      </c>
      <c r="S160" s="7">
        <f>ROUND(6/E160,3)</f>
        <v>7.4999999999999997E-2</v>
      </c>
      <c r="T160" s="7">
        <f>ROUND(3.8/E160,3)</f>
        <v>4.8000000000000001E-2</v>
      </c>
      <c r="U160" s="7">
        <f>ROUND(57/E160,3)</f>
        <v>0.71299999999999997</v>
      </c>
      <c r="V160" s="7">
        <f>ROUND(24/E160,3)</f>
        <v>0.3</v>
      </c>
      <c r="W160" s="7">
        <f>ROUND(3.84/E160,3)</f>
        <v>4.8000000000000001E-2</v>
      </c>
      <c r="X160" s="7">
        <v>0.46</v>
      </c>
      <c r="Y160" s="7">
        <v>0.45</v>
      </c>
      <c r="Z160" s="7">
        <v>0.46</v>
      </c>
      <c r="AA160" s="7">
        <f>ROUND(35.4/E160,3)</f>
        <v>0.443</v>
      </c>
      <c r="AB160" s="7">
        <f>ROUND(1/E160,3)</f>
        <v>1.2999999999999999E-2</v>
      </c>
      <c r="AC160" s="7">
        <v>8478854</v>
      </c>
    </row>
    <row r="161" spans="1:29" ht="15" customHeight="1" x14ac:dyDescent="0.2">
      <c r="A161" s="7" t="s">
        <v>494</v>
      </c>
      <c r="B161" s="7" t="s">
        <v>376</v>
      </c>
      <c r="C161" s="7" t="s">
        <v>191</v>
      </c>
      <c r="D161" s="7">
        <v>29</v>
      </c>
      <c r="E161" s="7">
        <v>76</v>
      </c>
      <c r="F161" s="7">
        <f>ROUND(5/E161,3)</f>
        <v>6.6000000000000003E-2</v>
      </c>
      <c r="G161" s="7">
        <f>ROUND(30/E161,3)</f>
        <v>0.39500000000000002</v>
      </c>
      <c r="H161" s="7">
        <f>ROUND(148/E161,3)</f>
        <v>1.9470000000000001</v>
      </c>
      <c r="I161" s="7">
        <f>ROUND(33/E161,3)</f>
        <v>0.434</v>
      </c>
      <c r="J161" s="7">
        <f>ROUND(70/E161,3)</f>
        <v>0.92100000000000004</v>
      </c>
      <c r="K161" s="7">
        <f t="shared" si="5"/>
        <v>5.9830000000000005</v>
      </c>
      <c r="L161" s="7">
        <f>ROUND(1454.6833333333/E161,3)</f>
        <v>19.140999999999998</v>
      </c>
      <c r="M161" s="7">
        <f>ROUND(43/E161,3)</f>
        <v>0.56599999999999995</v>
      </c>
      <c r="N161" s="7" t="s">
        <v>1461</v>
      </c>
      <c r="O161" s="7" t="s">
        <v>977</v>
      </c>
      <c r="P161" s="7">
        <f>ROUND(313/E161,3)</f>
        <v>4.1180000000000003</v>
      </c>
      <c r="Q161" s="7">
        <f>ROUND(209/E161,3)</f>
        <v>2.75</v>
      </c>
      <c r="R161" s="7">
        <f>ROUND(99/E161,3)</f>
        <v>1.3029999999999999</v>
      </c>
      <c r="S161" s="7">
        <f>ROUND(14/E161,3)</f>
        <v>0.184</v>
      </c>
      <c r="T161" s="7">
        <f>ROUND(7.29/E161,3)</f>
        <v>9.6000000000000002E-2</v>
      </c>
      <c r="U161" s="7">
        <f>ROUND(96/E161,3)</f>
        <v>1.2629999999999999</v>
      </c>
      <c r="V161" s="7">
        <f>ROUND(20/E161,3)</f>
        <v>0.26300000000000001</v>
      </c>
      <c r="W161" s="7">
        <f>ROUND(7.39/E161,3)</f>
        <v>9.7000000000000003E-2</v>
      </c>
      <c r="X161" s="7">
        <v>0.48</v>
      </c>
      <c r="Y161" s="7">
        <v>0.55000000000000004</v>
      </c>
      <c r="Z161" s="7">
        <v>0.55000000000000004</v>
      </c>
      <c r="AA161" s="7">
        <f>ROUND(41.8/E161,3)</f>
        <v>0.55000000000000004</v>
      </c>
      <c r="AB161" s="7">
        <f>ROUND(4/E161,3)</f>
        <v>5.2999999999999999E-2</v>
      </c>
      <c r="AC161" s="7">
        <v>8477950</v>
      </c>
    </row>
    <row r="162" spans="1:29" ht="15" customHeight="1" x14ac:dyDescent="0.2">
      <c r="A162" s="7" t="s">
        <v>497</v>
      </c>
      <c r="B162" s="7" t="s">
        <v>376</v>
      </c>
      <c r="C162" s="7" t="s">
        <v>180</v>
      </c>
      <c r="D162" s="7">
        <v>24</v>
      </c>
      <c r="E162" s="7">
        <v>81</v>
      </c>
      <c r="F162" s="7">
        <f>ROUND(6/E162,3)</f>
        <v>7.3999999999999996E-2</v>
      </c>
      <c r="G162" s="7">
        <f>ROUND(28/E162,3)</f>
        <v>0.34599999999999997</v>
      </c>
      <c r="H162" s="7">
        <f>ROUND(98/E162,3)</f>
        <v>1.21</v>
      </c>
      <c r="I162" s="7">
        <f>ROUND(35/E162,3)</f>
        <v>0.432</v>
      </c>
      <c r="J162" s="7">
        <f>ROUND(98/E162,3)</f>
        <v>1.21</v>
      </c>
      <c r="K162" s="7">
        <f t="shared" si="5"/>
        <v>5.3039999999999994</v>
      </c>
      <c r="L162" s="7">
        <f>ROUND(1891.9666666667/E162,3)</f>
        <v>23.358000000000001</v>
      </c>
      <c r="M162" s="7">
        <f>ROUND(16/E162,3)</f>
        <v>0.19800000000000001</v>
      </c>
      <c r="N162" s="7" t="s">
        <v>1462</v>
      </c>
      <c r="O162" s="7" t="s">
        <v>1463</v>
      </c>
      <c r="P162" s="7">
        <f>ROUND(253/E162,3)</f>
        <v>3.1230000000000002</v>
      </c>
      <c r="Q162" s="7">
        <f>ROUND(159/E162,3)</f>
        <v>1.9630000000000001</v>
      </c>
      <c r="R162" s="7">
        <f>ROUND(102/E162,3)</f>
        <v>1.2589999999999999</v>
      </c>
      <c r="S162" s="7">
        <f>ROUND(16/E162,3)</f>
        <v>0.19800000000000001</v>
      </c>
      <c r="T162" s="7">
        <f>ROUND(7.41/E162,3)</f>
        <v>9.0999999999999998E-2</v>
      </c>
      <c r="U162" s="7">
        <f>ROUND(111/E162,3)</f>
        <v>1.37</v>
      </c>
      <c r="V162" s="7">
        <f>ROUND(26/E162,3)</f>
        <v>0.32100000000000001</v>
      </c>
      <c r="W162" s="7">
        <f>ROUND(7.6/E162,3)</f>
        <v>9.4E-2</v>
      </c>
      <c r="X162" s="7">
        <v>0.46</v>
      </c>
      <c r="Y162" s="7">
        <v>0.44</v>
      </c>
      <c r="Z162" s="7">
        <v>0.44</v>
      </c>
      <c r="AA162" s="7">
        <f>ROUND(28.4/E162,3)</f>
        <v>0.35099999999999998</v>
      </c>
      <c r="AB162" s="7">
        <f>ROUND(5/E162,3)</f>
        <v>6.2E-2</v>
      </c>
      <c r="AC162" s="7">
        <v>8481598</v>
      </c>
    </row>
    <row r="163" spans="1:29" ht="15" customHeight="1" x14ac:dyDescent="0.2">
      <c r="A163" s="7" t="s">
        <v>499</v>
      </c>
      <c r="B163" s="7" t="s">
        <v>376</v>
      </c>
      <c r="C163" s="7" t="s">
        <v>114</v>
      </c>
      <c r="D163" s="7">
        <v>38</v>
      </c>
      <c r="E163" s="7">
        <v>74</v>
      </c>
      <c r="F163" s="7">
        <f>ROUND(3/E163,3)</f>
        <v>4.1000000000000002E-2</v>
      </c>
      <c r="G163" s="7">
        <f>ROUND(31/E163,3)</f>
        <v>0.41899999999999998</v>
      </c>
      <c r="H163" s="7">
        <f>ROUND(104/E163,3)</f>
        <v>1.405</v>
      </c>
      <c r="I163" s="7">
        <f>ROUND(95/E163,3)</f>
        <v>1.284</v>
      </c>
      <c r="J163" s="7">
        <f>ROUND(93/E163,3)</f>
        <v>1.2569999999999999</v>
      </c>
      <c r="K163" s="7">
        <f t="shared" si="5"/>
        <v>6.1459999999999999</v>
      </c>
      <c r="L163" s="7">
        <f>ROUND(1604.5/E163,3)</f>
        <v>21.681999999999999</v>
      </c>
      <c r="M163" s="7">
        <f>ROUND(38/E163,3)</f>
        <v>0.51400000000000001</v>
      </c>
      <c r="N163" s="7" t="s">
        <v>1036</v>
      </c>
      <c r="O163" s="7" t="s">
        <v>1464</v>
      </c>
      <c r="P163" s="7">
        <f>ROUND(255/E163,3)</f>
        <v>3.4460000000000002</v>
      </c>
      <c r="Q163" s="7">
        <f>ROUND(160/E163,3)</f>
        <v>2.1619999999999999</v>
      </c>
      <c r="R163" s="7">
        <f>ROUND(69/E163,3)</f>
        <v>0.93200000000000005</v>
      </c>
      <c r="S163" s="7">
        <f>ROUND(13/E163,3)</f>
        <v>0.17599999999999999</v>
      </c>
      <c r="T163" s="7">
        <f>ROUND(5.14/E163,3)</f>
        <v>6.9000000000000006E-2</v>
      </c>
      <c r="U163" s="7">
        <f>ROUND(99/E163,3)</f>
        <v>1.3380000000000001</v>
      </c>
      <c r="V163" s="7">
        <f>ROUND(26/E163,3)</f>
        <v>0.35099999999999998</v>
      </c>
      <c r="W163" s="7">
        <f>ROUND(6.4/E163,3)</f>
        <v>8.5999999999999993E-2</v>
      </c>
      <c r="X163" s="7">
        <v>0.49</v>
      </c>
      <c r="Y163" s="7">
        <v>0.49</v>
      </c>
      <c r="Z163" s="7">
        <v>0.5</v>
      </c>
      <c r="AA163" s="7">
        <f>ROUND(29.55/E163,3)</f>
        <v>0.39900000000000002</v>
      </c>
      <c r="AB163" s="7">
        <f>ROUND(3/E163,3)</f>
        <v>4.1000000000000002E-2</v>
      </c>
      <c r="AC163" s="7">
        <v>8471724</v>
      </c>
    </row>
    <row r="164" spans="1:29" ht="15" customHeight="1" x14ac:dyDescent="0.2">
      <c r="A164" s="7" t="s">
        <v>502</v>
      </c>
      <c r="B164" s="7" t="s">
        <v>376</v>
      </c>
      <c r="C164" s="7" t="s">
        <v>80</v>
      </c>
      <c r="D164" s="7">
        <v>23</v>
      </c>
      <c r="E164" s="7">
        <v>81</v>
      </c>
      <c r="F164" s="7">
        <f>ROUND(11/E164,3)</f>
        <v>0.13600000000000001</v>
      </c>
      <c r="G164" s="7">
        <f>ROUND(22/E164,3)</f>
        <v>0.27200000000000002</v>
      </c>
      <c r="H164" s="7">
        <f>ROUND(122/E164,3)</f>
        <v>1.506</v>
      </c>
      <c r="I164" s="7">
        <f>ROUND(132/E164,3)</f>
        <v>1.63</v>
      </c>
      <c r="J164" s="7">
        <f>ROUND(94/E164,3)</f>
        <v>1.1599999999999999</v>
      </c>
      <c r="K164" s="7">
        <f t="shared" si="5"/>
        <v>6.2010000000000005</v>
      </c>
      <c r="L164" s="7">
        <f>ROUND(1472.9333333333/E164,3)</f>
        <v>18.184000000000001</v>
      </c>
      <c r="M164" s="7">
        <f>ROUND(33/E164,3)</f>
        <v>0.40699999999999997</v>
      </c>
      <c r="N164" s="7" t="s">
        <v>1465</v>
      </c>
      <c r="O164" s="7" t="s">
        <v>957</v>
      </c>
      <c r="P164" s="7">
        <f>ROUND(321/E164,3)</f>
        <v>3.9630000000000001</v>
      </c>
      <c r="Q164" s="7">
        <f>ROUND(194/E164,3)</f>
        <v>2.395</v>
      </c>
      <c r="R164" s="7">
        <f>ROUND(61/E164,3)</f>
        <v>0.753</v>
      </c>
      <c r="S164" s="7">
        <f>ROUND(14/E164,3)</f>
        <v>0.17299999999999999</v>
      </c>
      <c r="T164" s="7">
        <f>ROUND(8.18/E164,3)</f>
        <v>0.10100000000000001</v>
      </c>
      <c r="U164" s="7">
        <f>ROUND(87/E164,3)</f>
        <v>1.0740000000000001</v>
      </c>
      <c r="V164" s="7">
        <f>ROUND(26/E164,3)</f>
        <v>0.32100000000000001</v>
      </c>
      <c r="W164" s="7">
        <f>ROUND(9.06/E164,3)</f>
        <v>0.112</v>
      </c>
      <c r="X164" s="7">
        <v>0.56999999999999995</v>
      </c>
      <c r="Y164" s="7">
        <v>0.57999999999999996</v>
      </c>
      <c r="Z164" s="7">
        <v>0.56999999999999995</v>
      </c>
      <c r="AA164" s="7">
        <f>ROUND(57.1/E164,3)</f>
        <v>0.70499999999999996</v>
      </c>
      <c r="AB164" s="7">
        <f>ROUND(6/E164,3)</f>
        <v>7.3999999999999996E-2</v>
      </c>
      <c r="AC164" s="7">
        <v>8482100</v>
      </c>
    </row>
    <row r="165" spans="1:29" ht="15" customHeight="1" x14ac:dyDescent="0.2">
      <c r="A165" s="7" t="s">
        <v>503</v>
      </c>
      <c r="B165" s="7" t="s">
        <v>376</v>
      </c>
      <c r="C165" s="7" t="s">
        <v>213</v>
      </c>
      <c r="D165" s="7">
        <v>31</v>
      </c>
      <c r="E165" s="7">
        <v>64</v>
      </c>
      <c r="F165" s="7">
        <f>ROUND(11/E165,3)</f>
        <v>0.17199999999999999</v>
      </c>
      <c r="G165" s="7">
        <f>ROUND(21/E165,3)</f>
        <v>0.32800000000000001</v>
      </c>
      <c r="H165" s="7">
        <f>ROUND(175/E165,3)</f>
        <v>2.734</v>
      </c>
      <c r="I165" s="7">
        <f>ROUND(75/E165,3)</f>
        <v>1.1719999999999999</v>
      </c>
      <c r="J165" s="7">
        <f>ROUND(78/E165,3)</f>
        <v>1.2190000000000001</v>
      </c>
      <c r="K165" s="7">
        <f t="shared" si="5"/>
        <v>7.883</v>
      </c>
      <c r="L165" s="7">
        <f>ROUND(1443.8166666667/E165,3)</f>
        <v>22.56</v>
      </c>
      <c r="M165" s="7">
        <f>ROUND(45/E165,3)</f>
        <v>0.70299999999999996</v>
      </c>
      <c r="N165" s="7" t="s">
        <v>1319</v>
      </c>
      <c r="O165" s="7" t="s">
        <v>1223</v>
      </c>
      <c r="P165" s="7">
        <f>ROUND(375/E165,3)</f>
        <v>5.859</v>
      </c>
      <c r="Q165" s="7">
        <f>ROUND(255/E165,3)</f>
        <v>3.984</v>
      </c>
      <c r="R165" s="7">
        <f>ROUND(90/E165,3)</f>
        <v>1.4059999999999999</v>
      </c>
      <c r="S165" s="7">
        <f>ROUND(11/E165,3)</f>
        <v>0.17199999999999999</v>
      </c>
      <c r="T165" s="7">
        <f>ROUND(10.38/E165,3)</f>
        <v>0.16200000000000001</v>
      </c>
      <c r="U165" s="7">
        <f>ROUND(92/E165,3)</f>
        <v>1.4379999999999999</v>
      </c>
      <c r="V165" s="7">
        <f>ROUND(32/E165,3)</f>
        <v>0.5</v>
      </c>
      <c r="W165" s="7">
        <f>ROUND(9.1/E165,3)</f>
        <v>0.14199999999999999</v>
      </c>
      <c r="X165" s="7">
        <v>0.49</v>
      </c>
      <c r="Y165" s="7">
        <v>0.51</v>
      </c>
      <c r="Z165" s="7">
        <v>0.51</v>
      </c>
      <c r="AA165" s="7">
        <f>ROUND(31.1/E165,3)</f>
        <v>0.48599999999999999</v>
      </c>
      <c r="AB165" s="7">
        <f>ROUND(5/E165,3)</f>
        <v>7.8E-2</v>
      </c>
      <c r="AC165" s="7">
        <v>8477986</v>
      </c>
    </row>
    <row r="166" spans="1:29" ht="15" customHeight="1" x14ac:dyDescent="0.2">
      <c r="A166" s="7" t="s">
        <v>506</v>
      </c>
      <c r="B166" s="7" t="s">
        <v>376</v>
      </c>
      <c r="C166" s="7" t="s">
        <v>220</v>
      </c>
      <c r="D166" s="7">
        <v>23</v>
      </c>
      <c r="E166" s="7">
        <v>78</v>
      </c>
      <c r="F166" s="7">
        <f>ROUND(8/E166,3)</f>
        <v>0.10299999999999999</v>
      </c>
      <c r="G166" s="7">
        <f>ROUND(24/E166,3)</f>
        <v>0.308</v>
      </c>
      <c r="H166" s="7">
        <f>ROUND(101/E166,3)</f>
        <v>1.2949999999999999</v>
      </c>
      <c r="I166" s="7">
        <f>ROUND(16/E166,3)</f>
        <v>0.20499999999999999</v>
      </c>
      <c r="J166" s="7">
        <f>ROUND(94/E166,3)</f>
        <v>1.2050000000000001</v>
      </c>
      <c r="K166" s="7">
        <f t="shared" si="5"/>
        <v>5.2744999999999997</v>
      </c>
      <c r="L166" s="7">
        <f>ROUND(1681.2/E166,3)</f>
        <v>21.553999999999998</v>
      </c>
      <c r="M166" s="7">
        <f>ROUND(33/E166,3)</f>
        <v>0.42299999999999999</v>
      </c>
      <c r="N166" s="7" t="s">
        <v>521</v>
      </c>
      <c r="O166" s="7" t="s">
        <v>1466</v>
      </c>
      <c r="P166" s="7">
        <f>ROUND(254/E166,3)</f>
        <v>3.2559999999999998</v>
      </c>
      <c r="Q166" s="7">
        <f>ROUND(164/E166,3)</f>
        <v>2.1030000000000002</v>
      </c>
      <c r="R166" s="7">
        <f>ROUND(83/E166,3)</f>
        <v>1.0640000000000001</v>
      </c>
      <c r="S166" s="7">
        <f>ROUND(13/E166,3)</f>
        <v>0.16700000000000001</v>
      </c>
      <c r="T166" s="7">
        <f>ROUND(6.78/E166,3)</f>
        <v>8.6999999999999994E-2</v>
      </c>
      <c r="U166" s="7">
        <f>ROUND(54/E166,3)</f>
        <v>0.69199999999999995</v>
      </c>
      <c r="V166" s="7">
        <f>ROUND(17/E166,3)</f>
        <v>0.218</v>
      </c>
      <c r="W166" s="7">
        <f>ROUND(6.4/E166,3)</f>
        <v>8.2000000000000003E-2</v>
      </c>
      <c r="X166" s="7">
        <v>0.56000000000000005</v>
      </c>
      <c r="Y166" s="7">
        <v>0.53</v>
      </c>
      <c r="Z166" s="7">
        <v>0.53</v>
      </c>
      <c r="AA166" s="7">
        <f>ROUND(26.93/E166,3)</f>
        <v>0.34499999999999997</v>
      </c>
      <c r="AB166" s="7">
        <f>ROUND(4/E166,3)</f>
        <v>5.0999999999999997E-2</v>
      </c>
      <c r="AC166" s="7">
        <v>8482142</v>
      </c>
    </row>
    <row r="167" spans="1:29" ht="15" customHeight="1" x14ac:dyDescent="0.2">
      <c r="A167" s="7" t="s">
        <v>508</v>
      </c>
      <c r="B167" s="7" t="s">
        <v>376</v>
      </c>
      <c r="C167" s="7" t="s">
        <v>380</v>
      </c>
      <c r="D167" s="7">
        <v>31</v>
      </c>
      <c r="E167" s="7">
        <v>71</v>
      </c>
      <c r="F167" s="7">
        <f>ROUND(8/E167,3)</f>
        <v>0.113</v>
      </c>
      <c r="G167" s="7">
        <f>ROUND(24/E167,3)</f>
        <v>0.33800000000000002</v>
      </c>
      <c r="H167" s="7">
        <f>ROUND(93/E167,3)</f>
        <v>1.31</v>
      </c>
      <c r="I167" s="7">
        <f>ROUND(39/E167,3)</f>
        <v>0.54900000000000004</v>
      </c>
      <c r="J167" s="7">
        <f>ROUND(86/E167,3)</f>
        <v>1.2110000000000001</v>
      </c>
      <c r="K167" s="7">
        <f t="shared" si="5"/>
        <v>5.7275</v>
      </c>
      <c r="L167" s="7">
        <f>ROUND(1496.2/E167,3)</f>
        <v>21.073</v>
      </c>
      <c r="M167" s="7">
        <f>ROUND(45/E167,3)</f>
        <v>0.63400000000000001</v>
      </c>
      <c r="N167" s="7" t="s">
        <v>521</v>
      </c>
      <c r="O167" s="7" t="s">
        <v>1467</v>
      </c>
      <c r="P167" s="7">
        <f>ROUND(238/E167,3)</f>
        <v>3.3519999999999999</v>
      </c>
      <c r="Q167" s="7">
        <f>ROUND(149/E167,3)</f>
        <v>2.0990000000000002</v>
      </c>
      <c r="R167" s="7">
        <f>ROUND(89/E167,3)</f>
        <v>1.254</v>
      </c>
      <c r="S167" s="7">
        <f>ROUND(28/E167,3)</f>
        <v>0.39400000000000002</v>
      </c>
      <c r="T167" s="7">
        <f>ROUND(8.26/E167,3)</f>
        <v>0.11600000000000001</v>
      </c>
      <c r="U167" s="7">
        <f>ROUND(82/E167,3)</f>
        <v>1.155</v>
      </c>
      <c r="V167" s="7">
        <f>ROUND(28/E167,3)</f>
        <v>0.39400000000000002</v>
      </c>
      <c r="W167" s="7">
        <f>ROUND(7.32/E167,3)</f>
        <v>0.10299999999999999</v>
      </c>
      <c r="X167" s="7">
        <v>0.59</v>
      </c>
      <c r="Y167" s="7">
        <v>0.55000000000000004</v>
      </c>
      <c r="Z167" s="7">
        <v>0.55000000000000004</v>
      </c>
      <c r="AA167" s="7">
        <f>ROUND(43.02/E167,3)</f>
        <v>0.60599999999999998</v>
      </c>
      <c r="AB167" s="7">
        <f>ROUND(4/E167,3)</f>
        <v>5.6000000000000001E-2</v>
      </c>
      <c r="AC167" s="7">
        <v>8476923</v>
      </c>
    </row>
    <row r="168" spans="1:29" ht="15" customHeight="1" x14ac:dyDescent="0.2">
      <c r="A168" s="7" t="s">
        <v>510</v>
      </c>
      <c r="B168" s="7" t="s">
        <v>376</v>
      </c>
      <c r="C168" s="7" t="s">
        <v>274</v>
      </c>
      <c r="D168" s="7">
        <v>30</v>
      </c>
      <c r="E168" s="7">
        <v>52</v>
      </c>
      <c r="F168" s="7">
        <f>ROUND(7/E168,3)</f>
        <v>0.13500000000000001</v>
      </c>
      <c r="G168" s="7">
        <f>ROUND(25/E168,3)</f>
        <v>0.48099999999999998</v>
      </c>
      <c r="H168" s="7">
        <f>ROUND(88/E168,3)</f>
        <v>1.6919999999999999</v>
      </c>
      <c r="I168" s="7">
        <f>ROUND(47/E168,3)</f>
        <v>0.90400000000000003</v>
      </c>
      <c r="J168" s="7">
        <f>ROUND(61/E168,3)</f>
        <v>1.173</v>
      </c>
      <c r="K168" s="7">
        <f t="shared" si="5"/>
        <v>7.2830000000000004</v>
      </c>
      <c r="L168" s="7">
        <f>ROUND(1232.3/E168,3)</f>
        <v>23.698</v>
      </c>
      <c r="M168" s="7">
        <f>ROUND(18/E168,3)</f>
        <v>0.34599999999999997</v>
      </c>
      <c r="N168" s="7" t="s">
        <v>731</v>
      </c>
      <c r="O168" s="7" t="s">
        <v>1176</v>
      </c>
      <c r="P168" s="7">
        <f>ROUND(230/E168,3)</f>
        <v>4.423</v>
      </c>
      <c r="Q168" s="7">
        <f>ROUND(149/E168,3)</f>
        <v>2.8650000000000002</v>
      </c>
      <c r="R168" s="7">
        <f>ROUND(69/E168,3)</f>
        <v>1.327</v>
      </c>
      <c r="S168" s="7">
        <f>ROUND(7/E168,3)</f>
        <v>0.13500000000000001</v>
      </c>
      <c r="T168" s="7">
        <f>ROUND(6.15/E168,3)</f>
        <v>0.11799999999999999</v>
      </c>
      <c r="U168" s="7">
        <f>ROUND(66/E168,3)</f>
        <v>1.2689999999999999</v>
      </c>
      <c r="V168" s="7">
        <f>ROUND(13/E168,3)</f>
        <v>0.25</v>
      </c>
      <c r="W168" s="7">
        <f>ROUND(6.21/E168,3)</f>
        <v>0.11899999999999999</v>
      </c>
      <c r="X168" s="7">
        <v>0.54</v>
      </c>
      <c r="Y168" s="7">
        <v>0.56000000000000005</v>
      </c>
      <c r="Z168" s="7">
        <v>0.56000000000000005</v>
      </c>
      <c r="AA168" s="7">
        <f>ROUND(32.9/E168,3)</f>
        <v>0.63300000000000001</v>
      </c>
      <c r="AB168" s="7">
        <f>ROUND(4/E168,3)</f>
        <v>7.6999999999999999E-2</v>
      </c>
      <c r="AC168" s="7">
        <v>8477495</v>
      </c>
    </row>
    <row r="169" spans="1:29" ht="15" customHeight="1" x14ac:dyDescent="0.2">
      <c r="A169" s="7" t="s">
        <v>512</v>
      </c>
      <c r="B169" s="7" t="s">
        <v>376</v>
      </c>
      <c r="C169" s="7" t="s">
        <v>93</v>
      </c>
      <c r="D169" s="7">
        <v>31</v>
      </c>
      <c r="E169" s="7">
        <v>82</v>
      </c>
      <c r="F169" s="7">
        <f>ROUND(6/E169,3)</f>
        <v>7.2999999999999995E-2</v>
      </c>
      <c r="G169" s="7">
        <f>ROUND(26/E169,3)</f>
        <v>0.317</v>
      </c>
      <c r="H169" s="7">
        <f>ROUND(83/E169,3)</f>
        <v>1.012</v>
      </c>
      <c r="I169" s="7">
        <f>ROUND(30/E169,3)</f>
        <v>0.36599999999999999</v>
      </c>
      <c r="J169" s="7">
        <f>ROUND(179/E169,3)</f>
        <v>2.1829999999999998</v>
      </c>
      <c r="K169" s="7">
        <f t="shared" si="5"/>
        <v>5.8639999999999999</v>
      </c>
      <c r="L169" s="7">
        <f>ROUND(1905.25/E169,3)</f>
        <v>23.234999999999999</v>
      </c>
      <c r="M169" s="7">
        <f>ROUND(20/E169,3)</f>
        <v>0.24399999999999999</v>
      </c>
      <c r="N169" s="7" t="s">
        <v>337</v>
      </c>
      <c r="O169" s="7" t="s">
        <v>1468</v>
      </c>
      <c r="P169" s="7">
        <f>ROUND(194/E169,3)</f>
        <v>2.3660000000000001</v>
      </c>
      <c r="Q169" s="7">
        <f>ROUND(124/E169,3)</f>
        <v>1.512</v>
      </c>
      <c r="R169" s="7">
        <f>ROUND(65/E169,3)</f>
        <v>0.79300000000000004</v>
      </c>
      <c r="S169" s="7">
        <f>ROUND(8/E169,3)</f>
        <v>9.8000000000000004E-2</v>
      </c>
      <c r="T169" s="7">
        <f>ROUND(7.81/E169,3)</f>
        <v>9.5000000000000001E-2</v>
      </c>
      <c r="U169" s="7">
        <f>ROUND(112/E169,3)</f>
        <v>1.3660000000000001</v>
      </c>
      <c r="V169" s="7">
        <f>ROUND(30/E169,3)</f>
        <v>0.36599999999999999</v>
      </c>
      <c r="W169" s="7">
        <f>ROUND(7.29/E169,3)</f>
        <v>8.8999999999999996E-2</v>
      </c>
      <c r="X169" s="7">
        <v>0.46</v>
      </c>
      <c r="Y169" s="7">
        <v>0.42</v>
      </c>
      <c r="Z169" s="7">
        <v>0.43</v>
      </c>
      <c r="AA169" s="7">
        <f>ROUND(34.83/E169,3)</f>
        <v>0.42499999999999999</v>
      </c>
      <c r="AB169" s="7">
        <f>ROUND(6/E169,3)</f>
        <v>7.2999999999999995E-2</v>
      </c>
      <c r="AC169" s="7">
        <v>8476902</v>
      </c>
    </row>
    <row r="170" spans="1:29" ht="15" customHeight="1" x14ac:dyDescent="0.2">
      <c r="A170" s="7" t="s">
        <v>515</v>
      </c>
      <c r="B170" s="7" t="s">
        <v>376</v>
      </c>
      <c r="C170" s="7" t="s">
        <v>380</v>
      </c>
      <c r="D170" s="7">
        <v>21</v>
      </c>
      <c r="E170" s="7">
        <v>75</v>
      </c>
      <c r="F170" s="7">
        <f>ROUND(13/E170,3)</f>
        <v>0.17299999999999999</v>
      </c>
      <c r="G170" s="7">
        <f>ROUND(18/E170,3)</f>
        <v>0.24</v>
      </c>
      <c r="H170" s="7">
        <f>ROUND(88/E170,3)</f>
        <v>1.173</v>
      </c>
      <c r="I170" s="7">
        <f>ROUND(26/E170,3)</f>
        <v>0.34699999999999998</v>
      </c>
      <c r="J170" s="7">
        <f>ROUND(92/E170,3)</f>
        <v>1.2270000000000001</v>
      </c>
      <c r="K170" s="7">
        <f t="shared" si="5"/>
        <v>5.3975</v>
      </c>
      <c r="L170" s="7">
        <f>ROUND(1438.9166666667/E170,3)</f>
        <v>19.186</v>
      </c>
      <c r="M170" s="7">
        <f>ROUND(8/E170,3)</f>
        <v>0.107</v>
      </c>
      <c r="N170" s="7" t="s">
        <v>1469</v>
      </c>
      <c r="O170" s="7" t="s">
        <v>1081</v>
      </c>
      <c r="P170" s="7">
        <f>ROUND(211/E170,3)</f>
        <v>2.8130000000000002</v>
      </c>
      <c r="Q170" s="7">
        <f>ROUND(131/E170,3)</f>
        <v>1.7470000000000001</v>
      </c>
      <c r="R170" s="7">
        <f>ROUND(72/E170,3)</f>
        <v>0.96</v>
      </c>
      <c r="S170" s="7">
        <f>ROUND(17/E170,3)</f>
        <v>0.22700000000000001</v>
      </c>
      <c r="T170" s="7">
        <f>ROUND(5.43/E170,3)</f>
        <v>7.1999999999999995E-2</v>
      </c>
      <c r="U170" s="7">
        <f>ROUND(80/E170,3)</f>
        <v>1.0669999999999999</v>
      </c>
      <c r="V170" s="7">
        <f>ROUND(15/E170,3)</f>
        <v>0.2</v>
      </c>
      <c r="W170" s="7">
        <f>ROUND(5.6/E170,3)</f>
        <v>7.4999999999999997E-2</v>
      </c>
      <c r="X170" s="7">
        <v>0.48</v>
      </c>
      <c r="Y170" s="7">
        <v>0.49</v>
      </c>
      <c r="Z170" s="7">
        <v>0.49</v>
      </c>
      <c r="AA170" s="7">
        <f>ROUND(38.15/E170,3)</f>
        <v>0.50900000000000001</v>
      </c>
      <c r="AB170" s="7">
        <f>ROUND(6/E170,3)</f>
        <v>0.08</v>
      </c>
      <c r="AC170" s="7">
        <v>8483485</v>
      </c>
    </row>
    <row r="171" spans="1:29" ht="15" customHeight="1" x14ac:dyDescent="0.2">
      <c r="A171" s="7" t="s">
        <v>516</v>
      </c>
      <c r="B171" s="7" t="s">
        <v>376</v>
      </c>
      <c r="C171" s="7" t="s">
        <v>80</v>
      </c>
      <c r="D171" s="7">
        <v>30</v>
      </c>
      <c r="E171" s="7">
        <v>81</v>
      </c>
      <c r="F171" s="7">
        <f>ROUND(9/E171,3)</f>
        <v>0.111</v>
      </c>
      <c r="G171" s="7">
        <f>ROUND(22/E171,3)</f>
        <v>0.27200000000000002</v>
      </c>
      <c r="H171" s="7">
        <f>ROUND(176/E171,3)</f>
        <v>2.173</v>
      </c>
      <c r="I171" s="7">
        <f>ROUND(141/E171,3)</f>
        <v>1.7410000000000001</v>
      </c>
      <c r="J171" s="7">
        <f>ROUND(125/E171,3)</f>
        <v>1.5429999999999999</v>
      </c>
      <c r="K171" s="7">
        <f t="shared" si="5"/>
        <v>7.1064999999999996</v>
      </c>
      <c r="L171" s="7">
        <f>ROUND(1766.8/E171,3)</f>
        <v>21.812000000000001</v>
      </c>
      <c r="M171" s="7">
        <f>ROUND(59/E171,3)</f>
        <v>0.72799999999999998</v>
      </c>
      <c r="N171" s="7" t="s">
        <v>448</v>
      </c>
      <c r="O171" s="7" t="s">
        <v>1470</v>
      </c>
      <c r="P171" s="7">
        <f>ROUND(449/E171,3)</f>
        <v>5.5430000000000001</v>
      </c>
      <c r="Q171" s="7">
        <f>ROUND(262/E171,3)</f>
        <v>3.2349999999999999</v>
      </c>
      <c r="R171" s="7">
        <f>ROUND(137/E171,3)</f>
        <v>1.6910000000000001</v>
      </c>
      <c r="S171" s="7">
        <f>ROUND(19/E171,3)</f>
        <v>0.23499999999999999</v>
      </c>
      <c r="T171" s="7">
        <f>ROUND(11.15/E171,3)</f>
        <v>0.13800000000000001</v>
      </c>
      <c r="U171" s="7">
        <f>ROUND(96/E171,3)</f>
        <v>1.1850000000000001</v>
      </c>
      <c r="V171" s="7">
        <f>ROUND(33/E171,3)</f>
        <v>0.40699999999999997</v>
      </c>
      <c r="W171" s="7">
        <f>ROUND(9.71/E171,3)</f>
        <v>0.12</v>
      </c>
      <c r="X171" s="7">
        <v>0.54</v>
      </c>
      <c r="Y171" s="7">
        <v>0.59</v>
      </c>
      <c r="Z171" s="7">
        <v>0.57999999999999996</v>
      </c>
      <c r="AA171" s="7">
        <f>ROUND(70.07/E171,3)</f>
        <v>0.86499999999999999</v>
      </c>
      <c r="AB171" s="7">
        <f>ROUND(4/E171,3)</f>
        <v>4.9000000000000002E-2</v>
      </c>
      <c r="AC171" s="7">
        <v>8480336</v>
      </c>
    </row>
    <row r="172" spans="1:29" ht="15" customHeight="1" x14ac:dyDescent="0.2">
      <c r="A172" s="7" t="s">
        <v>517</v>
      </c>
      <c r="B172" s="7" t="s">
        <v>376</v>
      </c>
      <c r="C172" s="7" t="s">
        <v>380</v>
      </c>
      <c r="D172" s="7">
        <v>28</v>
      </c>
      <c r="E172" s="7">
        <v>82</v>
      </c>
      <c r="F172" s="7">
        <f>ROUND(9/E172,3)</f>
        <v>0.11</v>
      </c>
      <c r="G172" s="7">
        <f>ROUND(22/E172,3)</f>
        <v>0.26800000000000002</v>
      </c>
      <c r="H172" s="7">
        <f>ROUND(157/E172,3)</f>
        <v>1.915</v>
      </c>
      <c r="I172" s="7">
        <f>ROUND(28/E172,3)</f>
        <v>0.34100000000000003</v>
      </c>
      <c r="J172" s="7">
        <f>ROUND(134/E172,3)</f>
        <v>1.6339999999999999</v>
      </c>
      <c r="K172" s="7">
        <f t="shared" si="5"/>
        <v>6.2075000000000005</v>
      </c>
      <c r="L172" s="7">
        <f>ROUND(2034.7833333333/E172,3)</f>
        <v>24.814</v>
      </c>
      <c r="M172" s="7">
        <f>ROUND(32/E172,3)</f>
        <v>0.39</v>
      </c>
      <c r="N172" s="7" t="s">
        <v>1471</v>
      </c>
      <c r="O172" s="7" t="s">
        <v>1472</v>
      </c>
      <c r="P172" s="7">
        <f>ROUND(346/E172,3)</f>
        <v>4.22</v>
      </c>
      <c r="Q172" s="7">
        <f>ROUND(229/E172,3)</f>
        <v>2.7930000000000001</v>
      </c>
      <c r="R172" s="7">
        <f>ROUND(96/E172,3)</f>
        <v>1.171</v>
      </c>
      <c r="S172" s="7">
        <f>ROUND(20/E172,3)</f>
        <v>0.24399999999999999</v>
      </c>
      <c r="T172" s="7">
        <f>ROUND(8.3/E172,3)</f>
        <v>0.10100000000000001</v>
      </c>
      <c r="U172" s="7">
        <f>ROUND(112/E172,3)</f>
        <v>1.3660000000000001</v>
      </c>
      <c r="V172" s="7">
        <f>ROUND(29/E172,3)</f>
        <v>0.35399999999999998</v>
      </c>
      <c r="W172" s="7">
        <f>ROUND(7.38/E172,3)</f>
        <v>0.09</v>
      </c>
      <c r="X172" s="7">
        <v>0.46</v>
      </c>
      <c r="Y172" s="7">
        <v>0.46</v>
      </c>
      <c r="Z172" s="7">
        <v>0.45</v>
      </c>
      <c r="AA172" s="7">
        <f>ROUND(40.8/E172,3)</f>
        <v>0.498</v>
      </c>
      <c r="AB172" s="7">
        <f>ROUND(2/E172,3)</f>
        <v>2.4E-2</v>
      </c>
      <c r="AC172" s="7">
        <v>8478500</v>
      </c>
    </row>
    <row r="173" spans="1:29" ht="15" customHeight="1" x14ac:dyDescent="0.2">
      <c r="A173" s="7" t="s">
        <v>520</v>
      </c>
      <c r="B173" s="7" t="s">
        <v>376</v>
      </c>
      <c r="C173" s="7" t="s">
        <v>135</v>
      </c>
      <c r="D173" s="7">
        <v>24</v>
      </c>
      <c r="E173" s="7">
        <v>73</v>
      </c>
      <c r="F173" s="7">
        <f>ROUND(7/E173,3)</f>
        <v>9.6000000000000002E-2</v>
      </c>
      <c r="G173" s="7">
        <f>ROUND(24/E173,3)</f>
        <v>0.32900000000000001</v>
      </c>
      <c r="H173" s="7">
        <f>ROUND(108/E173,3)</f>
        <v>1.4790000000000001</v>
      </c>
      <c r="I173" s="7">
        <f>ROUND(55/E173,3)</f>
        <v>0.753</v>
      </c>
      <c r="J173" s="7">
        <f>ROUND(59/E173,3)</f>
        <v>0.80800000000000005</v>
      </c>
      <c r="K173" s="7">
        <f t="shared" si="5"/>
        <v>5.4055</v>
      </c>
      <c r="L173" s="7">
        <f>ROUND(1366.9833333333/E173,3)</f>
        <v>18.725999999999999</v>
      </c>
      <c r="M173" s="7">
        <f>ROUND(22/E173,3)</f>
        <v>0.30099999999999999</v>
      </c>
      <c r="N173" s="7" t="s">
        <v>1469</v>
      </c>
      <c r="O173" s="7" t="s">
        <v>1473</v>
      </c>
      <c r="P173" s="7">
        <f>ROUND(280/E173,3)</f>
        <v>3.8359999999999999</v>
      </c>
      <c r="Q173" s="7">
        <f>ROUND(185/E173,3)</f>
        <v>2.5339999999999998</v>
      </c>
      <c r="R173" s="7">
        <f>ROUND(90/E173,3)</f>
        <v>1.2330000000000001</v>
      </c>
      <c r="S173" s="7">
        <f>ROUND(18/E173,3)</f>
        <v>0.247</v>
      </c>
      <c r="T173" s="7">
        <f>ROUND(6.56/E173,3)</f>
        <v>0.09</v>
      </c>
      <c r="U173" s="7">
        <f>ROUND(68/E173,3)</f>
        <v>0.93200000000000005</v>
      </c>
      <c r="V173" s="7">
        <f>ROUND(16/E173,3)</f>
        <v>0.219</v>
      </c>
      <c r="W173" s="7">
        <f>ROUND(6.21/E173,3)</f>
        <v>8.5000000000000006E-2</v>
      </c>
      <c r="X173" s="7">
        <v>0.61</v>
      </c>
      <c r="Y173" s="7">
        <v>0.62</v>
      </c>
      <c r="Z173" s="7">
        <v>0.62</v>
      </c>
      <c r="AA173" s="7">
        <f>ROUND(55.1/E173,3)</f>
        <v>0.755</v>
      </c>
      <c r="AB173" s="7">
        <f>ROUND(2/E173,3)</f>
        <v>2.7E-2</v>
      </c>
      <c r="AC173" s="7">
        <v>8481606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 Me</vt:lpstr>
      <vt:lpstr>2021-22</vt:lpstr>
      <vt:lpstr>2022-23</vt:lpstr>
      <vt:lpstr>2023-24</vt:lpstr>
      <vt:lpstr>2024-25</vt:lpstr>
      <vt:lpstr>2025-26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Ryan Fu</cp:lastModifiedBy>
  <cp:revision>0</cp:revision>
  <dcterms:created xsi:type="dcterms:W3CDTF">2026-08-15T00:38:51Z</dcterms:created>
  <dcterms:modified xsi:type="dcterms:W3CDTF">2026-08-15T01:26:34Z</dcterms:modified>
  <dc:language>en-US</dc:language>
</cp:coreProperties>
</file>